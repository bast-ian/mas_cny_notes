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School stuff\SMU\Academics\T4_Spreadsheet Modelling and Analytics\Project\final\"/>
    </mc:Choice>
  </mc:AlternateContent>
  <xr:revisionPtr revIDLastSave="0" documentId="13_ncr:1_{5F6E7F68-163A-42D4-8AE5-B3D3B80C88E6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Home" sheetId="36" r:id="rId1"/>
    <sheet name="Angbao Trends" sheetId="39" r:id="rId2"/>
    <sheet name="Money Market" sheetId="41" r:id="rId3"/>
    <sheet name="Supply Costs" sheetId="37" r:id="rId4"/>
    <sheet name="Excess Notes" sheetId="29" r:id="rId5"/>
    <sheet name="CO_Pivot_Year" sheetId="43" state="hidden" r:id="rId6"/>
    <sheet name="CO Pivot_Month" sheetId="38" state="hidden" r:id="rId7"/>
    <sheet name="MM Pivot" sheetId="42" state="hidden" r:id="rId8"/>
    <sheet name="Excess_Notes_Pivot" sheetId="21" state="hidden" r:id="rId9"/>
    <sheet name="Excess_Notes_Table" sheetId="33" state="hidden" r:id="rId10"/>
    <sheet name="CNY_Notes_Saved_Pivot" sheetId="32" state="hidden" r:id="rId11"/>
    <sheet name="Model-Data" sheetId="28" state="hidden" r:id="rId12"/>
    <sheet name="Backup" sheetId="35" state="hidden" r:id="rId13"/>
    <sheet name="Hongbao demand" sheetId="14" state="hidden" r:id="rId14"/>
    <sheet name="CNY Dates" sheetId="18" state="hidden" r:id="rId15"/>
  </sheets>
  <definedNames>
    <definedName name="_xlnm._FilterDatabase" localSheetId="5" hidden="1">CO_Pivot_Year!$F$56:$I$98</definedName>
    <definedName name="_xlnm._FilterDatabase" localSheetId="8" hidden="1">Excess_Notes_Pivot!$C$52:$D$94</definedName>
    <definedName name="_xlnm._FilterDatabase" localSheetId="9" hidden="1">Excess_Notes_Table!$C$52:$D$94</definedName>
    <definedName name="_xlnm._FilterDatabase" localSheetId="13" hidden="1">'Hongbao demand'!$B$3:$K$65</definedName>
    <definedName name="_xlnm.Criteria" localSheetId="5">CO_Pivot_Year!$G$53:$G$54</definedName>
    <definedName name="_xlnm.Criteria" localSheetId="8">Excess_Notes_Pivot!$D$49:$D$50</definedName>
    <definedName name="_xlnm.Criteria" localSheetId="9">Excess_Notes_Table!$D$49:$D$50</definedName>
    <definedName name="_xlnm.Extract" localSheetId="8">Excess_Notes_Pivot!#REF!</definedName>
    <definedName name="_xlnm.Extract" localSheetId="9">Excess_Notes_Table!#REF!</definedName>
    <definedName name="solver_adj" localSheetId="11" hidden="1">'Model-Data'!$E$403:$E$414</definedName>
    <definedName name="solver_cvg" localSheetId="11" hidden="1">0.0001</definedName>
    <definedName name="solver_drv" localSheetId="11" hidden="1">2</definedName>
    <definedName name="solver_eng" localSheetId="11" hidden="1">1</definedName>
    <definedName name="solver_est" localSheetId="11" hidden="1">1</definedName>
    <definedName name="solver_itr" localSheetId="11" hidden="1">2147483647</definedName>
    <definedName name="solver_lhs1" localSheetId="11" hidden="1">'Model-Data'!$N$403:$N$414</definedName>
    <definedName name="solver_lhs2" localSheetId="11" hidden="1">'Model-Data'!$N$403:$N$414</definedName>
    <definedName name="solver_mip" localSheetId="11" hidden="1">2147483647</definedName>
    <definedName name="solver_mni" localSheetId="11" hidden="1">30</definedName>
    <definedName name="solver_mrt" localSheetId="11" hidden="1">0.075</definedName>
    <definedName name="solver_msl" localSheetId="11" hidden="1">2</definedName>
    <definedName name="solver_neg" localSheetId="11" hidden="1">1</definedName>
    <definedName name="solver_nod" localSheetId="11" hidden="1">2147483647</definedName>
    <definedName name="solver_num" localSheetId="11" hidden="1">1</definedName>
    <definedName name="solver_nwt" localSheetId="11" hidden="1">1</definedName>
    <definedName name="solver_opt" localSheetId="11" hidden="1">'Model-Data'!$T$414</definedName>
    <definedName name="solver_pre" localSheetId="11" hidden="1">0.000001</definedName>
    <definedName name="solver_rbv" localSheetId="11" hidden="1">2</definedName>
    <definedName name="solver_rel1" localSheetId="11" hidden="1">3</definedName>
    <definedName name="solver_rel2" localSheetId="11" hidden="1">3</definedName>
    <definedName name="solver_rhs1" localSheetId="11" hidden="1">0</definedName>
    <definedName name="solver_rhs2" localSheetId="11" hidden="1">0</definedName>
    <definedName name="solver_rlx" localSheetId="11" hidden="1">2</definedName>
    <definedName name="solver_rsd" localSheetId="11" hidden="1">0</definedName>
    <definedName name="solver_scl" localSheetId="11" hidden="1">2</definedName>
    <definedName name="solver_sho" localSheetId="11" hidden="1">2</definedName>
    <definedName name="solver_ssz" localSheetId="11" hidden="1">1000</definedName>
    <definedName name="solver_tim" localSheetId="11" hidden="1">2147483647</definedName>
    <definedName name="solver_tol" localSheetId="11" hidden="1">0.01</definedName>
    <definedName name="solver_typ" localSheetId="11" hidden="1">2</definedName>
    <definedName name="solver_val" localSheetId="11" hidden="1">0.5977</definedName>
    <definedName name="solver_ver" localSheetId="11" hidden="1">3</definedName>
  </definedNames>
  <calcPr calcId="191028" calcMode="autoNoTable"/>
  <pivotCaches>
    <pivotCache cacheId="19" r:id="rId16"/>
    <pivotCache cacheId="22" r:id="rId1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7" i="28" l="1"/>
  <c r="I9" i="28" a="1"/>
  <c r="I9" i="28" s="1"/>
  <c r="I10" i="28" a="1"/>
  <c r="I10" i="28" s="1"/>
  <c r="I11" i="28" a="1"/>
  <c r="I11" i="28" s="1"/>
  <c r="I12" i="28" a="1"/>
  <c r="I12" i="28" s="1"/>
  <c r="I13" i="28" a="1"/>
  <c r="I13" i="28" s="1"/>
  <c r="I14" i="28" a="1"/>
  <c r="I14" i="28" s="1"/>
  <c r="I15" i="28" a="1"/>
  <c r="I15" i="28" s="1"/>
  <c r="I16" i="28" a="1"/>
  <c r="I16" i="28" s="1"/>
  <c r="I17" i="28" a="1"/>
  <c r="I17" i="28" s="1"/>
  <c r="I18" i="28" a="1"/>
  <c r="I18" i="28" s="1"/>
  <c r="I20" i="28" a="1"/>
  <c r="I20" i="28" s="1"/>
  <c r="I21" i="28" a="1"/>
  <c r="I21" i="28" s="1"/>
  <c r="I22" i="28" a="1"/>
  <c r="I22" i="28" s="1"/>
  <c r="I23" i="28" a="1"/>
  <c r="I23" i="28" s="1"/>
  <c r="I24" i="28" a="1"/>
  <c r="I24" i="28" s="1"/>
  <c r="I25" i="28" a="1"/>
  <c r="I25" i="28" s="1"/>
  <c r="I26" i="28" a="1"/>
  <c r="I26" i="28" s="1"/>
  <c r="I27" i="28" a="1"/>
  <c r="I27" i="28" s="1"/>
  <c r="I28" i="28" a="1"/>
  <c r="I28" i="28" s="1"/>
  <c r="I29" i="28" a="1"/>
  <c r="I29" i="28" s="1"/>
  <c r="I30" i="28" a="1"/>
  <c r="I30" i="28" s="1"/>
  <c r="I31" i="28" a="1"/>
  <c r="I31" i="28" s="1"/>
  <c r="I33" i="28" a="1"/>
  <c r="I33" i="28" s="1"/>
  <c r="I34" i="28" a="1"/>
  <c r="I34" i="28" s="1"/>
  <c r="I35" i="28" a="1"/>
  <c r="I35" i="28" s="1"/>
  <c r="I36" i="28" a="1"/>
  <c r="I36" i="28" s="1"/>
  <c r="I37" i="28" a="1"/>
  <c r="I37" i="28" s="1"/>
  <c r="I38" i="28" a="1"/>
  <c r="I38" i="28" s="1"/>
  <c r="I39" i="28" a="1"/>
  <c r="I39" i="28" s="1"/>
  <c r="I40" i="28" a="1"/>
  <c r="I40" i="28" s="1"/>
  <c r="I41" i="28" a="1"/>
  <c r="I41" i="28" s="1"/>
  <c r="I42" i="28" a="1"/>
  <c r="I42" i="28" s="1"/>
  <c r="I43" i="28" a="1"/>
  <c r="I43" i="28" s="1"/>
  <c r="I45" i="28" a="1"/>
  <c r="I45" i="28" s="1"/>
  <c r="I46" i="28" a="1"/>
  <c r="I46" i="28" s="1"/>
  <c r="I47" i="28" a="1"/>
  <c r="I47" i="28" s="1"/>
  <c r="I48" i="28" a="1"/>
  <c r="I48" i="28" s="1"/>
  <c r="I49" i="28" a="1"/>
  <c r="I49" i="28" s="1"/>
  <c r="I50" i="28" a="1"/>
  <c r="I50" i="28" s="1"/>
  <c r="I51" i="28" a="1"/>
  <c r="I51" i="28" s="1"/>
  <c r="I52" i="28" a="1"/>
  <c r="I52" i="28" s="1"/>
  <c r="I53" i="28" a="1"/>
  <c r="I53" i="28" s="1"/>
  <c r="I54" i="28" a="1"/>
  <c r="I54" i="28" s="1"/>
  <c r="I56" i="28" a="1"/>
  <c r="I56" i="28" s="1"/>
  <c r="I57" i="28" a="1"/>
  <c r="I57" i="28" s="1"/>
  <c r="I58" i="28" a="1"/>
  <c r="I58" i="28" s="1"/>
  <c r="I59" i="28" a="1"/>
  <c r="I59" i="28" s="1"/>
  <c r="I60" i="28" a="1"/>
  <c r="I60" i="28" s="1"/>
  <c r="I61" i="28" a="1"/>
  <c r="I61" i="28" s="1"/>
  <c r="I62" i="28" a="1"/>
  <c r="I62" i="28" s="1"/>
  <c r="I63" i="28" a="1"/>
  <c r="I63" i="28" s="1"/>
  <c r="I64" i="28" a="1"/>
  <c r="I64" i="28" s="1"/>
  <c r="I65" i="28" a="1"/>
  <c r="I65" i="28" s="1"/>
  <c r="I66" i="28" a="1"/>
  <c r="I66" i="28" s="1"/>
  <c r="I67" i="28" a="1"/>
  <c r="I67" i="28" s="1"/>
  <c r="I69" i="28" a="1"/>
  <c r="I69" i="28" s="1"/>
  <c r="I70" i="28" a="1"/>
  <c r="I70" i="28" s="1"/>
  <c r="I71" i="28" a="1"/>
  <c r="I71" i="28" s="1"/>
  <c r="I72" i="28" a="1"/>
  <c r="I72" i="28" s="1"/>
  <c r="I73" i="28" a="1"/>
  <c r="I73" i="28" s="1"/>
  <c r="I74" i="28" a="1"/>
  <c r="I74" i="28" s="1"/>
  <c r="I75" i="28" a="1"/>
  <c r="I75" i="28" s="1"/>
  <c r="I76" i="28" a="1"/>
  <c r="I76" i="28" s="1"/>
  <c r="I77" i="28" a="1"/>
  <c r="I77" i="28" s="1"/>
  <c r="I78" i="28" a="1"/>
  <c r="I78" i="28" s="1"/>
  <c r="I80" i="28" a="1"/>
  <c r="I80" i="28" s="1"/>
  <c r="I81" i="28" a="1"/>
  <c r="I81" i="28" s="1"/>
  <c r="I82" i="28" a="1"/>
  <c r="I82" i="28" s="1"/>
  <c r="I83" i="28" a="1"/>
  <c r="I83" i="28" s="1"/>
  <c r="I84" i="28" a="1"/>
  <c r="I84" i="28" s="1"/>
  <c r="I85" i="28" a="1"/>
  <c r="I85" i="28" s="1"/>
  <c r="I86" i="28" a="1"/>
  <c r="I86" i="28" s="1"/>
  <c r="I87" i="28" a="1"/>
  <c r="I87" i="28" s="1"/>
  <c r="I88" i="28" a="1"/>
  <c r="I88" i="28" s="1"/>
  <c r="I89" i="28" a="1"/>
  <c r="I89" i="28" s="1"/>
  <c r="I90" i="28" a="1"/>
  <c r="I90" i="28" s="1"/>
  <c r="I91" i="28" a="1"/>
  <c r="I91" i="28" s="1"/>
  <c r="I93" i="28" a="1"/>
  <c r="I93" i="28" s="1"/>
  <c r="I94" i="28" a="1"/>
  <c r="I94" i="28" s="1"/>
  <c r="I95" i="28" a="1"/>
  <c r="I95" i="28" s="1"/>
  <c r="I96" i="28" a="1"/>
  <c r="I96" i="28" s="1"/>
  <c r="I97" i="28" a="1"/>
  <c r="I97" i="28" s="1"/>
  <c r="I98" i="28" a="1"/>
  <c r="I98" i="28" s="1"/>
  <c r="I99" i="28" a="1"/>
  <c r="I99" i="28" s="1"/>
  <c r="I100" i="28" a="1"/>
  <c r="I100" i="28" s="1"/>
  <c r="I101" i="28" a="1"/>
  <c r="I101" i="28" s="1"/>
  <c r="I102" i="28" a="1"/>
  <c r="I102" i="28" s="1"/>
  <c r="I103" i="28" a="1"/>
  <c r="I103" i="28" s="1"/>
  <c r="I105" i="28" a="1"/>
  <c r="I105" i="28" s="1"/>
  <c r="I106" i="28" a="1"/>
  <c r="I106" i="28" s="1"/>
  <c r="I107" i="28" a="1"/>
  <c r="I107" i="28" s="1"/>
  <c r="I108" i="28" a="1"/>
  <c r="I108" i="28" s="1"/>
  <c r="I109" i="28" a="1"/>
  <c r="I109" i="28" s="1"/>
  <c r="I110" i="28" a="1"/>
  <c r="I110" i="28" s="1"/>
  <c r="I111" i="28" a="1"/>
  <c r="I111" i="28" s="1"/>
  <c r="I112" i="28" a="1"/>
  <c r="I112" i="28" s="1"/>
  <c r="I113" i="28" a="1"/>
  <c r="I113" i="28" s="1"/>
  <c r="I114" i="28" a="1"/>
  <c r="I114" i="28" s="1"/>
  <c r="I116" i="28" a="1"/>
  <c r="I116" i="28" s="1"/>
  <c r="I117" i="28" a="1"/>
  <c r="I117" i="28" s="1"/>
  <c r="I118" i="28" a="1"/>
  <c r="I118" i="28" s="1"/>
  <c r="I119" i="28" a="1"/>
  <c r="I119" i="28" s="1"/>
  <c r="I120" i="28" a="1"/>
  <c r="I120" i="28" s="1"/>
  <c r="I121" i="28" a="1"/>
  <c r="I121" i="28" s="1"/>
  <c r="I122" i="28" a="1"/>
  <c r="I122" i="28" s="1"/>
  <c r="I123" i="28" a="1"/>
  <c r="I123" i="28" s="1"/>
  <c r="I124" i="28" a="1"/>
  <c r="I124" i="28" s="1"/>
  <c r="I125" i="28" a="1"/>
  <c r="I125" i="28" s="1"/>
  <c r="I126" i="28" a="1"/>
  <c r="I126" i="28" s="1"/>
  <c r="I127" i="28" a="1"/>
  <c r="I127" i="28" s="1"/>
  <c r="I129" i="28" a="1"/>
  <c r="I129" i="28" s="1"/>
  <c r="I130" i="28" a="1"/>
  <c r="I130" i="28" s="1"/>
  <c r="I131" i="28" a="1"/>
  <c r="I131" i="28" s="1"/>
  <c r="I132" i="28" a="1"/>
  <c r="I132" i="28" s="1"/>
  <c r="I133" i="28" a="1"/>
  <c r="I133" i="28" s="1"/>
  <c r="I134" i="28" a="1"/>
  <c r="I134" i="28" s="1"/>
  <c r="I135" i="28" a="1"/>
  <c r="I135" i="28" s="1"/>
  <c r="I136" i="28" a="1"/>
  <c r="I136" i="28" s="1"/>
  <c r="I137" i="28" a="1"/>
  <c r="I137" i="28" s="1"/>
  <c r="I138" i="28" a="1"/>
  <c r="I138" i="28" s="1"/>
  <c r="I139" i="28" a="1"/>
  <c r="I139" i="28" s="1"/>
  <c r="I141" i="28" a="1"/>
  <c r="I141" i="28" s="1"/>
  <c r="I142" i="28" a="1"/>
  <c r="I142" i="28" s="1"/>
  <c r="I143" i="28" a="1"/>
  <c r="I143" i="28" s="1"/>
  <c r="I144" i="28" a="1"/>
  <c r="I144" i="28" s="1"/>
  <c r="I145" i="28" a="1"/>
  <c r="I145" i="28" s="1"/>
  <c r="I146" i="28" a="1"/>
  <c r="I146" i="28" s="1"/>
  <c r="I147" i="28" a="1"/>
  <c r="I147" i="28" s="1"/>
  <c r="I148" i="28" a="1"/>
  <c r="I148" i="28" s="1"/>
  <c r="I149" i="28" a="1"/>
  <c r="I149" i="28" s="1"/>
  <c r="I150" i="28" a="1"/>
  <c r="I150" i="28" s="1"/>
  <c r="I152" i="28" a="1"/>
  <c r="I152" i="28" s="1"/>
  <c r="I153" i="28" a="1"/>
  <c r="I153" i="28" s="1"/>
  <c r="I154" i="28" a="1"/>
  <c r="I154" i="28" s="1"/>
  <c r="I155" i="28" a="1"/>
  <c r="I155" i="28" s="1"/>
  <c r="I156" i="28" a="1"/>
  <c r="I156" i="28" s="1"/>
  <c r="I157" i="28" a="1"/>
  <c r="I157" i="28" s="1"/>
  <c r="I158" i="28" a="1"/>
  <c r="I158" i="28" s="1"/>
  <c r="I159" i="28" a="1"/>
  <c r="I159" i="28" s="1"/>
  <c r="I160" i="28" a="1"/>
  <c r="I160" i="28" s="1"/>
  <c r="I161" i="28" a="1"/>
  <c r="I161" i="28" s="1"/>
  <c r="I162" i="28" a="1"/>
  <c r="I162" i="28" s="1"/>
  <c r="I163" i="28" a="1"/>
  <c r="I163" i="28" s="1"/>
  <c r="I165" i="28" a="1"/>
  <c r="I165" i="28" s="1"/>
  <c r="I166" i="28" a="1"/>
  <c r="I166" i="28" s="1"/>
  <c r="I167" i="28" a="1"/>
  <c r="I167" i="28" s="1"/>
  <c r="I168" i="28" a="1"/>
  <c r="I168" i="28" s="1"/>
  <c r="I169" i="28" a="1"/>
  <c r="I169" i="28" s="1"/>
  <c r="I170" i="28" a="1"/>
  <c r="I170" i="28" s="1"/>
  <c r="I171" i="28" a="1"/>
  <c r="I171" i="28" s="1"/>
  <c r="I172" i="28" a="1"/>
  <c r="I172" i="28" s="1"/>
  <c r="I173" i="28" a="1"/>
  <c r="I173" i="28" s="1"/>
  <c r="I174" i="28" a="1"/>
  <c r="I174" i="28" s="1"/>
  <c r="I175" i="28" a="1"/>
  <c r="I175" i="28" s="1"/>
  <c r="I177" i="28" a="1"/>
  <c r="I177" i="28" s="1"/>
  <c r="I178" i="28" a="1"/>
  <c r="I178" i="28" s="1"/>
  <c r="I179" i="28" a="1"/>
  <c r="I179" i="28" s="1"/>
  <c r="I180" i="28" a="1"/>
  <c r="I180" i="28" s="1"/>
  <c r="I181" i="28" a="1"/>
  <c r="I181" i="28" s="1"/>
  <c r="I182" i="28" a="1"/>
  <c r="I182" i="28" s="1"/>
  <c r="I183" i="28" a="1"/>
  <c r="I183" i="28" s="1"/>
  <c r="I184" i="28" a="1"/>
  <c r="I184" i="28" s="1"/>
  <c r="I185" i="28" a="1"/>
  <c r="I185" i="28" s="1"/>
  <c r="I186" i="28" a="1"/>
  <c r="I186" i="28" s="1"/>
  <c r="I188" i="28" a="1"/>
  <c r="I188" i="28" s="1"/>
  <c r="I189" i="28" a="1"/>
  <c r="I189" i="28" s="1"/>
  <c r="I190" i="28" a="1"/>
  <c r="I190" i="28" s="1"/>
  <c r="I191" i="28" a="1"/>
  <c r="I191" i="28" s="1"/>
  <c r="I192" i="28" a="1"/>
  <c r="I192" i="28" s="1"/>
  <c r="I193" i="28" a="1"/>
  <c r="I193" i="28" s="1"/>
  <c r="I194" i="28" a="1"/>
  <c r="I194" i="28" s="1"/>
  <c r="I195" i="28" a="1"/>
  <c r="I195" i="28" s="1"/>
  <c r="I196" i="28" a="1"/>
  <c r="I196" i="28" s="1"/>
  <c r="I197" i="28" a="1"/>
  <c r="I197" i="28" s="1"/>
  <c r="I198" i="28" a="1"/>
  <c r="I198" i="28" s="1"/>
  <c r="I199" i="28" a="1"/>
  <c r="I199" i="28" s="1"/>
  <c r="I201" i="28" a="1"/>
  <c r="I201" i="28" s="1"/>
  <c r="I202" i="28" a="1"/>
  <c r="I202" i="28" s="1"/>
  <c r="I203" i="28" a="1"/>
  <c r="I203" i="28" s="1"/>
  <c r="I204" i="28" a="1"/>
  <c r="I204" i="28" s="1"/>
  <c r="I205" i="28" a="1"/>
  <c r="I205" i="28" s="1"/>
  <c r="I206" i="28" a="1"/>
  <c r="I206" i="28" s="1"/>
  <c r="I207" i="28" a="1"/>
  <c r="I207" i="28" s="1"/>
  <c r="I208" i="28" a="1"/>
  <c r="I208" i="28" s="1"/>
  <c r="I209" i="28" a="1"/>
  <c r="I209" i="28" s="1"/>
  <c r="I210" i="28" a="1"/>
  <c r="I210" i="28" s="1"/>
  <c r="I212" i="28" a="1"/>
  <c r="I212" i="28" s="1"/>
  <c r="I213" i="28" a="1"/>
  <c r="I213" i="28" s="1"/>
  <c r="I214" i="28" a="1"/>
  <c r="I214" i="28" s="1"/>
  <c r="I215" i="28" a="1"/>
  <c r="I215" i="28" s="1"/>
  <c r="I216" i="28" a="1"/>
  <c r="I216" i="28" s="1"/>
  <c r="I217" i="28" a="1"/>
  <c r="I217" i="28" s="1"/>
  <c r="I218" i="28" a="1"/>
  <c r="I218" i="28" s="1"/>
  <c r="I219" i="28" a="1"/>
  <c r="I219" i="28" s="1"/>
  <c r="I220" i="28" a="1"/>
  <c r="I220" i="28" s="1"/>
  <c r="I221" i="28" a="1"/>
  <c r="I221" i="28" s="1"/>
  <c r="I222" i="28" a="1"/>
  <c r="I222" i="28" s="1"/>
  <c r="I223" i="28" a="1"/>
  <c r="I223" i="28" s="1"/>
  <c r="I225" i="28" a="1"/>
  <c r="I225" i="28" s="1"/>
  <c r="I226" i="28" a="1"/>
  <c r="I226" i="28" s="1"/>
  <c r="I227" i="28" a="1"/>
  <c r="I227" i="28" s="1"/>
  <c r="I228" i="28" a="1"/>
  <c r="I228" i="28" s="1"/>
  <c r="I229" i="28" a="1"/>
  <c r="I229" i="28" s="1"/>
  <c r="I230" i="28" a="1"/>
  <c r="I230" i="28" s="1"/>
  <c r="I231" i="28" a="1"/>
  <c r="I231" i="28" s="1"/>
  <c r="I232" i="28" a="1"/>
  <c r="I232" i="28" s="1"/>
  <c r="I233" i="28" a="1"/>
  <c r="I233" i="28" s="1"/>
  <c r="I234" i="28" a="1"/>
  <c r="I234" i="28" s="1"/>
  <c r="I235" i="28" a="1"/>
  <c r="I235" i="28" s="1"/>
  <c r="I237" i="28" a="1"/>
  <c r="I237" i="28" s="1"/>
  <c r="I238" i="28" a="1"/>
  <c r="I238" i="28" s="1"/>
  <c r="I239" i="28" a="1"/>
  <c r="I239" i="28" s="1"/>
  <c r="I240" i="28" a="1"/>
  <c r="I240" i="28" s="1"/>
  <c r="I241" i="28" a="1"/>
  <c r="I241" i="28" s="1"/>
  <c r="I242" i="28" a="1"/>
  <c r="I242" i="28" s="1"/>
  <c r="I243" i="28" a="1"/>
  <c r="I243" i="28" s="1"/>
  <c r="I244" i="28" a="1"/>
  <c r="I244" i="28" s="1"/>
  <c r="I245" i="28" a="1"/>
  <c r="I245" i="28" s="1"/>
  <c r="I246" i="28" a="1"/>
  <c r="I246" i="28" s="1"/>
  <c r="I248" i="28" a="1"/>
  <c r="I248" i="28" s="1"/>
  <c r="I249" i="28" a="1"/>
  <c r="I249" i="28" s="1"/>
  <c r="I250" i="28" a="1"/>
  <c r="I250" i="28" s="1"/>
  <c r="I251" i="28" a="1"/>
  <c r="I251" i="28" s="1"/>
  <c r="I252" i="28" a="1"/>
  <c r="I252" i="28" s="1"/>
  <c r="I253" i="28" a="1"/>
  <c r="I253" i="28" s="1"/>
  <c r="I254" i="28" a="1"/>
  <c r="I254" i="28" s="1"/>
  <c r="I255" i="28" a="1"/>
  <c r="I255" i="28" s="1"/>
  <c r="I256" i="28" a="1"/>
  <c r="I256" i="28" s="1"/>
  <c r="I257" i="28" a="1"/>
  <c r="I257" i="28" s="1"/>
  <c r="I258" i="28" a="1"/>
  <c r="I258" i="28" s="1"/>
  <c r="I259" i="28" a="1"/>
  <c r="I259" i="28" s="1"/>
  <c r="I261" i="28" a="1"/>
  <c r="I261" i="28" s="1"/>
  <c r="I262" i="28" a="1"/>
  <c r="I262" i="28" s="1"/>
  <c r="I263" i="28" a="1"/>
  <c r="I263" i="28" s="1"/>
  <c r="I264" i="28" a="1"/>
  <c r="I264" i="28" s="1"/>
  <c r="I265" i="28" a="1"/>
  <c r="I265" i="28" s="1"/>
  <c r="I266" i="28" a="1"/>
  <c r="I266" i="28" s="1"/>
  <c r="I267" i="28" a="1"/>
  <c r="I267" i="28" s="1"/>
  <c r="I268" i="28" a="1"/>
  <c r="I268" i="28" s="1"/>
  <c r="I269" i="28" a="1"/>
  <c r="I269" i="28" s="1"/>
  <c r="I270" i="28" a="1"/>
  <c r="I270" i="28" s="1"/>
  <c r="I271" i="28" a="1"/>
  <c r="I271" i="28" s="1"/>
  <c r="I273" i="28" a="1"/>
  <c r="I273" i="28" s="1"/>
  <c r="I274" i="28" a="1"/>
  <c r="I274" i="28" s="1"/>
  <c r="I275" i="28" a="1"/>
  <c r="I275" i="28" s="1"/>
  <c r="I276" i="28" a="1"/>
  <c r="I276" i="28" s="1"/>
  <c r="I277" i="28" a="1"/>
  <c r="I277" i="28" s="1"/>
  <c r="I278" i="28" a="1"/>
  <c r="I278" i="28" s="1"/>
  <c r="I279" i="28" a="1"/>
  <c r="I279" i="28" s="1"/>
  <c r="I280" i="28" a="1"/>
  <c r="I280" i="28" s="1"/>
  <c r="I281" i="28" a="1"/>
  <c r="I281" i="28" s="1"/>
  <c r="I282" i="28" a="1"/>
  <c r="I282" i="28" s="1"/>
  <c r="I284" i="28" a="1"/>
  <c r="I284" i="28" s="1"/>
  <c r="I285" i="28" a="1"/>
  <c r="I285" i="28" s="1"/>
  <c r="I286" i="28" a="1"/>
  <c r="I286" i="28" s="1"/>
  <c r="I287" i="28" a="1"/>
  <c r="I287" i="28" s="1"/>
  <c r="I288" i="28" a="1"/>
  <c r="I288" i="28" s="1"/>
  <c r="I289" i="28" a="1"/>
  <c r="I289" i="28" s="1"/>
  <c r="I290" i="28" a="1"/>
  <c r="I290" i="28" s="1"/>
  <c r="I291" i="28" a="1"/>
  <c r="I291" i="28" s="1"/>
  <c r="I292" i="28" a="1"/>
  <c r="I292" i="28" s="1"/>
  <c r="I293" i="28" a="1"/>
  <c r="I293" i="28" s="1"/>
  <c r="I294" i="28" a="1"/>
  <c r="I294" i="28" s="1"/>
  <c r="I295" i="28" a="1"/>
  <c r="I295" i="28" s="1"/>
  <c r="I297" i="28" a="1"/>
  <c r="I297" i="28" s="1"/>
  <c r="I298" i="28" a="1"/>
  <c r="I298" i="28" s="1"/>
  <c r="I299" i="28" a="1"/>
  <c r="I299" i="28" s="1"/>
  <c r="I300" i="28" a="1"/>
  <c r="I300" i="28" s="1"/>
  <c r="I301" i="28" a="1"/>
  <c r="I301" i="28" s="1"/>
  <c r="I302" i="28" a="1"/>
  <c r="I302" i="28" s="1"/>
  <c r="I303" i="28" a="1"/>
  <c r="I303" i="28" s="1"/>
  <c r="I304" i="28" a="1"/>
  <c r="I304" i="28" s="1"/>
  <c r="I305" i="28" a="1"/>
  <c r="I305" i="28" s="1"/>
  <c r="I306" i="28" a="1"/>
  <c r="I306" i="28" s="1"/>
  <c r="I308" i="28" a="1"/>
  <c r="I308" i="28" s="1"/>
  <c r="I309" i="28" a="1"/>
  <c r="I309" i="28" s="1"/>
  <c r="I310" i="28" a="1"/>
  <c r="I310" i="28" s="1"/>
  <c r="I311" i="28" a="1"/>
  <c r="I311" i="28" s="1"/>
  <c r="I312" i="28" a="1"/>
  <c r="I312" i="28" s="1"/>
  <c r="I313" i="28" a="1"/>
  <c r="I313" i="28" s="1"/>
  <c r="I314" i="28" a="1"/>
  <c r="I314" i="28" s="1"/>
  <c r="I315" i="28" a="1"/>
  <c r="I315" i="28" s="1"/>
  <c r="I316" i="28" a="1"/>
  <c r="I316" i="28" s="1"/>
  <c r="I317" i="28" a="1"/>
  <c r="I317" i="28" s="1"/>
  <c r="I318" i="28" a="1"/>
  <c r="I318" i="28" s="1"/>
  <c r="I319" i="28" a="1"/>
  <c r="I319" i="28" s="1"/>
  <c r="I321" i="28" a="1"/>
  <c r="I321" i="28" s="1"/>
  <c r="I322" i="28" a="1"/>
  <c r="I322" i="28" s="1"/>
  <c r="I323" i="28" a="1"/>
  <c r="I323" i="28" s="1"/>
  <c r="I324" i="28" a="1"/>
  <c r="I324" i="28" s="1"/>
  <c r="I325" i="28" a="1"/>
  <c r="I325" i="28" s="1"/>
  <c r="I326" i="28" a="1"/>
  <c r="I326" i="28" s="1"/>
  <c r="I327" i="28" a="1"/>
  <c r="I327" i="28" s="1"/>
  <c r="I328" i="28" a="1"/>
  <c r="I328" i="28" s="1"/>
  <c r="I329" i="28" a="1"/>
  <c r="I329" i="28" s="1"/>
  <c r="I330" i="28" a="1"/>
  <c r="I330" i="28" s="1"/>
  <c r="I331" i="28" a="1"/>
  <c r="I331" i="28" s="1"/>
  <c r="I333" i="28" a="1"/>
  <c r="I333" i="28" s="1"/>
  <c r="I334" i="28" a="1"/>
  <c r="I334" i="28" s="1"/>
  <c r="I335" i="28" a="1"/>
  <c r="I335" i="28" s="1"/>
  <c r="I336" i="28" a="1"/>
  <c r="I336" i="28" s="1"/>
  <c r="I337" i="28" a="1"/>
  <c r="I337" i="28" s="1"/>
  <c r="I338" i="28" a="1"/>
  <c r="I338" i="28" s="1"/>
  <c r="I339" i="28" a="1"/>
  <c r="I339" i="28" s="1"/>
  <c r="I340" i="28" a="1"/>
  <c r="I340" i="28" s="1"/>
  <c r="I341" i="28" a="1"/>
  <c r="I341" i="28" s="1"/>
  <c r="I342" i="28" a="1"/>
  <c r="I342" i="28" s="1"/>
  <c r="I344" i="28" a="1"/>
  <c r="I344" i="28" s="1"/>
  <c r="I345" i="28" a="1"/>
  <c r="I345" i="28" s="1"/>
  <c r="I346" i="28" a="1"/>
  <c r="I346" i="28" s="1"/>
  <c r="I347" i="28" a="1"/>
  <c r="I347" i="28" s="1"/>
  <c r="I348" i="28" a="1"/>
  <c r="I348" i="28" s="1"/>
  <c r="I349" i="28" a="1"/>
  <c r="I349" i="28" s="1"/>
  <c r="I350" i="28" a="1"/>
  <c r="I350" i="28" s="1"/>
  <c r="I351" i="28" a="1"/>
  <c r="I351" i="28" s="1"/>
  <c r="I352" i="28" a="1"/>
  <c r="I352" i="28" s="1"/>
  <c r="I353" i="28" a="1"/>
  <c r="I353" i="28" s="1"/>
  <c r="I354" i="28" a="1"/>
  <c r="I354" i="28" s="1"/>
  <c r="I355" i="28" a="1"/>
  <c r="I355" i="28" s="1"/>
  <c r="I357" i="28" a="1"/>
  <c r="I357" i="28" s="1"/>
  <c r="I358" i="28" a="1"/>
  <c r="I358" i="28" s="1"/>
  <c r="I359" i="28" a="1"/>
  <c r="I359" i="28" s="1"/>
  <c r="I360" i="28" a="1"/>
  <c r="I360" i="28" s="1"/>
  <c r="I361" i="28" a="1"/>
  <c r="I361" i="28" s="1"/>
  <c r="I362" i="28" a="1"/>
  <c r="I362" i="28" s="1"/>
  <c r="I363" i="28" a="1"/>
  <c r="I363" i="28" s="1"/>
  <c r="I364" i="28" a="1"/>
  <c r="I364" i="28" s="1"/>
  <c r="I365" i="28" a="1"/>
  <c r="I365" i="28" s="1"/>
  <c r="I366" i="28" a="1"/>
  <c r="I366" i="28" s="1"/>
  <c r="I367" i="28" a="1"/>
  <c r="I367" i="28" s="1"/>
  <c r="I369" i="28" a="1"/>
  <c r="I369" i="28" s="1"/>
  <c r="I370" i="28" a="1"/>
  <c r="I370" i="28" s="1"/>
  <c r="I371" i="28" a="1"/>
  <c r="I371" i="28" s="1"/>
  <c r="I372" i="28" a="1"/>
  <c r="I372" i="28" s="1"/>
  <c r="I373" i="28" a="1"/>
  <c r="I373" i="28" s="1"/>
  <c r="I374" i="28" a="1"/>
  <c r="I374" i="28" s="1"/>
  <c r="I375" i="28" a="1"/>
  <c r="I375" i="28" s="1"/>
  <c r="I376" i="28" a="1"/>
  <c r="I376" i="28" s="1"/>
  <c r="I377" i="28" a="1"/>
  <c r="I377" i="28" s="1"/>
  <c r="I378" i="28" a="1"/>
  <c r="I378" i="28" s="1"/>
  <c r="I380" i="28" a="1"/>
  <c r="I380" i="28" s="1"/>
  <c r="I381" i="28" a="1"/>
  <c r="I381" i="28" s="1"/>
  <c r="I382" i="28" a="1"/>
  <c r="I382" i="28" s="1"/>
  <c r="I383" i="28" a="1"/>
  <c r="I383" i="28" s="1"/>
  <c r="I384" i="28" a="1"/>
  <c r="I384" i="28" s="1"/>
  <c r="I385" i="28" a="1"/>
  <c r="I385" i="28" s="1"/>
  <c r="I386" i="28" a="1"/>
  <c r="I386" i="28" s="1"/>
  <c r="I387" i="28" a="1"/>
  <c r="I387" i="28" s="1"/>
  <c r="I388" i="28" a="1"/>
  <c r="I388" i="28" s="1"/>
  <c r="I389" i="28" a="1"/>
  <c r="I389" i="28" s="1"/>
  <c r="I390" i="28" a="1"/>
  <c r="I390" i="28" s="1"/>
  <c r="I391" i="28" a="1"/>
  <c r="I391" i="28" s="1"/>
  <c r="I393" i="28" a="1"/>
  <c r="I393" i="28" s="1"/>
  <c r="I394" i="28" a="1"/>
  <c r="I394" i="28" s="1"/>
  <c r="I395" i="28" a="1"/>
  <c r="I395" i="28" s="1"/>
  <c r="I396" i="28" a="1"/>
  <c r="I396" i="28" s="1"/>
  <c r="I397" i="28" a="1"/>
  <c r="I397" i="28" s="1"/>
  <c r="I398" i="28" a="1"/>
  <c r="I398" i="28" s="1"/>
  <c r="I399" i="28" a="1"/>
  <c r="I399" i="28" s="1"/>
  <c r="I400" i="28" a="1"/>
  <c r="I400" i="28" s="1"/>
  <c r="I401" i="28" a="1"/>
  <c r="I401" i="28" s="1"/>
  <c r="I402" i="28" a="1"/>
  <c r="I402" i="28" s="1"/>
  <c r="I403" i="28" a="1"/>
  <c r="I403" i="28" s="1"/>
  <c r="I405" i="28" a="1"/>
  <c r="I405" i="28" s="1"/>
  <c r="I406" i="28" a="1"/>
  <c r="I406" i="28" s="1"/>
  <c r="I407" i="28" a="1"/>
  <c r="I407" i="28" s="1"/>
  <c r="I408" i="28" a="1"/>
  <c r="I408" i="28" s="1"/>
  <c r="I409" i="28" a="1"/>
  <c r="I409" i="28" s="1"/>
  <c r="I410" i="28" a="1"/>
  <c r="I410" i="28" s="1"/>
  <c r="I411" i="28" a="1"/>
  <c r="I411" i="28" s="1"/>
  <c r="I412" i="28" a="1"/>
  <c r="I412" i="28" s="1"/>
  <c r="I413" i="28" a="1"/>
  <c r="I413" i="28" s="1"/>
  <c r="I414" i="28" a="1"/>
  <c r="I414" i="28" s="1"/>
  <c r="I415" i="28" a="1"/>
  <c r="I415" i="28" s="1"/>
  <c r="I417" i="28" a="1"/>
  <c r="I417" i="28" s="1"/>
  <c r="I418" i="28" a="1"/>
  <c r="I418" i="28" s="1"/>
  <c r="I419" i="28" a="1"/>
  <c r="I419" i="28" s="1"/>
  <c r="I420" i="28" a="1"/>
  <c r="I420" i="28" s="1"/>
  <c r="I421" i="28" a="1"/>
  <c r="I421" i="28" s="1"/>
  <c r="I422" i="28" a="1"/>
  <c r="I422" i="28" s="1"/>
  <c r="I423" i="28" a="1"/>
  <c r="I423" i="28" s="1"/>
  <c r="I424" i="28" a="1"/>
  <c r="I424" i="28" s="1"/>
  <c r="I425" i="28" a="1"/>
  <c r="I425" i="28" s="1"/>
  <c r="I426" i="28" a="1"/>
  <c r="I426" i="28" s="1"/>
  <c r="I427" i="28" a="1"/>
  <c r="I427" i="28" s="1"/>
  <c r="I429" i="28" a="1"/>
  <c r="I429" i="28" s="1"/>
  <c r="I430" i="28" a="1"/>
  <c r="I430" i="28" s="1"/>
  <c r="I431" i="28" a="1"/>
  <c r="I431" i="28" s="1"/>
  <c r="I432" i="28" a="1"/>
  <c r="I432" i="28" s="1"/>
  <c r="I433" i="28" a="1"/>
  <c r="I433" i="28" s="1"/>
  <c r="I434" i="28" a="1"/>
  <c r="I434" i="28" s="1"/>
  <c r="I435" i="28" a="1"/>
  <c r="I435" i="28" s="1"/>
  <c r="I436" i="28" a="1"/>
  <c r="I436" i="28" s="1"/>
  <c r="I437" i="28" a="1"/>
  <c r="I437" i="28" s="1"/>
  <c r="I438" i="28" a="1"/>
  <c r="I438" i="28" s="1"/>
  <c r="I439" i="28" a="1"/>
  <c r="I439" i="28" s="1"/>
  <c r="I441" i="28" a="1"/>
  <c r="I441" i="28" s="1"/>
  <c r="I442" i="28" a="1"/>
  <c r="I442" i="28" s="1"/>
  <c r="I443" i="28" a="1"/>
  <c r="I443" i="28" s="1"/>
  <c r="I444" i="28" a="1"/>
  <c r="I444" i="28" s="1"/>
  <c r="I445" i="28" a="1"/>
  <c r="I445" i="28" s="1"/>
  <c r="I446" i="28" a="1"/>
  <c r="I446" i="28" s="1"/>
  <c r="I447" i="28" a="1"/>
  <c r="I447" i="28" s="1"/>
  <c r="I448" i="28" a="1"/>
  <c r="I448" i="28" s="1"/>
  <c r="I449" i="28" a="1"/>
  <c r="I449" i="28" s="1"/>
  <c r="I450" i="28" a="1"/>
  <c r="I450" i="28" s="1"/>
  <c r="I451" i="28" a="1"/>
  <c r="I451" i="28" s="1"/>
  <c r="I453" i="28" a="1"/>
  <c r="I453" i="28" s="1"/>
  <c r="I454" i="28" a="1"/>
  <c r="I454" i="28" s="1"/>
  <c r="I455" i="28" a="1"/>
  <c r="I455" i="28" s="1"/>
  <c r="I456" i="28" a="1"/>
  <c r="I456" i="28" s="1"/>
  <c r="I457" i="28" a="1"/>
  <c r="I457" i="28" s="1"/>
  <c r="I458" i="28" a="1"/>
  <c r="I458" i="28" s="1"/>
  <c r="I459" i="28" a="1"/>
  <c r="I459" i="28" s="1"/>
  <c r="I460" i="28" a="1"/>
  <c r="I460" i="28" s="1"/>
  <c r="I461" i="28" a="1"/>
  <c r="I461" i="28" s="1"/>
  <c r="I462" i="28" a="1"/>
  <c r="I462" i="28" s="1"/>
  <c r="I463" i="28" a="1"/>
  <c r="I463" i="28" s="1"/>
  <c r="I465" i="28" a="1"/>
  <c r="I465" i="28" s="1"/>
  <c r="I466" i="28" a="1"/>
  <c r="I466" i="28" s="1"/>
  <c r="I467" i="28" a="1"/>
  <c r="I467" i="28" s="1"/>
  <c r="I468" i="28" a="1"/>
  <c r="I468" i="28" s="1"/>
  <c r="I469" i="28" a="1"/>
  <c r="I469" i="28" s="1"/>
  <c r="I470" i="28" a="1"/>
  <c r="I470" i="28" s="1"/>
  <c r="I471" i="28" a="1"/>
  <c r="I471" i="28" s="1"/>
  <c r="I472" i="28" a="1"/>
  <c r="I472" i="28" s="1"/>
  <c r="I473" i="28" a="1"/>
  <c r="I473" i="28" s="1"/>
  <c r="I474" i="28" a="1"/>
  <c r="I474" i="28" s="1"/>
  <c r="I475" i="28" a="1"/>
  <c r="I475" i="28" s="1"/>
  <c r="I477" i="28" a="1"/>
  <c r="I477" i="28" s="1"/>
  <c r="I478" i="28" a="1"/>
  <c r="I478" i="28" s="1"/>
  <c r="I479" i="28" a="1"/>
  <c r="I479" i="28" s="1"/>
  <c r="I480" i="28" a="1"/>
  <c r="I480" i="28" s="1"/>
  <c r="I481" i="28" a="1"/>
  <c r="I481" i="28" s="1"/>
  <c r="I482" i="28" a="1"/>
  <c r="I482" i="28" s="1"/>
  <c r="I483" i="28" a="1"/>
  <c r="I483" i="28" s="1"/>
  <c r="I484" i="28" a="1"/>
  <c r="I484" i="28" s="1"/>
  <c r="I485" i="28" a="1"/>
  <c r="I485" i="28" s="1"/>
  <c r="I486" i="28" a="1"/>
  <c r="I486" i="28" s="1"/>
  <c r="I487" i="28" a="1"/>
  <c r="I487" i="28" s="1"/>
  <c r="I489" i="28" a="1"/>
  <c r="I489" i="28" s="1"/>
  <c r="I490" i="28" a="1"/>
  <c r="I490" i="28" s="1"/>
  <c r="I491" i="28" a="1"/>
  <c r="I491" i="28" s="1"/>
  <c r="I492" i="28" a="1"/>
  <c r="I492" i="28" s="1"/>
  <c r="I493" i="28" a="1"/>
  <c r="I493" i="28" s="1"/>
  <c r="I494" i="28" a="1"/>
  <c r="I494" i="28" s="1"/>
  <c r="I495" i="28" a="1"/>
  <c r="I495" i="28" s="1"/>
  <c r="I496" i="28" a="1"/>
  <c r="I496" i="28" s="1"/>
  <c r="I497" i="28" a="1"/>
  <c r="I497" i="28" s="1"/>
  <c r="I498" i="28" a="1"/>
  <c r="I498" i="28" s="1"/>
  <c r="I499" i="28" a="1"/>
  <c r="I499" i="28" s="1"/>
  <c r="I501" i="28" a="1"/>
  <c r="I501" i="28" s="1"/>
  <c r="I502" i="28" a="1"/>
  <c r="I502" i="28" s="1"/>
  <c r="I503" i="28" a="1"/>
  <c r="I503" i="28" s="1"/>
  <c r="I504" i="28" a="1"/>
  <c r="I504" i="28" s="1"/>
  <c r="I505" i="28" a="1"/>
  <c r="I505" i="28" s="1"/>
  <c r="I506" i="28" a="1"/>
  <c r="I506" i="28" s="1"/>
  <c r="I507" i="28" a="1"/>
  <c r="I507" i="28" s="1"/>
  <c r="I508" i="28" a="1"/>
  <c r="I508" i="28" s="1"/>
  <c r="I509" i="28" a="1"/>
  <c r="I509" i="28" s="1"/>
  <c r="I510" i="28" a="1"/>
  <c r="I510" i="28" s="1"/>
  <c r="N76" i="14" a="1"/>
  <c r="N76" i="14" s="1"/>
  <c r="J9" i="28"/>
  <c r="J10" i="28"/>
  <c r="J11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J37" i="28"/>
  <c r="J38" i="28"/>
  <c r="J39" i="28"/>
  <c r="J40" i="28"/>
  <c r="J41" i="28"/>
  <c r="J42" i="28"/>
  <c r="J43" i="28"/>
  <c r="J44" i="28"/>
  <c r="J45" i="28"/>
  <c r="J46" i="28"/>
  <c r="J47" i="28"/>
  <c r="J48" i="28"/>
  <c r="J49" i="28"/>
  <c r="J50" i="28"/>
  <c r="J51" i="28"/>
  <c r="J52" i="28"/>
  <c r="J53" i="28"/>
  <c r="J54" i="28"/>
  <c r="J55" i="28"/>
  <c r="J56" i="28"/>
  <c r="J57" i="28"/>
  <c r="J58" i="28"/>
  <c r="J59" i="28"/>
  <c r="J60" i="28"/>
  <c r="J61" i="28"/>
  <c r="J62" i="28"/>
  <c r="J63" i="28"/>
  <c r="J64" i="28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83" i="28"/>
  <c r="J84" i="28"/>
  <c r="J85" i="28"/>
  <c r="J86" i="28"/>
  <c r="J87" i="28"/>
  <c r="J88" i="28"/>
  <c r="J89" i="28"/>
  <c r="J90" i="28"/>
  <c r="J91" i="28"/>
  <c r="J92" i="28"/>
  <c r="J93" i="28"/>
  <c r="J94" i="28"/>
  <c r="J95" i="28"/>
  <c r="J96" i="28"/>
  <c r="J97" i="28"/>
  <c r="J98" i="28"/>
  <c r="J99" i="28"/>
  <c r="J100" i="28"/>
  <c r="J101" i="28"/>
  <c r="J102" i="28"/>
  <c r="J103" i="28"/>
  <c r="J104" i="28"/>
  <c r="J105" i="28"/>
  <c r="J106" i="28"/>
  <c r="J107" i="28"/>
  <c r="J108" i="28"/>
  <c r="J109" i="28"/>
  <c r="J110" i="28"/>
  <c r="J111" i="28"/>
  <c r="J112" i="28"/>
  <c r="J113" i="28"/>
  <c r="J114" i="28"/>
  <c r="J115" i="28"/>
  <c r="J116" i="28"/>
  <c r="J117" i="28"/>
  <c r="J118" i="28"/>
  <c r="J119" i="28"/>
  <c r="J120" i="28"/>
  <c r="J121" i="28"/>
  <c r="J122" i="28"/>
  <c r="J123" i="28"/>
  <c r="J124" i="28"/>
  <c r="J125" i="28"/>
  <c r="J126" i="28"/>
  <c r="J127" i="28"/>
  <c r="J128" i="28"/>
  <c r="J129" i="28"/>
  <c r="J130" i="28"/>
  <c r="J131" i="28"/>
  <c r="J132" i="28"/>
  <c r="J133" i="28"/>
  <c r="J134" i="28"/>
  <c r="J135" i="28"/>
  <c r="J136" i="28"/>
  <c r="J137" i="28"/>
  <c r="J138" i="28"/>
  <c r="J139" i="28"/>
  <c r="J140" i="28"/>
  <c r="J141" i="28"/>
  <c r="J142" i="28"/>
  <c r="J143" i="28"/>
  <c r="J144" i="28"/>
  <c r="J145" i="28"/>
  <c r="J146" i="28"/>
  <c r="J147" i="28"/>
  <c r="J148" i="28"/>
  <c r="J149" i="28"/>
  <c r="J150" i="28"/>
  <c r="J151" i="28"/>
  <c r="J152" i="28"/>
  <c r="J153" i="28"/>
  <c r="J154" i="28"/>
  <c r="J155" i="28"/>
  <c r="J156" i="28"/>
  <c r="J157" i="28"/>
  <c r="J158" i="28"/>
  <c r="J159" i="28"/>
  <c r="J160" i="28"/>
  <c r="J161" i="28"/>
  <c r="J162" i="28"/>
  <c r="J163" i="28"/>
  <c r="J164" i="28"/>
  <c r="J165" i="28"/>
  <c r="J166" i="28"/>
  <c r="J167" i="28"/>
  <c r="J168" i="28"/>
  <c r="J169" i="28"/>
  <c r="J170" i="28"/>
  <c r="J171" i="28"/>
  <c r="J172" i="28"/>
  <c r="J173" i="28"/>
  <c r="J174" i="28"/>
  <c r="J175" i="28"/>
  <c r="J176" i="28"/>
  <c r="J177" i="28"/>
  <c r="J178" i="28"/>
  <c r="J179" i="28"/>
  <c r="J180" i="28"/>
  <c r="J181" i="28"/>
  <c r="J182" i="28"/>
  <c r="J183" i="28"/>
  <c r="J184" i="28"/>
  <c r="J185" i="28"/>
  <c r="J186" i="28"/>
  <c r="J187" i="28"/>
  <c r="J188" i="28"/>
  <c r="J189" i="28"/>
  <c r="J190" i="28"/>
  <c r="J191" i="28"/>
  <c r="J192" i="28"/>
  <c r="J193" i="28"/>
  <c r="J194" i="28"/>
  <c r="J195" i="28"/>
  <c r="J196" i="28"/>
  <c r="J197" i="28"/>
  <c r="J198" i="28"/>
  <c r="J199" i="28"/>
  <c r="J200" i="28"/>
  <c r="J201" i="28"/>
  <c r="J202" i="28"/>
  <c r="J203" i="28"/>
  <c r="J204" i="28"/>
  <c r="J205" i="28"/>
  <c r="J206" i="28"/>
  <c r="J207" i="28"/>
  <c r="J208" i="28"/>
  <c r="J209" i="28"/>
  <c r="J210" i="28"/>
  <c r="J211" i="28"/>
  <c r="J212" i="28"/>
  <c r="J213" i="28"/>
  <c r="J214" i="28"/>
  <c r="J215" i="28"/>
  <c r="J216" i="28"/>
  <c r="J217" i="28"/>
  <c r="J218" i="28"/>
  <c r="J219" i="28"/>
  <c r="J220" i="28"/>
  <c r="J221" i="28"/>
  <c r="J222" i="28"/>
  <c r="J223" i="28"/>
  <c r="J224" i="28"/>
  <c r="J225" i="28"/>
  <c r="J226" i="28"/>
  <c r="J227" i="28"/>
  <c r="J228" i="28"/>
  <c r="J229" i="28"/>
  <c r="J230" i="28"/>
  <c r="J231" i="28"/>
  <c r="J232" i="28"/>
  <c r="J233" i="28"/>
  <c r="J234" i="28"/>
  <c r="J235" i="28"/>
  <c r="J236" i="28"/>
  <c r="J237" i="28"/>
  <c r="J238" i="28"/>
  <c r="J239" i="28"/>
  <c r="J240" i="28"/>
  <c r="J241" i="28"/>
  <c r="J242" i="28"/>
  <c r="J243" i="28"/>
  <c r="J244" i="28"/>
  <c r="J245" i="28"/>
  <c r="J246" i="28"/>
  <c r="J247" i="28"/>
  <c r="J248" i="28"/>
  <c r="J249" i="28"/>
  <c r="J250" i="28"/>
  <c r="J251" i="28"/>
  <c r="J252" i="28"/>
  <c r="J253" i="28"/>
  <c r="J254" i="28"/>
  <c r="J255" i="28"/>
  <c r="J256" i="28"/>
  <c r="J257" i="28"/>
  <c r="J258" i="28"/>
  <c r="J259" i="28"/>
  <c r="J260" i="28"/>
  <c r="J261" i="28"/>
  <c r="J262" i="28"/>
  <c r="J263" i="28"/>
  <c r="J264" i="28"/>
  <c r="J265" i="28"/>
  <c r="J266" i="28"/>
  <c r="J267" i="28"/>
  <c r="J268" i="28"/>
  <c r="J269" i="28"/>
  <c r="J270" i="28"/>
  <c r="J271" i="28"/>
  <c r="J272" i="28"/>
  <c r="J273" i="28"/>
  <c r="J274" i="28"/>
  <c r="J275" i="28"/>
  <c r="J276" i="28"/>
  <c r="J277" i="28"/>
  <c r="J278" i="28"/>
  <c r="J279" i="28"/>
  <c r="J280" i="28"/>
  <c r="J281" i="28"/>
  <c r="J282" i="28"/>
  <c r="J283" i="28"/>
  <c r="J284" i="28"/>
  <c r="J285" i="28"/>
  <c r="J286" i="28"/>
  <c r="J287" i="28"/>
  <c r="J288" i="28"/>
  <c r="J289" i="28"/>
  <c r="J290" i="28"/>
  <c r="J291" i="28"/>
  <c r="J292" i="28"/>
  <c r="J293" i="28"/>
  <c r="J294" i="28"/>
  <c r="J295" i="28"/>
  <c r="J296" i="28"/>
  <c r="J297" i="28"/>
  <c r="J298" i="28"/>
  <c r="J299" i="28"/>
  <c r="J300" i="28"/>
  <c r="J301" i="28"/>
  <c r="J302" i="28"/>
  <c r="J303" i="28"/>
  <c r="J304" i="28"/>
  <c r="J305" i="28"/>
  <c r="J306" i="28"/>
  <c r="J307" i="28"/>
  <c r="J308" i="28"/>
  <c r="J309" i="28"/>
  <c r="J310" i="28"/>
  <c r="J311" i="28"/>
  <c r="J312" i="28"/>
  <c r="J313" i="28"/>
  <c r="J314" i="28"/>
  <c r="J315" i="28"/>
  <c r="J316" i="28"/>
  <c r="J317" i="28"/>
  <c r="J318" i="28"/>
  <c r="J319" i="28"/>
  <c r="J320" i="28"/>
  <c r="J321" i="28"/>
  <c r="J322" i="28"/>
  <c r="J323" i="28"/>
  <c r="J324" i="28"/>
  <c r="J325" i="28"/>
  <c r="J326" i="28"/>
  <c r="J327" i="28"/>
  <c r="J328" i="28"/>
  <c r="J329" i="28"/>
  <c r="J330" i="28"/>
  <c r="J331" i="28"/>
  <c r="J332" i="28"/>
  <c r="J333" i="28"/>
  <c r="J334" i="28"/>
  <c r="J335" i="28"/>
  <c r="J336" i="28"/>
  <c r="J337" i="28"/>
  <c r="J338" i="28"/>
  <c r="J339" i="28"/>
  <c r="J340" i="28"/>
  <c r="J341" i="28"/>
  <c r="J342" i="28"/>
  <c r="J343" i="28"/>
  <c r="J344" i="28"/>
  <c r="J345" i="28"/>
  <c r="J346" i="28"/>
  <c r="J347" i="28"/>
  <c r="J348" i="28"/>
  <c r="J349" i="28"/>
  <c r="J350" i="28"/>
  <c r="J351" i="28"/>
  <c r="J352" i="28"/>
  <c r="J353" i="28"/>
  <c r="J354" i="28"/>
  <c r="J355" i="28"/>
  <c r="J356" i="28"/>
  <c r="J357" i="28"/>
  <c r="J358" i="28"/>
  <c r="J359" i="28"/>
  <c r="J360" i="28"/>
  <c r="J361" i="28"/>
  <c r="J362" i="28"/>
  <c r="J363" i="28"/>
  <c r="J364" i="28"/>
  <c r="J365" i="28"/>
  <c r="J366" i="28"/>
  <c r="J367" i="28"/>
  <c r="J368" i="28"/>
  <c r="J369" i="28"/>
  <c r="J370" i="28"/>
  <c r="J371" i="28"/>
  <c r="J372" i="28"/>
  <c r="J373" i="28"/>
  <c r="J374" i="28"/>
  <c r="J375" i="28"/>
  <c r="J376" i="28"/>
  <c r="J377" i="28"/>
  <c r="J378" i="28"/>
  <c r="J379" i="28"/>
  <c r="J380" i="28"/>
  <c r="J381" i="28"/>
  <c r="J382" i="28"/>
  <c r="J383" i="28"/>
  <c r="J384" i="28"/>
  <c r="J385" i="28"/>
  <c r="J386" i="28"/>
  <c r="J387" i="28"/>
  <c r="J388" i="28"/>
  <c r="J389" i="28"/>
  <c r="J390" i="28"/>
  <c r="J391" i="28"/>
  <c r="J392" i="28"/>
  <c r="J393" i="28"/>
  <c r="J394" i="28"/>
  <c r="J395" i="28"/>
  <c r="J396" i="28"/>
  <c r="J397" i="28"/>
  <c r="J398" i="28"/>
  <c r="J399" i="28"/>
  <c r="J400" i="28"/>
  <c r="J401" i="28"/>
  <c r="J402" i="28"/>
  <c r="J403" i="28"/>
  <c r="J404" i="28"/>
  <c r="J405" i="28"/>
  <c r="J406" i="28"/>
  <c r="J407" i="28"/>
  <c r="J408" i="28"/>
  <c r="J409" i="28"/>
  <c r="J410" i="28"/>
  <c r="J411" i="28"/>
  <c r="J412" i="28"/>
  <c r="J413" i="28"/>
  <c r="J414" i="28"/>
  <c r="J415" i="28"/>
  <c r="J416" i="28"/>
  <c r="J417" i="28"/>
  <c r="J418" i="28"/>
  <c r="J419" i="28"/>
  <c r="J420" i="28"/>
  <c r="J421" i="28"/>
  <c r="J422" i="28"/>
  <c r="J423" i="28"/>
  <c r="J424" i="28"/>
  <c r="J425" i="28"/>
  <c r="J426" i="28"/>
  <c r="J427" i="28"/>
  <c r="J428" i="28"/>
  <c r="J429" i="28"/>
  <c r="J430" i="28"/>
  <c r="J431" i="28"/>
  <c r="J432" i="28"/>
  <c r="J433" i="28"/>
  <c r="J434" i="28"/>
  <c r="J435" i="28"/>
  <c r="J436" i="28"/>
  <c r="J437" i="28"/>
  <c r="J438" i="28"/>
  <c r="J439" i="28"/>
  <c r="J440" i="28"/>
  <c r="J441" i="28"/>
  <c r="J442" i="28"/>
  <c r="J443" i="28"/>
  <c r="J444" i="28"/>
  <c r="J445" i="28"/>
  <c r="J446" i="28"/>
  <c r="J447" i="28"/>
  <c r="J448" i="28"/>
  <c r="J449" i="28"/>
  <c r="J450" i="28"/>
  <c r="J451" i="28"/>
  <c r="J452" i="28"/>
  <c r="J453" i="28"/>
  <c r="J454" i="28"/>
  <c r="J455" i="28"/>
  <c r="J456" i="28"/>
  <c r="J457" i="28"/>
  <c r="J458" i="28"/>
  <c r="J459" i="28"/>
  <c r="J460" i="28"/>
  <c r="J461" i="28"/>
  <c r="J462" i="28"/>
  <c r="J463" i="28"/>
  <c r="J464" i="28"/>
  <c r="J465" i="28"/>
  <c r="J466" i="28"/>
  <c r="J467" i="28"/>
  <c r="J468" i="28"/>
  <c r="J469" i="28"/>
  <c r="J470" i="28"/>
  <c r="J471" i="28"/>
  <c r="J472" i="28"/>
  <c r="J473" i="28"/>
  <c r="J474" i="28"/>
  <c r="J475" i="28"/>
  <c r="J476" i="28"/>
  <c r="J477" i="28"/>
  <c r="J478" i="28"/>
  <c r="J479" i="28"/>
  <c r="J480" i="28"/>
  <c r="J481" i="28"/>
  <c r="J482" i="28"/>
  <c r="J483" i="28"/>
  <c r="J484" i="28"/>
  <c r="J485" i="28"/>
  <c r="J486" i="28"/>
  <c r="J487" i="28"/>
  <c r="J488" i="28"/>
  <c r="J489" i="28"/>
  <c r="J490" i="28"/>
  <c r="J491" i="28"/>
  <c r="J492" i="28"/>
  <c r="J493" i="28"/>
  <c r="J494" i="28"/>
  <c r="J495" i="28"/>
  <c r="J496" i="28"/>
  <c r="J497" i="28"/>
  <c r="J498" i="28"/>
  <c r="J499" i="28"/>
  <c r="J500" i="28"/>
  <c r="J501" i="28"/>
  <c r="J502" i="28"/>
  <c r="J503" i="28"/>
  <c r="J504" i="28"/>
  <c r="J505" i="28"/>
  <c r="J506" i="28"/>
  <c r="J507" i="28"/>
  <c r="J508" i="28"/>
  <c r="J509" i="28"/>
  <c r="J510" i="28"/>
  <c r="O4" i="14"/>
  <c r="F2" i="39"/>
  <c r="F2" i="37"/>
  <c r="F2" i="41"/>
  <c r="H66" i="43"/>
  <c r="P22" i="41"/>
  <c r="I59" i="43"/>
  <c r="G66" i="43"/>
  <c r="N18" i="37"/>
  <c r="G64" i="43"/>
  <c r="G61" i="43"/>
  <c r="G59" i="43"/>
  <c r="I57" i="43"/>
  <c r="L18" i="37"/>
  <c r="H63" i="43"/>
  <c r="H62" i="43"/>
  <c r="I64" i="43"/>
  <c r="P23" i="41"/>
  <c r="H64" i="43"/>
  <c r="I63" i="43"/>
  <c r="H61" i="43"/>
  <c r="I58" i="43"/>
  <c r="P24" i="41"/>
  <c r="H67" i="43"/>
  <c r="H58" i="43"/>
  <c r="G60" i="43"/>
  <c r="G62" i="43"/>
  <c r="H57" i="43"/>
  <c r="H65" i="43"/>
  <c r="I61" i="43"/>
  <c r="G65" i="43"/>
  <c r="H23" i="41"/>
  <c r="G67" i="43"/>
  <c r="H59" i="43"/>
  <c r="G57" i="43"/>
  <c r="I66" i="43"/>
  <c r="H60" i="43"/>
  <c r="P25" i="41"/>
  <c r="I67" i="43"/>
  <c r="H27" i="41"/>
  <c r="I62" i="43"/>
  <c r="G58" i="43"/>
  <c r="I60" i="43"/>
  <c r="M18" i="37"/>
  <c r="I65" i="43"/>
  <c r="G63" i="43"/>
  <c r="M38" i="37" l="1"/>
  <c r="B42" i="18" l="1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P53" i="14"/>
  <c r="P52" i="14"/>
  <c r="R52" i="14" s="1"/>
  <c r="S52" i="14" s="1"/>
  <c r="C34" i="14" s="1"/>
  <c r="P51" i="14"/>
  <c r="R51" i="14" s="1"/>
  <c r="S51" i="14" s="1"/>
  <c r="C33" i="14" s="1"/>
  <c r="P50" i="14"/>
  <c r="R50" i="14" s="1"/>
  <c r="S50" i="14" s="1"/>
  <c r="C32" i="14" s="1"/>
  <c r="P49" i="14"/>
  <c r="R49" i="14" s="1"/>
  <c r="S49" i="14" s="1"/>
  <c r="C31" i="14" s="1"/>
  <c r="P48" i="14"/>
  <c r="R48" i="14" s="1"/>
  <c r="S48" i="14" s="1"/>
  <c r="C30" i="14" s="1"/>
  <c r="P47" i="14"/>
  <c r="R47" i="14" s="1"/>
  <c r="S47" i="14" s="1"/>
  <c r="C29" i="14" s="1"/>
  <c r="P46" i="14"/>
  <c r="R46" i="14" s="1"/>
  <c r="S46" i="14" s="1"/>
  <c r="C28" i="14" s="1"/>
  <c r="P45" i="14"/>
  <c r="R45" i="14" s="1"/>
  <c r="S45" i="14" s="1"/>
  <c r="C27" i="14" s="1"/>
  <c r="P44" i="14"/>
  <c r="R44" i="14" s="1"/>
  <c r="S44" i="14" s="1"/>
  <c r="C26" i="14" s="1"/>
  <c r="P43" i="14"/>
  <c r="R43" i="14" s="1"/>
  <c r="S43" i="14" s="1"/>
  <c r="C25" i="14" s="1"/>
  <c r="P42" i="14"/>
  <c r="R42" i="14" s="1"/>
  <c r="S42" i="14" s="1"/>
  <c r="C24" i="14" s="1"/>
  <c r="P41" i="14"/>
  <c r="R41" i="14" s="1"/>
  <c r="S41" i="14" s="1"/>
  <c r="C23" i="14" s="1"/>
  <c r="P40" i="14"/>
  <c r="R40" i="14" s="1"/>
  <c r="S40" i="14" s="1"/>
  <c r="C22" i="14" s="1"/>
  <c r="P39" i="14"/>
  <c r="R39" i="14" s="1"/>
  <c r="S39" i="14" s="1"/>
  <c r="C21" i="14" s="1"/>
  <c r="P38" i="14"/>
  <c r="R38" i="14" s="1"/>
  <c r="S38" i="14" s="1"/>
  <c r="C20" i="14" s="1"/>
  <c r="P37" i="14"/>
  <c r="R37" i="14" s="1"/>
  <c r="S37" i="14" s="1"/>
  <c r="C19" i="14" s="1"/>
  <c r="P36" i="14"/>
  <c r="R36" i="14" s="1"/>
  <c r="S36" i="14" s="1"/>
  <c r="C18" i="14" s="1"/>
  <c r="P35" i="14"/>
  <c r="R35" i="14" s="1"/>
  <c r="S35" i="14" s="1"/>
  <c r="C17" i="14" s="1"/>
  <c r="P34" i="14"/>
  <c r="R34" i="14" s="1"/>
  <c r="S34" i="14" s="1"/>
  <c r="C16" i="14" s="1"/>
  <c r="P33" i="14"/>
  <c r="R33" i="14" s="1"/>
  <c r="S33" i="14" s="1"/>
  <c r="C15" i="14" s="1"/>
  <c r="P32" i="14"/>
  <c r="R32" i="14" s="1"/>
  <c r="S32" i="14" s="1"/>
  <c r="C14" i="14" s="1"/>
  <c r="V31" i="14"/>
  <c r="P31" i="14"/>
  <c r="R31" i="14" s="1"/>
  <c r="S31" i="14" s="1"/>
  <c r="C13" i="14" s="1"/>
  <c r="V30" i="14"/>
  <c r="P30" i="14"/>
  <c r="R30" i="14" s="1"/>
  <c r="S30" i="14" s="1"/>
  <c r="C12" i="14" s="1"/>
  <c r="V29" i="14"/>
  <c r="P29" i="14"/>
  <c r="R29" i="14" s="1"/>
  <c r="S29" i="14" s="1"/>
  <c r="C11" i="14" s="1"/>
  <c r="V28" i="14"/>
  <c r="P28" i="14"/>
  <c r="R28" i="14" s="1"/>
  <c r="S28" i="14" s="1"/>
  <c r="C10" i="14" s="1"/>
  <c r="V27" i="14"/>
  <c r="P27" i="14"/>
  <c r="R27" i="14" s="1"/>
  <c r="S27" i="14" s="1"/>
  <c r="C9" i="14" s="1"/>
  <c r="V26" i="14"/>
  <c r="P26" i="14"/>
  <c r="R26" i="14" s="1"/>
  <c r="S26" i="14" s="1"/>
  <c r="C8" i="14" s="1"/>
  <c r="V25" i="14"/>
  <c r="P25" i="14"/>
  <c r="R25" i="14" s="1"/>
  <c r="S25" i="14" s="1"/>
  <c r="C7" i="14" s="1"/>
  <c r="V24" i="14"/>
  <c r="P24" i="14"/>
  <c r="R24" i="14" s="1"/>
  <c r="S24" i="14" s="1"/>
  <c r="C6" i="14" s="1"/>
  <c r="V23" i="14"/>
  <c r="P23" i="14"/>
  <c r="R23" i="14" s="1"/>
  <c r="S23" i="14" s="1"/>
  <c r="C5" i="14" s="1"/>
  <c r="V22" i="14"/>
  <c r="P22" i="14"/>
  <c r="R22" i="14" s="1"/>
  <c r="S22" i="14" s="1"/>
  <c r="C4" i="14" s="1"/>
  <c r="V21" i="14"/>
  <c r="V20" i="14"/>
  <c r="O76" i="14"/>
  <c r="O75" i="14"/>
  <c r="U74" i="14"/>
  <c r="O74" i="14"/>
  <c r="U73" i="14"/>
  <c r="O73" i="14"/>
  <c r="U72" i="14"/>
  <c r="O72" i="14"/>
  <c r="U71" i="14"/>
  <c r="O71" i="14"/>
  <c r="U70" i="14"/>
  <c r="O70" i="14"/>
  <c r="N70" i="14"/>
  <c r="Z5" i="14"/>
  <c r="N4" i="14"/>
  <c r="H403" i="28"/>
  <c r="G403" i="28"/>
  <c r="H402" i="28"/>
  <c r="G402" i="28"/>
  <c r="H401" i="28"/>
  <c r="G401" i="28"/>
  <c r="H400" i="28"/>
  <c r="G400" i="28"/>
  <c r="H399" i="28"/>
  <c r="G399" i="28"/>
  <c r="H398" i="28"/>
  <c r="G398" i="28"/>
  <c r="H397" i="28"/>
  <c r="G397" i="28"/>
  <c r="H396" i="28"/>
  <c r="G396" i="28"/>
  <c r="H395" i="28"/>
  <c r="G395" i="28"/>
  <c r="H394" i="28"/>
  <c r="G394" i="28"/>
  <c r="H393" i="28"/>
  <c r="G393" i="28"/>
  <c r="H392" i="28"/>
  <c r="G392" i="28"/>
  <c r="H391" i="28"/>
  <c r="G391" i="28"/>
  <c r="H390" i="28"/>
  <c r="G390" i="28"/>
  <c r="H389" i="28"/>
  <c r="G389" i="28"/>
  <c r="H388" i="28"/>
  <c r="G388" i="28"/>
  <c r="H387" i="28"/>
  <c r="G387" i="28"/>
  <c r="H386" i="28"/>
  <c r="G386" i="28"/>
  <c r="H385" i="28"/>
  <c r="G385" i="28"/>
  <c r="H384" i="28"/>
  <c r="G384" i="28"/>
  <c r="H383" i="28"/>
  <c r="G383" i="28"/>
  <c r="H382" i="28"/>
  <c r="G382" i="28"/>
  <c r="H381" i="28"/>
  <c r="G381" i="28"/>
  <c r="H380" i="28"/>
  <c r="G380" i="28"/>
  <c r="H379" i="28"/>
  <c r="G379" i="28"/>
  <c r="H378" i="28"/>
  <c r="G378" i="28"/>
  <c r="H377" i="28"/>
  <c r="G377" i="28"/>
  <c r="H376" i="28"/>
  <c r="G376" i="28"/>
  <c r="H375" i="28"/>
  <c r="G375" i="28"/>
  <c r="H374" i="28"/>
  <c r="G374" i="28"/>
  <c r="H373" i="28"/>
  <c r="G373" i="28"/>
  <c r="H372" i="28"/>
  <c r="G372" i="28"/>
  <c r="H371" i="28"/>
  <c r="G371" i="28"/>
  <c r="H370" i="28"/>
  <c r="G370" i="28"/>
  <c r="H369" i="28"/>
  <c r="G369" i="28"/>
  <c r="H368" i="28"/>
  <c r="G368" i="28"/>
  <c r="H367" i="28"/>
  <c r="G367" i="28"/>
  <c r="H366" i="28"/>
  <c r="G366" i="28"/>
  <c r="H365" i="28"/>
  <c r="G365" i="28"/>
  <c r="H364" i="28"/>
  <c r="G364" i="28"/>
  <c r="H363" i="28"/>
  <c r="G363" i="28"/>
  <c r="H362" i="28"/>
  <c r="G362" i="28"/>
  <c r="H361" i="28"/>
  <c r="G361" i="28"/>
  <c r="H360" i="28"/>
  <c r="G360" i="28"/>
  <c r="H359" i="28"/>
  <c r="G359" i="28"/>
  <c r="H358" i="28"/>
  <c r="G358" i="28"/>
  <c r="H357" i="28"/>
  <c r="G357" i="28"/>
  <c r="H356" i="28"/>
  <c r="G356" i="28"/>
  <c r="H355" i="28"/>
  <c r="G355" i="28"/>
  <c r="H354" i="28"/>
  <c r="G354" i="28"/>
  <c r="H353" i="28"/>
  <c r="G353" i="28"/>
  <c r="H352" i="28"/>
  <c r="G352" i="28"/>
  <c r="H351" i="28"/>
  <c r="G351" i="28"/>
  <c r="H350" i="28"/>
  <c r="G350" i="28"/>
  <c r="H349" i="28"/>
  <c r="G349" i="28"/>
  <c r="H348" i="28"/>
  <c r="G348" i="28"/>
  <c r="H347" i="28"/>
  <c r="G347" i="28"/>
  <c r="H346" i="28"/>
  <c r="G346" i="28"/>
  <c r="H345" i="28"/>
  <c r="G345" i="28"/>
  <c r="H344" i="28"/>
  <c r="G344" i="28"/>
  <c r="H343" i="28"/>
  <c r="G343" i="28"/>
  <c r="H342" i="28"/>
  <c r="G342" i="28"/>
  <c r="H341" i="28"/>
  <c r="G341" i="28"/>
  <c r="H340" i="28"/>
  <c r="G340" i="28"/>
  <c r="H339" i="28"/>
  <c r="G339" i="28"/>
  <c r="H338" i="28"/>
  <c r="G338" i="28"/>
  <c r="H337" i="28"/>
  <c r="G337" i="28"/>
  <c r="H336" i="28"/>
  <c r="G336" i="28"/>
  <c r="H335" i="28"/>
  <c r="G335" i="28"/>
  <c r="H334" i="28"/>
  <c r="G334" i="28"/>
  <c r="H333" i="28"/>
  <c r="G333" i="28"/>
  <c r="H332" i="28"/>
  <c r="G332" i="28"/>
  <c r="H331" i="28"/>
  <c r="G331" i="28"/>
  <c r="H330" i="28"/>
  <c r="G330" i="28"/>
  <c r="H329" i="28"/>
  <c r="G329" i="28"/>
  <c r="H328" i="28"/>
  <c r="G328" i="28"/>
  <c r="H327" i="28"/>
  <c r="G327" i="28"/>
  <c r="H326" i="28"/>
  <c r="G326" i="28"/>
  <c r="H325" i="28"/>
  <c r="G325" i="28"/>
  <c r="H324" i="28"/>
  <c r="G324" i="28"/>
  <c r="H323" i="28"/>
  <c r="G323" i="28"/>
  <c r="H322" i="28"/>
  <c r="G322" i="28"/>
  <c r="H321" i="28"/>
  <c r="G321" i="28"/>
  <c r="H320" i="28"/>
  <c r="G320" i="28"/>
  <c r="H319" i="28"/>
  <c r="G319" i="28"/>
  <c r="H318" i="28"/>
  <c r="G318" i="28"/>
  <c r="H317" i="28"/>
  <c r="G317" i="28"/>
  <c r="H316" i="28"/>
  <c r="G316" i="28"/>
  <c r="H315" i="28"/>
  <c r="G315" i="28"/>
  <c r="H314" i="28"/>
  <c r="G314" i="28"/>
  <c r="H313" i="28"/>
  <c r="G313" i="28"/>
  <c r="H312" i="28"/>
  <c r="G312" i="28"/>
  <c r="H311" i="28"/>
  <c r="G311" i="28"/>
  <c r="H310" i="28"/>
  <c r="G310" i="28"/>
  <c r="H309" i="28"/>
  <c r="G309" i="28"/>
  <c r="H308" i="28"/>
  <c r="G308" i="28"/>
  <c r="H307" i="28"/>
  <c r="G307" i="28"/>
  <c r="H306" i="28"/>
  <c r="G306" i="28"/>
  <c r="H305" i="28"/>
  <c r="G305" i="28"/>
  <c r="H304" i="28"/>
  <c r="G304" i="28"/>
  <c r="H303" i="28"/>
  <c r="G303" i="28"/>
  <c r="H302" i="28"/>
  <c r="G302" i="28"/>
  <c r="H301" i="28"/>
  <c r="G301" i="28"/>
  <c r="H300" i="28"/>
  <c r="G300" i="28"/>
  <c r="H299" i="28"/>
  <c r="G299" i="28"/>
  <c r="H298" i="28"/>
  <c r="G298" i="28"/>
  <c r="H297" i="28"/>
  <c r="G297" i="28"/>
  <c r="H296" i="28"/>
  <c r="G296" i="28"/>
  <c r="H295" i="28"/>
  <c r="G295" i="28"/>
  <c r="H294" i="28"/>
  <c r="G294" i="28"/>
  <c r="H293" i="28"/>
  <c r="G293" i="28"/>
  <c r="H292" i="28"/>
  <c r="G292" i="28"/>
  <c r="H291" i="28"/>
  <c r="G291" i="28"/>
  <c r="H290" i="28"/>
  <c r="G290" i="28"/>
  <c r="H289" i="28"/>
  <c r="G289" i="28"/>
  <c r="H288" i="28"/>
  <c r="G288" i="28"/>
  <c r="H287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H13" i="28"/>
  <c r="G13" i="28"/>
  <c r="H12" i="28"/>
  <c r="G12" i="28"/>
  <c r="H11" i="28"/>
  <c r="G11" i="28"/>
  <c r="H10" i="28"/>
  <c r="G10" i="28"/>
  <c r="H9" i="28"/>
  <c r="G9" i="28"/>
  <c r="J8" i="28"/>
  <c r="H8" i="28"/>
  <c r="G8" i="28"/>
  <c r="D68" i="21"/>
  <c r="D67" i="21"/>
  <c r="D66" i="21"/>
  <c r="D65" i="21"/>
  <c r="D64" i="21"/>
  <c r="D63" i="21"/>
  <c r="D62" i="21"/>
  <c r="D61" i="21"/>
  <c r="D60" i="21"/>
  <c r="D59" i="21"/>
  <c r="D58" i="21"/>
  <c r="D57" i="21"/>
  <c r="D56" i="21"/>
  <c r="D55" i="21"/>
  <c r="D54" i="21"/>
  <c r="D53" i="21"/>
  <c r="B502" i="35"/>
  <c r="K473" i="28"/>
  <c r="B485" i="35"/>
  <c r="K466" i="28"/>
  <c r="L452" i="28"/>
  <c r="K448" i="28"/>
  <c r="L415" i="28"/>
  <c r="L498" i="28"/>
  <c r="K503" i="28"/>
  <c r="L457" i="28"/>
  <c r="K403" i="28"/>
  <c r="L506" i="28"/>
  <c r="L450" i="28"/>
  <c r="K477" i="28"/>
  <c r="K481" i="28"/>
  <c r="B426" i="35"/>
  <c r="L467" i="28"/>
  <c r="K416" i="28"/>
  <c r="K441" i="28"/>
  <c r="L508" i="28"/>
  <c r="L430" i="28"/>
  <c r="B475" i="35"/>
  <c r="L492" i="28"/>
  <c r="B401" i="35"/>
  <c r="K489" i="28"/>
  <c r="K494" i="28"/>
  <c r="K457" i="28"/>
  <c r="L469" i="28"/>
  <c r="L419" i="28"/>
  <c r="B404" i="35"/>
  <c r="B413" i="35"/>
  <c r="L493" i="28"/>
  <c r="K424" i="28"/>
  <c r="L500" i="28"/>
  <c r="L477" i="28"/>
  <c r="L470" i="28"/>
  <c r="L494" i="28"/>
  <c r="B453" i="35"/>
  <c r="L499" i="28"/>
  <c r="L433" i="28"/>
  <c r="L474" i="28"/>
  <c r="K468" i="28"/>
  <c r="K465" i="28"/>
  <c r="B497" i="35"/>
  <c r="B427" i="35"/>
  <c r="L481" i="28"/>
  <c r="L509" i="28"/>
  <c r="K501" i="28"/>
  <c r="B437" i="35"/>
  <c r="B491" i="35"/>
  <c r="K449" i="28"/>
  <c r="K499" i="28"/>
  <c r="B460" i="35"/>
  <c r="K415" i="28"/>
  <c r="B463" i="35"/>
  <c r="L420" i="28"/>
  <c r="B478" i="35"/>
  <c r="L404" i="28"/>
  <c r="L444" i="28"/>
  <c r="L458" i="28"/>
  <c r="B486" i="35"/>
  <c r="L438" i="28"/>
  <c r="B398" i="35"/>
  <c r="B403" i="35"/>
  <c r="L432" i="28"/>
  <c r="L406" i="28"/>
  <c r="B442" i="35"/>
  <c r="L434" i="28"/>
  <c r="K436" i="28"/>
  <c r="K404" i="28"/>
  <c r="B495" i="35"/>
  <c r="K476" i="28"/>
  <c r="L510" i="28"/>
  <c r="L486" i="28"/>
  <c r="L478" i="28"/>
  <c r="K492" i="28"/>
  <c r="B405" i="35"/>
  <c r="K411" i="28"/>
  <c r="B428" i="35"/>
  <c r="L485" i="28"/>
  <c r="L427" i="28"/>
  <c r="K459" i="28"/>
  <c r="L435" i="28"/>
  <c r="L446" i="28"/>
  <c r="B424" i="35"/>
  <c r="B461" i="35"/>
  <c r="L456" i="28"/>
  <c r="L503" i="28"/>
  <c r="L431" i="28"/>
  <c r="B423" i="35"/>
  <c r="L502" i="28"/>
  <c r="L463" i="28"/>
  <c r="B487" i="35"/>
  <c r="B411" i="35"/>
  <c r="L436" i="28"/>
  <c r="K412" i="28"/>
  <c r="L437" i="28"/>
  <c r="K443" i="28"/>
  <c r="B420" i="35"/>
  <c r="K472" i="28"/>
  <c r="L409" i="28"/>
  <c r="B474" i="35"/>
  <c r="L480" i="28"/>
  <c r="B429" i="35"/>
  <c r="K423" i="28"/>
  <c r="K437" i="28"/>
  <c r="B482" i="35"/>
  <c r="K469" i="28"/>
  <c r="B498" i="35"/>
  <c r="L411" i="28"/>
  <c r="B496" i="35"/>
  <c r="K502" i="28"/>
  <c r="B455" i="35"/>
  <c r="K505" i="28"/>
  <c r="L424" i="28"/>
  <c r="B469" i="35"/>
  <c r="K426" i="28"/>
  <c r="K496" i="28"/>
  <c r="B443" i="35"/>
  <c r="B448" i="35"/>
  <c r="L461" i="28"/>
  <c r="L423" i="28"/>
  <c r="K453" i="28"/>
  <c r="K407" i="28"/>
  <c r="K421" i="28"/>
  <c r="L473" i="28"/>
  <c r="B400" i="35"/>
  <c r="B409" i="35"/>
  <c r="L428" i="28"/>
  <c r="K410" i="28"/>
  <c r="K422" i="28"/>
  <c r="K425" i="28"/>
  <c r="K431" i="28"/>
  <c r="B451" i="35"/>
  <c r="B410" i="35"/>
  <c r="K444" i="28"/>
  <c r="L453" i="28"/>
  <c r="L459" i="28"/>
  <c r="B417" i="35"/>
  <c r="K504" i="28"/>
  <c r="L412" i="28"/>
  <c r="B473" i="35"/>
  <c r="B446" i="35"/>
  <c r="L483" i="28"/>
  <c r="K445" i="28"/>
  <c r="L489" i="28"/>
  <c r="B418" i="35"/>
  <c r="L425" i="28"/>
  <c r="B440" i="35"/>
  <c r="K474" i="28"/>
  <c r="K475" i="28"/>
  <c r="L471" i="28"/>
  <c r="K462" i="28"/>
  <c r="B484" i="35"/>
  <c r="L455" i="28"/>
  <c r="K454" i="28"/>
  <c r="B399" i="35"/>
  <c r="B500" i="35"/>
  <c r="L501" i="28"/>
  <c r="B503" i="35"/>
  <c r="L495" i="28"/>
  <c r="B488" i="35"/>
  <c r="K450" i="28"/>
  <c r="B472" i="35"/>
  <c r="B412" i="35"/>
  <c r="K487" i="28"/>
  <c r="K463" i="28"/>
  <c r="K417" i="28"/>
  <c r="B504" i="35"/>
  <c r="L505" i="28"/>
  <c r="L465" i="28"/>
  <c r="B468" i="35"/>
  <c r="L488" i="28"/>
  <c r="K495" i="28"/>
  <c r="L408" i="28"/>
  <c r="K471" i="28"/>
  <c r="L507" i="28"/>
  <c r="L410" i="28"/>
  <c r="L476" i="28"/>
  <c r="B406" i="35"/>
  <c r="B471" i="35"/>
  <c r="B419" i="35"/>
  <c r="L484" i="28"/>
  <c r="K433" i="28"/>
  <c r="K413" i="28"/>
  <c r="B481" i="35"/>
  <c r="L504" i="28"/>
  <c r="K435" i="28"/>
  <c r="B402" i="35"/>
  <c r="B483" i="35"/>
  <c r="K483" i="28"/>
  <c r="L479" i="28"/>
  <c r="K509" i="28"/>
  <c r="B430" i="35"/>
  <c r="K491" i="28"/>
  <c r="B416" i="35"/>
  <c r="B462" i="35"/>
  <c r="K484" i="28"/>
  <c r="K418" i="28"/>
  <c r="K464" i="28"/>
  <c r="B490" i="35"/>
  <c r="L429" i="28"/>
  <c r="B480" i="35"/>
  <c r="B432" i="35"/>
  <c r="B433" i="35"/>
  <c r="L414" i="28"/>
  <c r="L451" i="28"/>
  <c r="L426" i="28"/>
  <c r="B479" i="35"/>
  <c r="L445" i="28"/>
  <c r="B438" i="35"/>
  <c r="L440" i="28"/>
  <c r="K478" i="28"/>
  <c r="K408" i="28"/>
  <c r="K456" i="28"/>
  <c r="B467" i="35"/>
  <c r="L487" i="28"/>
  <c r="K506" i="28"/>
  <c r="K470" i="28"/>
  <c r="L464" i="28"/>
  <c r="K461" i="28"/>
  <c r="B421" i="35"/>
  <c r="L482" i="28"/>
  <c r="B505" i="35"/>
  <c r="K447" i="28"/>
  <c r="K460" i="28"/>
  <c r="K440" i="28"/>
  <c r="K482" i="28"/>
  <c r="B431" i="35"/>
  <c r="L460" i="28"/>
  <c r="K446" i="28"/>
  <c r="B501" i="35"/>
  <c r="B454" i="35"/>
  <c r="L454" i="28"/>
  <c r="L468" i="28"/>
  <c r="K493" i="28"/>
  <c r="B434" i="35"/>
  <c r="L449" i="28"/>
  <c r="L421" i="28"/>
  <c r="B422" i="35"/>
  <c r="B439" i="35"/>
  <c r="K467" i="28"/>
  <c r="L442" i="28"/>
  <c r="K507" i="28"/>
  <c r="B457" i="35"/>
  <c r="L405" i="28"/>
  <c r="B415" i="35"/>
  <c r="B441" i="35"/>
  <c r="L422" i="28"/>
  <c r="K405" i="28"/>
  <c r="L475" i="28"/>
  <c r="K419" i="28"/>
  <c r="K452" i="28"/>
  <c r="K406" i="28"/>
  <c r="B459" i="35"/>
  <c r="B499" i="35"/>
  <c r="K414" i="28"/>
  <c r="L472" i="28"/>
  <c r="K485" i="28"/>
  <c r="B464" i="35"/>
  <c r="B493" i="35"/>
  <c r="B465" i="35"/>
  <c r="K480" i="28"/>
  <c r="K434" i="28"/>
  <c r="L443" i="28"/>
  <c r="B425" i="35"/>
  <c r="B436" i="35"/>
  <c r="K432" i="28"/>
  <c r="K430" i="28"/>
  <c r="B489" i="35"/>
  <c r="K486" i="28"/>
  <c r="L490" i="28"/>
  <c r="B445" i="35"/>
  <c r="K508" i="28"/>
  <c r="B492" i="35"/>
  <c r="K439" i="28"/>
  <c r="K429" i="28"/>
  <c r="B447" i="35"/>
  <c r="L497" i="28"/>
  <c r="B449" i="35"/>
  <c r="K500" i="28"/>
  <c r="K479" i="28"/>
  <c r="K498" i="28"/>
  <c r="B407" i="35"/>
  <c r="B458" i="35"/>
  <c r="K451" i="28"/>
  <c r="L439" i="28"/>
  <c r="K488" i="28"/>
  <c r="B444" i="35"/>
  <c r="B476" i="35"/>
  <c r="K490" i="28"/>
  <c r="B477" i="35"/>
  <c r="B452" i="35"/>
  <c r="K510" i="28"/>
  <c r="L413" i="28"/>
  <c r="K497" i="28"/>
  <c r="B435" i="35"/>
  <c r="K427" i="28"/>
  <c r="B450" i="35"/>
  <c r="K458" i="28"/>
  <c r="K455" i="28"/>
  <c r="L441" i="28"/>
  <c r="K442" i="28"/>
  <c r="K438" i="28"/>
  <c r="B466" i="35"/>
  <c r="L407" i="28"/>
  <c r="B494" i="35"/>
  <c r="L447" i="28"/>
  <c r="L462" i="28"/>
  <c r="K409" i="28"/>
  <c r="L416" i="28"/>
  <c r="L466" i="28"/>
  <c r="B456" i="35"/>
  <c r="B408" i="35"/>
  <c r="L418" i="28"/>
  <c r="L491" i="28"/>
  <c r="L496" i="28"/>
  <c r="B414" i="35"/>
  <c r="B470" i="35"/>
  <c r="L448" i="28"/>
  <c r="L417" i="28"/>
  <c r="K420" i="28"/>
  <c r="K428" i="28"/>
  <c r="E18" i="32"/>
  <c r="D17" i="29"/>
  <c r="F18" i="32"/>
  <c r="R53" i="14" l="1"/>
  <c r="S53" i="14" s="1"/>
  <c r="C35" i="14" s="1"/>
  <c r="E35" i="14" s="1"/>
  <c r="G35" i="14" s="1"/>
  <c r="H35" i="14" s="1"/>
  <c r="I35" i="14" s="1"/>
  <c r="F17" i="29"/>
  <c r="E17" i="29"/>
  <c r="F2" i="29"/>
  <c r="N72" i="14" a="1"/>
  <c r="N72" i="14" s="1"/>
  <c r="N73" i="14" a="1"/>
  <c r="N73" i="14" s="1"/>
  <c r="P73" i="14" s="1"/>
  <c r="N74" i="14" a="1"/>
  <c r="N74" i="14" s="1"/>
  <c r="P74" i="14" s="1"/>
  <c r="G18" i="32"/>
  <c r="E27" i="32" s="1"/>
  <c r="Q76" i="14"/>
  <c r="E16" i="14"/>
  <c r="G16" i="14" s="1"/>
  <c r="H16" i="14" s="1"/>
  <c r="I16" i="14" s="1"/>
  <c r="E25" i="14"/>
  <c r="G25" i="14" s="1"/>
  <c r="H25" i="14" s="1"/>
  <c r="I25" i="14" s="1"/>
  <c r="E5" i="14"/>
  <c r="G5" i="14" s="1"/>
  <c r="H5" i="14" s="1"/>
  <c r="I5" i="14" s="1"/>
  <c r="E4" i="14"/>
  <c r="G4" i="14" s="1"/>
  <c r="H4" i="14" s="1"/>
  <c r="I4" i="14" s="1"/>
  <c r="E6" i="14"/>
  <c r="G6" i="14" s="1"/>
  <c r="H6" i="14" s="1"/>
  <c r="I6" i="14" s="1"/>
  <c r="E18" i="14"/>
  <c r="G18" i="14" s="1"/>
  <c r="H18" i="14" s="1"/>
  <c r="I18" i="14" s="1"/>
  <c r="E11" i="14"/>
  <c r="G11" i="14" s="1"/>
  <c r="H11" i="14" s="1"/>
  <c r="I11" i="14" s="1"/>
  <c r="E13" i="14"/>
  <c r="G13" i="14" s="1"/>
  <c r="H13" i="14" s="1"/>
  <c r="I13" i="14" s="1"/>
  <c r="P76" i="14"/>
  <c r="E29" i="14"/>
  <c r="G29" i="14" s="1"/>
  <c r="H29" i="14" s="1"/>
  <c r="I29" i="14" s="1"/>
  <c r="E34" i="14"/>
  <c r="G34" i="14" s="1"/>
  <c r="H34" i="14" s="1"/>
  <c r="I34" i="14" s="1"/>
  <c r="Q70" i="14"/>
  <c r="P70" i="14"/>
  <c r="N71" i="14"/>
  <c r="E17" i="14"/>
  <c r="G17" i="14" s="1"/>
  <c r="H17" i="14" s="1"/>
  <c r="I17" i="14" s="1"/>
  <c r="E22" i="14"/>
  <c r="G22" i="14" s="1"/>
  <c r="H22" i="14" s="1"/>
  <c r="I22" i="14" s="1"/>
  <c r="E26" i="14"/>
  <c r="G26" i="14" s="1"/>
  <c r="H26" i="14" s="1"/>
  <c r="I26" i="14" s="1"/>
  <c r="E30" i="14"/>
  <c r="G30" i="14" s="1"/>
  <c r="H30" i="14" s="1"/>
  <c r="I30" i="14" s="1"/>
  <c r="E9" i="14"/>
  <c r="G9" i="14" s="1"/>
  <c r="H9" i="14" s="1"/>
  <c r="I9" i="14" s="1"/>
  <c r="E21" i="14"/>
  <c r="G21" i="14" s="1"/>
  <c r="H21" i="14" s="1"/>
  <c r="I21" i="14" s="1"/>
  <c r="E20" i="14"/>
  <c r="G20" i="14" s="1"/>
  <c r="H20" i="14" s="1"/>
  <c r="I20" i="14" s="1"/>
  <c r="E23" i="14"/>
  <c r="G23" i="14" s="1"/>
  <c r="H23" i="14" s="1"/>
  <c r="I23" i="14" s="1"/>
  <c r="E27" i="14"/>
  <c r="G27" i="14" s="1"/>
  <c r="H27" i="14" s="1"/>
  <c r="I27" i="14" s="1"/>
  <c r="E31" i="14"/>
  <c r="G31" i="14" s="1"/>
  <c r="H31" i="14" s="1"/>
  <c r="I31" i="14" s="1"/>
  <c r="E8" i="14"/>
  <c r="G8" i="14" s="1"/>
  <c r="H8" i="14" s="1"/>
  <c r="I8" i="14" s="1"/>
  <c r="E12" i="14"/>
  <c r="G12" i="14" s="1"/>
  <c r="H12" i="14" s="1"/>
  <c r="I12" i="14" s="1"/>
  <c r="E14" i="14"/>
  <c r="G14" i="14" s="1"/>
  <c r="H14" i="14" s="1"/>
  <c r="I14" i="14" s="1"/>
  <c r="E7" i="14"/>
  <c r="G7" i="14" s="1"/>
  <c r="H7" i="14" s="1"/>
  <c r="I7" i="14" s="1"/>
  <c r="E10" i="14"/>
  <c r="G10" i="14" s="1"/>
  <c r="H10" i="14" s="1"/>
  <c r="I10" i="14" s="1"/>
  <c r="E19" i="14"/>
  <c r="G19" i="14" s="1"/>
  <c r="H19" i="14" s="1"/>
  <c r="I19" i="14" s="1"/>
  <c r="E24" i="14"/>
  <c r="G24" i="14" s="1"/>
  <c r="H24" i="14" s="1"/>
  <c r="I24" i="14" s="1"/>
  <c r="E28" i="14"/>
  <c r="G28" i="14" s="1"/>
  <c r="H28" i="14" s="1"/>
  <c r="I28" i="14" s="1"/>
  <c r="E32" i="14"/>
  <c r="G32" i="14" s="1"/>
  <c r="H32" i="14" s="1"/>
  <c r="I32" i="14" s="1"/>
  <c r="E15" i="14"/>
  <c r="G15" i="14" s="1"/>
  <c r="H15" i="14" s="1"/>
  <c r="I15" i="14" s="1"/>
  <c r="E33" i="14"/>
  <c r="G33" i="14" s="1"/>
  <c r="H33" i="14" s="1"/>
  <c r="I33" i="14" s="1"/>
  <c r="C44" i="14"/>
  <c r="C43" i="14"/>
  <c r="C42" i="14"/>
  <c r="C37" i="14"/>
  <c r="C48" i="14"/>
  <c r="C41" i="14"/>
  <c r="C58" i="14"/>
  <c r="C56" i="14"/>
  <c r="C45" i="14"/>
  <c r="C64" i="14"/>
  <c r="C51" i="14"/>
  <c r="C54" i="14"/>
  <c r="C53" i="14"/>
  <c r="C36" i="14"/>
  <c r="C55" i="14"/>
  <c r="C60" i="14"/>
  <c r="C38" i="14"/>
  <c r="C57" i="14"/>
  <c r="C65" i="14"/>
  <c r="C40" i="14"/>
  <c r="C63" i="14"/>
  <c r="C52" i="14"/>
  <c r="C50" i="14"/>
  <c r="C61" i="14"/>
  <c r="C39" i="14"/>
  <c r="C59" i="14"/>
  <c r="C49" i="14"/>
  <c r="C46" i="14"/>
  <c r="C47" i="14"/>
  <c r="C62" i="14"/>
  <c r="Q72" i="14" l="1"/>
  <c r="N75" i="14" a="1"/>
  <c r="N75" i="14" s="1"/>
  <c r="Q75" i="14" s="1"/>
  <c r="G17" i="29"/>
  <c r="E51" i="14"/>
  <c r="G51" i="14" s="1"/>
  <c r="H51" i="14" s="1"/>
  <c r="I51" i="14" s="1"/>
  <c r="E61" i="14"/>
  <c r="G61" i="14" s="1"/>
  <c r="H61" i="14" s="1"/>
  <c r="I61" i="14" s="1"/>
  <c r="E43" i="14"/>
  <c r="G43" i="14" s="1"/>
  <c r="H43" i="14" s="1"/>
  <c r="I43" i="14" s="1"/>
  <c r="E42" i="14"/>
  <c r="G42" i="14" s="1"/>
  <c r="H42" i="14" s="1"/>
  <c r="I42" i="14" s="1"/>
  <c r="E52" i="14"/>
  <c r="G52" i="14" s="1"/>
  <c r="H52" i="14" s="1"/>
  <c r="I52" i="14" s="1"/>
  <c r="E50" i="14"/>
  <c r="G50" i="14" s="1"/>
  <c r="H50" i="14" s="1"/>
  <c r="I50" i="14" s="1"/>
  <c r="E46" i="14"/>
  <c r="G46" i="14" s="1"/>
  <c r="H46" i="14" s="1"/>
  <c r="I46" i="14" s="1"/>
  <c r="E62" i="14"/>
  <c r="G62" i="14" s="1"/>
  <c r="H62" i="14" s="1"/>
  <c r="I62" i="14" s="1"/>
  <c r="E39" i="14"/>
  <c r="G39" i="14" s="1"/>
  <c r="H39" i="14" s="1"/>
  <c r="I39" i="14" s="1"/>
  <c r="E55" i="14"/>
  <c r="G55" i="14" s="1"/>
  <c r="H55" i="14" s="1"/>
  <c r="I55" i="14" s="1"/>
  <c r="E53" i="14"/>
  <c r="G53" i="14" s="1"/>
  <c r="H53" i="14" s="1"/>
  <c r="I53" i="14" s="1"/>
  <c r="E36" i="14"/>
  <c r="G36" i="14" s="1"/>
  <c r="H36" i="14" s="1"/>
  <c r="I36" i="14" s="1"/>
  <c r="E49" i="14"/>
  <c r="G49" i="14" s="1"/>
  <c r="H49" i="14" s="1"/>
  <c r="I49" i="14" s="1"/>
  <c r="E64" i="14"/>
  <c r="G64" i="14" s="1"/>
  <c r="H64" i="14" s="1"/>
  <c r="I64" i="14" s="1"/>
  <c r="E54" i="14"/>
  <c r="G54" i="14" s="1"/>
  <c r="H54" i="14" s="1"/>
  <c r="I54" i="14" s="1"/>
  <c r="E60" i="14"/>
  <c r="G60" i="14" s="1"/>
  <c r="H60" i="14" s="1"/>
  <c r="I60" i="14" s="1"/>
  <c r="E37" i="14"/>
  <c r="G37" i="14" s="1"/>
  <c r="H37" i="14" s="1"/>
  <c r="I37" i="14" s="1"/>
  <c r="E59" i="14"/>
  <c r="G59" i="14" s="1"/>
  <c r="H59" i="14" s="1"/>
  <c r="I59" i="14" s="1"/>
  <c r="E56" i="14"/>
  <c r="G56" i="14" s="1"/>
  <c r="H56" i="14" s="1"/>
  <c r="I56" i="14" s="1"/>
  <c r="E40" i="14"/>
  <c r="G40" i="14" s="1"/>
  <c r="H40" i="14" s="1"/>
  <c r="I40" i="14" s="1"/>
  <c r="E57" i="14"/>
  <c r="G57" i="14" s="1"/>
  <c r="H57" i="14" s="1"/>
  <c r="I57" i="14" s="1"/>
  <c r="E44" i="14"/>
  <c r="G44" i="14" s="1"/>
  <c r="H44" i="14" s="1"/>
  <c r="I44" i="14" s="1"/>
  <c r="E65" i="14"/>
  <c r="G65" i="14" s="1"/>
  <c r="H65" i="14" s="1"/>
  <c r="I65" i="14" s="1"/>
  <c r="E41" i="14"/>
  <c r="G41" i="14" s="1"/>
  <c r="H41" i="14" s="1"/>
  <c r="I41" i="14" s="1"/>
  <c r="E58" i="14"/>
  <c r="G58" i="14" s="1"/>
  <c r="H58" i="14" s="1"/>
  <c r="I58" i="14" s="1"/>
  <c r="E38" i="14"/>
  <c r="G38" i="14" s="1"/>
  <c r="H38" i="14" s="1"/>
  <c r="I38" i="14" s="1"/>
  <c r="E63" i="14"/>
  <c r="G63" i="14" s="1"/>
  <c r="H63" i="14" s="1"/>
  <c r="I63" i="14" s="1"/>
  <c r="E47" i="14"/>
  <c r="G47" i="14" s="1"/>
  <c r="H47" i="14" s="1"/>
  <c r="I47" i="14" s="1"/>
  <c r="E48" i="14"/>
  <c r="G48" i="14" s="1"/>
  <c r="H48" i="14" s="1"/>
  <c r="I48" i="14" s="1"/>
  <c r="E45" i="14"/>
  <c r="G45" i="14" s="1"/>
  <c r="H45" i="14" s="1"/>
  <c r="I45" i="14" s="1"/>
  <c r="Q73" i="14"/>
  <c r="P72" i="14"/>
  <c r="Q74" i="14"/>
  <c r="F27" i="32"/>
  <c r="Q71" i="14"/>
  <c r="P71" i="14"/>
  <c r="N77" i="14" l="1"/>
  <c r="C35" i="39" s="1"/>
  <c r="P75" i="14"/>
  <c r="P77" i="14" s="1"/>
  <c r="D35" i="39" s="1"/>
  <c r="Q77" i="14"/>
  <c r="D64" i="14" l="1"/>
  <c r="F64" i="14" s="1"/>
  <c r="E35" i="39"/>
  <c r="K4" i="14"/>
  <c r="K5" i="14"/>
  <c r="K13" i="14"/>
  <c r="K21" i="14"/>
  <c r="K29" i="14"/>
  <c r="K6" i="14"/>
  <c r="K14" i="14"/>
  <c r="K22" i="14"/>
  <c r="K30" i="14"/>
  <c r="K28" i="14"/>
  <c r="K7" i="14"/>
  <c r="K15" i="14"/>
  <c r="K23" i="14"/>
  <c r="K8" i="14"/>
  <c r="K16" i="14"/>
  <c r="K24" i="14"/>
  <c r="K9" i="14"/>
  <c r="K17" i="14"/>
  <c r="K25" i="14"/>
  <c r="K10" i="14"/>
  <c r="K18" i="14"/>
  <c r="K26" i="14"/>
  <c r="K11" i="14"/>
  <c r="K19" i="14"/>
  <c r="K27" i="14"/>
  <c r="K12" i="14"/>
  <c r="K20" i="14"/>
  <c r="J37" i="14"/>
  <c r="K37" i="14" s="1"/>
  <c r="J61" i="14"/>
  <c r="K61" i="14" s="1"/>
  <c r="J38" i="14"/>
  <c r="K38" i="14" s="1"/>
  <c r="J32" i="14"/>
  <c r="K32" i="14" s="1"/>
  <c r="J48" i="14"/>
  <c r="K48" i="14" s="1"/>
  <c r="J41" i="14"/>
  <c r="K41" i="14" s="1"/>
  <c r="J31" i="14"/>
  <c r="K31" i="14" s="1"/>
  <c r="J39" i="14"/>
  <c r="K39" i="14" s="1"/>
  <c r="J47" i="14"/>
  <c r="K47" i="14" s="1"/>
  <c r="J55" i="14"/>
  <c r="K55" i="14" s="1"/>
  <c r="J63" i="14"/>
  <c r="K63" i="14" s="1"/>
  <c r="J64" i="14"/>
  <c r="K64" i="14" s="1"/>
  <c r="J57" i="14"/>
  <c r="K57" i="14" s="1"/>
  <c r="J34" i="14"/>
  <c r="K34" i="14" s="1"/>
  <c r="J42" i="14"/>
  <c r="K42" i="14" s="1"/>
  <c r="J50" i="14"/>
  <c r="K50" i="14" s="1"/>
  <c r="J58" i="14"/>
  <c r="K58" i="14" s="1"/>
  <c r="J44" i="14"/>
  <c r="K44" i="14" s="1"/>
  <c r="J60" i="14"/>
  <c r="K60" i="14" s="1"/>
  <c r="J45" i="14"/>
  <c r="K45" i="14" s="1"/>
  <c r="J54" i="14"/>
  <c r="K54" i="14" s="1"/>
  <c r="J40" i="14"/>
  <c r="K40" i="14" s="1"/>
  <c r="J49" i="14"/>
  <c r="K49" i="14" s="1"/>
  <c r="J35" i="14"/>
  <c r="K35" i="14" s="1"/>
  <c r="J43" i="14"/>
  <c r="K43" i="14" s="1"/>
  <c r="J51" i="14"/>
  <c r="K51" i="14" s="1"/>
  <c r="J59" i="14"/>
  <c r="K59" i="14" s="1"/>
  <c r="J36" i="14"/>
  <c r="K36" i="14" s="1"/>
  <c r="J52" i="14"/>
  <c r="K52" i="14" s="1"/>
  <c r="J53" i="14"/>
  <c r="K53" i="14" s="1"/>
  <c r="J46" i="14"/>
  <c r="K46" i="14" s="1"/>
  <c r="J62" i="14"/>
  <c r="K62" i="14" s="1"/>
  <c r="J56" i="14"/>
  <c r="K56" i="14" s="1"/>
  <c r="J33" i="14"/>
  <c r="K33" i="14" s="1"/>
  <c r="J65" i="14"/>
  <c r="K65" i="14" s="1"/>
  <c r="D8" i="14"/>
  <c r="F8" i="14" s="1"/>
  <c r="D52" i="14"/>
  <c r="F52" i="14" s="1"/>
  <c r="D19" i="14"/>
  <c r="F19" i="14" s="1"/>
  <c r="D43" i="14"/>
  <c r="F43" i="14" s="1"/>
  <c r="D20" i="14"/>
  <c r="F20" i="14" s="1"/>
  <c r="D32" i="14"/>
  <c r="F32" i="14" s="1"/>
  <c r="D9" i="14"/>
  <c r="F9" i="14" s="1"/>
  <c r="D36" i="14"/>
  <c r="F36" i="14" s="1"/>
  <c r="D63" i="14"/>
  <c r="F63" i="14" s="1"/>
  <c r="D23" i="14"/>
  <c r="F23" i="14" s="1"/>
  <c r="D65" i="14"/>
  <c r="F65" i="14" s="1"/>
  <c r="D44" i="14"/>
  <c r="F44" i="14" s="1"/>
  <c r="D14" i="14"/>
  <c r="F14" i="14" s="1"/>
  <c r="D24" i="14"/>
  <c r="F24" i="14" s="1"/>
  <c r="D17" i="14"/>
  <c r="F17" i="14" s="1"/>
  <c r="D31" i="14"/>
  <c r="F31" i="14" s="1"/>
  <c r="D41" i="14"/>
  <c r="F41" i="14" s="1"/>
  <c r="D59" i="14"/>
  <c r="F59" i="14" s="1"/>
  <c r="D62" i="14"/>
  <c r="F62" i="14" s="1"/>
  <c r="D25" i="14"/>
  <c r="F25" i="14" s="1"/>
  <c r="D15" i="14"/>
  <c r="F15" i="14" s="1"/>
  <c r="D29" i="14"/>
  <c r="F29" i="14" s="1"/>
  <c r="D30" i="14"/>
  <c r="F30" i="14" s="1"/>
  <c r="D35" i="14"/>
  <c r="F35" i="14" s="1"/>
  <c r="X7" i="14"/>
  <c r="D27" i="14"/>
  <c r="F27" i="14" s="1"/>
  <c r="D12" i="14"/>
  <c r="F12" i="14" s="1"/>
  <c r="D28" i="14"/>
  <c r="F28" i="14" s="1"/>
  <c r="D33" i="14"/>
  <c r="F33" i="14" s="1"/>
  <c r="D34" i="14"/>
  <c r="F34" i="14" s="1"/>
  <c r="D5" i="14"/>
  <c r="F5" i="14" s="1"/>
  <c r="D13" i="14"/>
  <c r="F13" i="14" s="1"/>
  <c r="D21" i="14"/>
  <c r="F21" i="14" s="1"/>
  <c r="D38" i="14"/>
  <c r="F38" i="14" s="1"/>
  <c r="D39" i="14"/>
  <c r="F39" i="14" s="1"/>
  <c r="D40" i="14"/>
  <c r="F40" i="14" s="1"/>
  <c r="D49" i="14"/>
  <c r="F49" i="14" s="1"/>
  <c r="D50" i="14"/>
  <c r="F50" i="14" s="1"/>
  <c r="D42" i="14"/>
  <c r="F42" i="14" s="1"/>
  <c r="D11" i="14"/>
  <c r="F11" i="14" s="1"/>
  <c r="D22" i="14"/>
  <c r="F22" i="14" s="1"/>
  <c r="D37" i="14"/>
  <c r="F37" i="14" s="1"/>
  <c r="D46" i="14"/>
  <c r="F46" i="14" s="1"/>
  <c r="D47" i="14"/>
  <c r="F47" i="14" s="1"/>
  <c r="D48" i="14"/>
  <c r="F48" i="14" s="1"/>
  <c r="D4" i="14"/>
  <c r="F4" i="14" s="1"/>
  <c r="I8" i="28" s="1" a="1"/>
  <c r="I8" i="28" s="1"/>
  <c r="D56" i="14"/>
  <c r="F56" i="14" s="1"/>
  <c r="D51" i="14"/>
  <c r="F51" i="14" s="1"/>
  <c r="D16" i="14"/>
  <c r="F16" i="14" s="1"/>
  <c r="D45" i="14"/>
  <c r="F45" i="14" s="1"/>
  <c r="D54" i="14"/>
  <c r="F54" i="14" s="1"/>
  <c r="D7" i="14"/>
  <c r="F7" i="14" s="1"/>
  <c r="D57" i="14"/>
  <c r="F57" i="14" s="1"/>
  <c r="D6" i="14"/>
  <c r="F6" i="14" s="1"/>
  <c r="D60" i="14"/>
  <c r="F60" i="14" s="1"/>
  <c r="D55" i="14"/>
  <c r="F55" i="14" s="1"/>
  <c r="D26" i="14"/>
  <c r="F26" i="14" s="1"/>
  <c r="D53" i="14"/>
  <c r="F53" i="14" s="1"/>
  <c r="D58" i="14"/>
  <c r="F58" i="14" s="1"/>
  <c r="D10" i="14"/>
  <c r="F10" i="14" s="1"/>
  <c r="D61" i="14"/>
  <c r="F61" i="14" s="1"/>
  <c r="D18" i="14"/>
  <c r="F18" i="14" s="1"/>
  <c r="C403" i="28" l="1"/>
  <c r="H404" i="28" l="1"/>
  <c r="C404" i="28" l="1"/>
  <c r="H405" i="28" l="1"/>
  <c r="F8" i="28" l="1"/>
  <c r="N8" i="28" s="1"/>
  <c r="P8" i="28" s="1"/>
  <c r="O8" i="28" l="1"/>
  <c r="O9" i="28" s="1"/>
  <c r="O10" i="28" s="1"/>
  <c r="O11" i="28" s="1"/>
  <c r="O12" i="28" s="1"/>
  <c r="O13" i="28" s="1"/>
  <c r="O14" i="28" s="1"/>
  <c r="O15" i="28" s="1"/>
  <c r="O16" i="28" s="1"/>
  <c r="O17" i="28" s="1"/>
  <c r="O18" i="28" s="1"/>
  <c r="Q8" i="28" l="1"/>
  <c r="F9" i="28"/>
  <c r="N9" i="28" s="1"/>
  <c r="P9" i="28" s="1"/>
  <c r="R8" i="28"/>
  <c r="S8" i="28"/>
  <c r="R9" i="28" l="1"/>
  <c r="S9" i="28"/>
  <c r="Q9" i="28"/>
  <c r="F10" i="28"/>
  <c r="N10" i="28" s="1"/>
  <c r="T8" i="28"/>
  <c r="P10" i="28" l="1"/>
  <c r="Q10" i="28" s="1"/>
  <c r="S10" i="28"/>
  <c r="T9" i="28"/>
  <c r="R10" i="28" l="1"/>
  <c r="T10" i="28" s="1"/>
  <c r="F11" i="28"/>
  <c r="N11" i="28" s="1"/>
  <c r="P11" i="28" s="1"/>
  <c r="Q11" i="28" s="1"/>
  <c r="S11" i="28"/>
  <c r="R11" i="28" l="1"/>
  <c r="T11" i="28" s="1"/>
  <c r="F12" i="28"/>
  <c r="N12" i="28" s="1"/>
  <c r="P12" i="28" l="1"/>
  <c r="R12" i="28" s="1"/>
  <c r="S12" i="28"/>
  <c r="Q12" i="28" l="1"/>
  <c r="T12" i="28" s="1"/>
  <c r="F13" i="28"/>
  <c r="N13" i="28" s="1"/>
  <c r="P13" i="28" s="1"/>
  <c r="S13" i="28"/>
  <c r="R13" i="28" l="1"/>
  <c r="Q13" i="28"/>
  <c r="F14" i="28"/>
  <c r="N14" i="28" s="1"/>
  <c r="P14" i="28" l="1"/>
  <c r="S14" i="28"/>
  <c r="T13" i="28"/>
  <c r="R14" i="28" l="1"/>
  <c r="F15" i="28"/>
  <c r="N15" i="28" s="1"/>
  <c r="Q14" i="28"/>
  <c r="T14" i="28" l="1"/>
  <c r="P15" i="28"/>
  <c r="S15" i="28"/>
  <c r="Q15" i="28" l="1"/>
  <c r="R15" i="28"/>
  <c r="F16" i="28"/>
  <c r="N16" i="28" s="1"/>
  <c r="P16" i="28" l="1"/>
  <c r="T15" i="28"/>
  <c r="S16" i="28"/>
  <c r="R16" i="28" l="1"/>
  <c r="F17" i="28"/>
  <c r="N17" i="28" s="1"/>
  <c r="Q16" i="28"/>
  <c r="T16" i="28" l="1"/>
  <c r="P17" i="28"/>
  <c r="S17" i="28"/>
  <c r="R17" i="28" l="1"/>
  <c r="Q17" i="28"/>
  <c r="F18" i="28"/>
  <c r="N18" i="28" s="1"/>
  <c r="P18" i="28" l="1"/>
  <c r="R18" i="28" s="1"/>
  <c r="T17" i="28"/>
  <c r="S18" i="28"/>
  <c r="I19" i="28" a="1"/>
  <c r="I19" i="28" s="1"/>
  <c r="Q18" i="28" l="1"/>
  <c r="T18" i="28" s="1"/>
  <c r="F19" i="28"/>
  <c r="N19" i="28" s="1"/>
  <c r="P19" i="28" s="1"/>
  <c r="O19" i="28" l="1"/>
  <c r="O20" i="28" s="1"/>
  <c r="O21" i="28" s="1"/>
  <c r="O22" i="28" s="1"/>
  <c r="O23" i="28" s="1"/>
  <c r="O24" i="28" s="1"/>
  <c r="O25" i="28" s="1"/>
  <c r="O26" i="28" s="1"/>
  <c r="O27" i="28" s="1"/>
  <c r="O28" i="28" s="1"/>
  <c r="O29" i="28" s="1"/>
  <c r="O30" i="28" s="1"/>
  <c r="O31" i="28" s="1"/>
  <c r="R19" i="28"/>
  <c r="Q19" i="28"/>
  <c r="F20" i="28"/>
  <c r="N20" i="28" s="1"/>
  <c r="S19" i="28" l="1"/>
  <c r="T19" i="28" s="1"/>
  <c r="P20" i="28"/>
  <c r="R20" i="28" s="1"/>
  <c r="S20" i="28"/>
  <c r="F21" i="28" l="1"/>
  <c r="N21" i="28" s="1"/>
  <c r="Q20" i="28"/>
  <c r="T20" i="28" s="1"/>
  <c r="P21" i="28" l="1"/>
  <c r="Q21" i="28" s="1"/>
  <c r="S21" i="28"/>
  <c r="R21" i="28" l="1"/>
  <c r="T21" i="28" s="1"/>
  <c r="F22" i="28"/>
  <c r="N22" i="28" s="1"/>
  <c r="P22" i="28" s="1"/>
  <c r="S22" i="28"/>
  <c r="R22" i="28" l="1"/>
  <c r="F23" i="28"/>
  <c r="N23" i="28" s="1"/>
  <c r="Q22" i="28"/>
  <c r="P23" i="28" l="1"/>
  <c r="T22" i="28"/>
  <c r="S23" i="28"/>
  <c r="F24" i="28" l="1"/>
  <c r="N24" i="28" s="1"/>
  <c r="Q23" i="28"/>
  <c r="R23" i="28"/>
  <c r="P24" i="28" l="1"/>
  <c r="T23" i="28"/>
  <c r="S24" i="28"/>
  <c r="F25" i="28" l="1"/>
  <c r="N25" i="28" s="1"/>
  <c r="Q24" i="28"/>
  <c r="R24" i="28"/>
  <c r="P25" i="28" l="1"/>
  <c r="S25" i="28"/>
  <c r="T24" i="28"/>
  <c r="R25" i="28" l="1"/>
  <c r="F26" i="28"/>
  <c r="N26" i="28" s="1"/>
  <c r="Q25" i="28"/>
  <c r="P26" i="28" l="1"/>
  <c r="T25" i="28"/>
  <c r="S26" i="28"/>
  <c r="F27" i="28" l="1"/>
  <c r="N27" i="28" s="1"/>
  <c r="Q26" i="28"/>
  <c r="R26" i="28"/>
  <c r="P27" i="28" l="1"/>
  <c r="T26" i="28"/>
  <c r="S27" i="28"/>
  <c r="R27" i="28" l="1"/>
  <c r="F28" i="28"/>
  <c r="N28" i="28" s="1"/>
  <c r="Q27" i="28"/>
  <c r="P28" i="28" l="1"/>
  <c r="T27" i="28"/>
  <c r="S28" i="28"/>
  <c r="R28" i="28" l="1"/>
  <c r="Q28" i="28"/>
  <c r="F29" i="28"/>
  <c r="N29" i="28" s="1"/>
  <c r="T28" i="28" l="1"/>
  <c r="P29" i="28"/>
  <c r="S29" i="28"/>
  <c r="F30" i="28" l="1"/>
  <c r="N30" i="28" s="1"/>
  <c r="R29" i="28"/>
  <c r="Q29" i="28"/>
  <c r="P30" i="28" l="1"/>
  <c r="T29" i="28"/>
  <c r="S30" i="28"/>
  <c r="F31" i="28" l="1"/>
  <c r="N31" i="28" s="1"/>
  <c r="Q30" i="28"/>
  <c r="R30" i="28"/>
  <c r="P31" i="28" l="1"/>
  <c r="T30" i="28"/>
  <c r="R31" i="28" l="1"/>
  <c r="Q31" i="28"/>
  <c r="S31" i="28"/>
  <c r="I32" i="28" a="1"/>
  <c r="I32" i="28" s="1"/>
  <c r="T31" i="28" l="1"/>
  <c r="F32" i="28"/>
  <c r="N32" i="28" s="1"/>
  <c r="P32" i="28" s="1"/>
  <c r="O32" i="28" l="1"/>
  <c r="O33" i="28" s="1"/>
  <c r="O34" i="28" s="1"/>
  <c r="O35" i="28" s="1"/>
  <c r="O36" i="28" s="1"/>
  <c r="O37" i="28" s="1"/>
  <c r="O38" i="28" s="1"/>
  <c r="O39" i="28" s="1"/>
  <c r="O40" i="28" s="1"/>
  <c r="O41" i="28" s="1"/>
  <c r="O42" i="28" s="1"/>
  <c r="O43" i="28" s="1"/>
  <c r="F33" i="28"/>
  <c r="N33" i="28" s="1"/>
  <c r="Q32" i="28"/>
  <c r="R32" i="28"/>
  <c r="S32" i="28" l="1"/>
  <c r="T32" i="28" s="1"/>
  <c r="P33" i="28"/>
  <c r="F34" i="28" s="1"/>
  <c r="N34" i="28" s="1"/>
  <c r="S33" i="28"/>
  <c r="R33" i="28" l="1"/>
  <c r="P34" i="28"/>
  <c r="Q33" i="28"/>
  <c r="S34" i="28"/>
  <c r="T33" i="28" l="1"/>
  <c r="Q34" i="28"/>
  <c r="F35" i="28"/>
  <c r="N35" i="28" s="1"/>
  <c r="R34" i="28"/>
  <c r="P35" i="28" l="1"/>
  <c r="S35" i="28"/>
  <c r="T34" i="28"/>
  <c r="Q35" i="28" l="1"/>
  <c r="F36" i="28"/>
  <c r="N36" i="28" s="1"/>
  <c r="R35" i="28"/>
  <c r="P36" i="28" l="1"/>
  <c r="S36" i="28"/>
  <c r="T35" i="28"/>
  <c r="Q36" i="28" l="1"/>
  <c r="F37" i="28"/>
  <c r="N37" i="28" s="1"/>
  <c r="R36" i="28"/>
  <c r="P37" i="28" l="1"/>
  <c r="S37" i="28"/>
  <c r="T36" i="28"/>
  <c r="R37" i="28" l="1"/>
  <c r="F38" i="28"/>
  <c r="N38" i="28" s="1"/>
  <c r="Q37" i="28"/>
  <c r="T37" i="28" l="1"/>
  <c r="P38" i="28"/>
  <c r="S38" i="28"/>
  <c r="Q38" i="28" l="1"/>
  <c r="F39" i="28"/>
  <c r="N39" i="28" s="1"/>
  <c r="R38" i="28"/>
  <c r="P39" i="28" l="1"/>
  <c r="S39" i="28"/>
  <c r="T38" i="28"/>
  <c r="R39" i="28" l="1"/>
  <c r="F40" i="28"/>
  <c r="N40" i="28" s="1"/>
  <c r="Q39" i="28"/>
  <c r="T39" i="28" l="1"/>
  <c r="P40" i="28"/>
  <c r="S40" i="28"/>
  <c r="R40" i="28" l="1"/>
  <c r="F41" i="28"/>
  <c r="N41" i="28" s="1"/>
  <c r="Q40" i="28"/>
  <c r="T40" i="28" l="1"/>
  <c r="P41" i="28"/>
  <c r="S41" i="28"/>
  <c r="Q41" i="28" l="1"/>
  <c r="R41" i="28"/>
  <c r="F42" i="28"/>
  <c r="N42" i="28" s="1"/>
  <c r="P42" i="28" l="1"/>
  <c r="S42" i="28"/>
  <c r="T41" i="28"/>
  <c r="Q42" i="28" l="1"/>
  <c r="F43" i="28"/>
  <c r="N43" i="28" s="1"/>
  <c r="R42" i="28"/>
  <c r="P43" i="28" l="1"/>
  <c r="T42" i="28"/>
  <c r="Q43" i="28" l="1"/>
  <c r="R43" i="28"/>
  <c r="S43" i="28"/>
  <c r="I44" i="28" a="1"/>
  <c r="I44" i="28" s="1"/>
  <c r="T43" i="28" l="1"/>
  <c r="F44" i="28"/>
  <c r="N44" i="28" s="1"/>
  <c r="P44" i="28" s="1"/>
  <c r="O44" i="28" l="1"/>
  <c r="O45" i="28" s="1"/>
  <c r="O46" i="28" s="1"/>
  <c r="O47" i="28" s="1"/>
  <c r="O48" i="28" s="1"/>
  <c r="O49" i="28" s="1"/>
  <c r="O50" i="28" s="1"/>
  <c r="O51" i="28" s="1"/>
  <c r="O52" i="28" s="1"/>
  <c r="O53" i="28" s="1"/>
  <c r="O54" i="28" s="1"/>
  <c r="R44" i="28"/>
  <c r="F45" i="28"/>
  <c r="N45" i="28" s="1"/>
  <c r="Q44" i="28"/>
  <c r="S44" i="28" l="1"/>
  <c r="T44" i="28" s="1"/>
  <c r="P45" i="28"/>
  <c r="F46" i="28" s="1"/>
  <c r="N46" i="28" s="1"/>
  <c r="S45" i="28"/>
  <c r="R45" i="28" l="1"/>
  <c r="Q45" i="28"/>
  <c r="P46" i="28"/>
  <c r="S46" i="28"/>
  <c r="T45" i="28" l="1"/>
  <c r="R46" i="28"/>
  <c r="F47" i="28"/>
  <c r="N47" i="28" s="1"/>
  <c r="Q46" i="28"/>
  <c r="T46" i="28" l="1"/>
  <c r="P47" i="28"/>
  <c r="S47" i="28"/>
  <c r="R47" i="28" l="1"/>
  <c r="F48" i="28"/>
  <c r="N48" i="28" s="1"/>
  <c r="Q47" i="28"/>
  <c r="T47" i="28" l="1"/>
  <c r="P48" i="28"/>
  <c r="S48" i="28"/>
  <c r="F49" i="28" l="1"/>
  <c r="N49" i="28" s="1"/>
  <c r="R48" i="28"/>
  <c r="Q48" i="28"/>
  <c r="T48" i="28" l="1"/>
  <c r="P49" i="28"/>
  <c r="S49" i="28"/>
  <c r="R49" i="28" l="1"/>
  <c r="F50" i="28"/>
  <c r="N50" i="28" s="1"/>
  <c r="Q49" i="28"/>
  <c r="T49" i="28" l="1"/>
  <c r="P50" i="28"/>
  <c r="S50" i="28"/>
  <c r="R50" i="28" l="1"/>
  <c r="Q50" i="28"/>
  <c r="F51" i="28"/>
  <c r="N51" i="28" s="1"/>
  <c r="T50" i="28" l="1"/>
  <c r="P51" i="28"/>
  <c r="S51" i="28"/>
  <c r="F52" i="28" l="1"/>
  <c r="N52" i="28" s="1"/>
  <c r="Q51" i="28"/>
  <c r="R51" i="28"/>
  <c r="P52" i="28" l="1"/>
  <c r="T51" i="28"/>
  <c r="S52" i="28"/>
  <c r="Q52" i="28" l="1"/>
  <c r="F53" i="28"/>
  <c r="N53" i="28" s="1"/>
  <c r="R52" i="28"/>
  <c r="P53" i="28" l="1"/>
  <c r="S53" i="28"/>
  <c r="T52" i="28"/>
  <c r="R53" i="28" l="1"/>
  <c r="Q53" i="28"/>
  <c r="F54" i="28"/>
  <c r="N54" i="28" s="1"/>
  <c r="T53" i="28" l="1"/>
  <c r="P54" i="28"/>
  <c r="R54" i="28" s="1"/>
  <c r="S54" i="28"/>
  <c r="I55" i="28" a="1"/>
  <c r="I55" i="28" s="1"/>
  <c r="Q54" i="28" l="1"/>
  <c r="T54" i="28" s="1"/>
  <c r="F55" i="28"/>
  <c r="N55" i="28" s="1"/>
  <c r="P55" i="28" s="1"/>
  <c r="O55" i="28" l="1"/>
  <c r="O56" i="28" s="1"/>
  <c r="O57" i="28" s="1"/>
  <c r="O58" i="28" s="1"/>
  <c r="O59" i="28" s="1"/>
  <c r="O60" i="28" s="1"/>
  <c r="O61" i="28" s="1"/>
  <c r="O62" i="28" s="1"/>
  <c r="O63" i="28" s="1"/>
  <c r="O64" i="28" s="1"/>
  <c r="O65" i="28" s="1"/>
  <c r="O66" i="28" s="1"/>
  <c r="O67" i="28" s="1"/>
  <c r="R55" i="28"/>
  <c r="F56" i="28"/>
  <c r="N56" i="28" s="1"/>
  <c r="Q55" i="28"/>
  <c r="S55" i="28" l="1"/>
  <c r="T55" i="28" s="1"/>
  <c r="P56" i="28"/>
  <c r="R56" i="28" s="1"/>
  <c r="S56" i="28"/>
  <c r="Q56" i="28" l="1"/>
  <c r="T56" i="28" s="1"/>
  <c r="F57" i="28"/>
  <c r="N57" i="28" s="1"/>
  <c r="P57" i="28" l="1"/>
  <c r="Q57" i="28" s="1"/>
  <c r="S57" i="28"/>
  <c r="F58" i="28" l="1"/>
  <c r="N58" i="28" s="1"/>
  <c r="P58" i="28" s="1"/>
  <c r="R57" i="28"/>
  <c r="T57" i="28" s="1"/>
  <c r="S58" i="28"/>
  <c r="Q58" i="28" l="1"/>
  <c r="F59" i="28"/>
  <c r="N59" i="28" s="1"/>
  <c r="R58" i="28"/>
  <c r="P59" i="28" l="1"/>
  <c r="S59" i="28"/>
  <c r="T58" i="28"/>
  <c r="F60" i="28" l="1"/>
  <c r="N60" i="28" s="1"/>
  <c r="R59" i="28"/>
  <c r="Q59" i="28"/>
  <c r="P60" i="28" l="1"/>
  <c r="T59" i="28"/>
  <c r="S60" i="28"/>
  <c r="R60" i="28" l="1"/>
  <c r="F61" i="28"/>
  <c r="N61" i="28" s="1"/>
  <c r="Q60" i="28"/>
  <c r="T60" i="28" l="1"/>
  <c r="P61" i="28"/>
  <c r="S61" i="28"/>
  <c r="R61" i="28" l="1"/>
  <c r="Q61" i="28"/>
  <c r="F62" i="28"/>
  <c r="N62" i="28" s="1"/>
  <c r="T61" i="28" l="1"/>
  <c r="P62" i="28"/>
  <c r="S62" i="28"/>
  <c r="F63" i="28" l="1"/>
  <c r="N63" i="28" s="1"/>
  <c r="R62" i="28"/>
  <c r="Q62" i="28"/>
  <c r="P63" i="28" l="1"/>
  <c r="S63" i="28"/>
  <c r="T62" i="28"/>
  <c r="R63" i="28" l="1"/>
  <c r="F64" i="28"/>
  <c r="N64" i="28" s="1"/>
  <c r="Q63" i="28"/>
  <c r="T63" i="28" l="1"/>
  <c r="P64" i="28"/>
  <c r="S64" i="28"/>
  <c r="Q64" i="28" l="1"/>
  <c r="R64" i="28"/>
  <c r="F65" i="28"/>
  <c r="N65" i="28" s="1"/>
  <c r="P65" i="28" l="1"/>
  <c r="S65" i="28"/>
  <c r="T64" i="28"/>
  <c r="F66" i="28" l="1"/>
  <c r="N66" i="28" s="1"/>
  <c r="Q65" i="28"/>
  <c r="R65" i="28"/>
  <c r="P66" i="28" l="1"/>
  <c r="T65" i="28"/>
  <c r="S66" i="28"/>
  <c r="F67" i="28" l="1"/>
  <c r="N67" i="28" s="1"/>
  <c r="Q66" i="28"/>
  <c r="R66" i="28"/>
  <c r="P67" i="28" l="1"/>
  <c r="T66" i="28"/>
  <c r="R67" i="28" l="1"/>
  <c r="Q67" i="28"/>
  <c r="S67" i="28"/>
  <c r="I68" i="28" a="1"/>
  <c r="I68" i="28" s="1"/>
  <c r="T67" i="28" l="1"/>
  <c r="F68" i="28"/>
  <c r="N68" i="28" s="1"/>
  <c r="P68" i="28" s="1"/>
  <c r="O68" i="28" l="1"/>
  <c r="O69" i="28" s="1"/>
  <c r="O70" i="28" s="1"/>
  <c r="O71" i="28" s="1"/>
  <c r="O72" i="28" s="1"/>
  <c r="O73" i="28" s="1"/>
  <c r="O74" i="28" s="1"/>
  <c r="O75" i="28" s="1"/>
  <c r="O76" i="28" s="1"/>
  <c r="O77" i="28" s="1"/>
  <c r="O78" i="28" s="1"/>
  <c r="R68" i="28"/>
  <c r="Q68" i="28"/>
  <c r="F69" i="28"/>
  <c r="N69" i="28" s="1"/>
  <c r="S68" i="28" l="1"/>
  <c r="T68" i="28" s="1"/>
  <c r="P69" i="28"/>
  <c r="Q69" i="28" s="1"/>
  <c r="S69" i="28"/>
  <c r="F70" i="28" l="1"/>
  <c r="N70" i="28" s="1"/>
  <c r="R69" i="28"/>
  <c r="T69" i="28" s="1"/>
  <c r="P70" i="28" l="1"/>
  <c r="Q70" i="28" s="1"/>
  <c r="S70" i="28"/>
  <c r="R70" i="28" l="1"/>
  <c r="T70" i="28" s="1"/>
  <c r="F71" i="28"/>
  <c r="N71" i="28" s="1"/>
  <c r="P71" i="28" l="1"/>
  <c r="Q71" i="28" s="1"/>
  <c r="S71" i="28"/>
  <c r="F72" i="28" l="1"/>
  <c r="N72" i="28" s="1"/>
  <c r="P72" i="28" s="1"/>
  <c r="R71" i="28"/>
  <c r="T71" i="28" s="1"/>
  <c r="S72" i="28"/>
  <c r="F73" i="28" l="1"/>
  <c r="N73" i="28" s="1"/>
  <c r="Q72" i="28"/>
  <c r="R72" i="28"/>
  <c r="P73" i="28" l="1"/>
  <c r="T72" i="28"/>
  <c r="S73" i="28"/>
  <c r="R73" i="28" l="1"/>
  <c r="Q73" i="28"/>
  <c r="F74" i="28"/>
  <c r="N74" i="28" s="1"/>
  <c r="T73" i="28" l="1"/>
  <c r="P74" i="28"/>
  <c r="S74" i="28"/>
  <c r="R74" i="28" l="1"/>
  <c r="Q74" i="28"/>
  <c r="F75" i="28"/>
  <c r="N75" i="28" s="1"/>
  <c r="T74" i="28" l="1"/>
  <c r="P75" i="28"/>
  <c r="S75" i="28"/>
  <c r="Q75" i="28" l="1"/>
  <c r="F76" i="28"/>
  <c r="N76" i="28" s="1"/>
  <c r="R75" i="28"/>
  <c r="P76" i="28" l="1"/>
  <c r="S76" i="28"/>
  <c r="T75" i="28"/>
  <c r="F77" i="28" l="1"/>
  <c r="N77" i="28" s="1"/>
  <c r="R76" i="28"/>
  <c r="Q76" i="28"/>
  <c r="P77" i="28" l="1"/>
  <c r="S77" i="28"/>
  <c r="T76" i="28"/>
  <c r="Q77" i="28" l="1"/>
  <c r="R77" i="28"/>
  <c r="F78" i="28"/>
  <c r="N78" i="28" s="1"/>
  <c r="P78" i="28" l="1"/>
  <c r="T77" i="28"/>
  <c r="R78" i="28" l="1"/>
  <c r="Q78" i="28"/>
  <c r="S78" i="28"/>
  <c r="I79" i="28" a="1"/>
  <c r="I79" i="28" s="1"/>
  <c r="T78" i="28" l="1"/>
  <c r="F79" i="28"/>
  <c r="N79" i="28" s="1"/>
  <c r="P79" i="28" s="1"/>
  <c r="O79" i="28" l="1"/>
  <c r="O80" i="28" s="1"/>
  <c r="O81" i="28" s="1"/>
  <c r="O82" i="28" s="1"/>
  <c r="O83" i="28" s="1"/>
  <c r="O84" i="28" s="1"/>
  <c r="O85" i="28" s="1"/>
  <c r="O86" i="28" s="1"/>
  <c r="O87" i="28" s="1"/>
  <c r="O88" i="28" s="1"/>
  <c r="O89" i="28" s="1"/>
  <c r="O90" i="28" s="1"/>
  <c r="O91" i="28" s="1"/>
  <c r="Q79" i="28"/>
  <c r="F80" i="28"/>
  <c r="N80" i="28" s="1"/>
  <c r="R79" i="28"/>
  <c r="S79" i="28" l="1"/>
  <c r="T79" i="28" s="1"/>
  <c r="P80" i="28"/>
  <c r="Q80" i="28" s="1"/>
  <c r="S80" i="28"/>
  <c r="F81" i="28" l="1"/>
  <c r="N81" i="28" s="1"/>
  <c r="P81" i="28" s="1"/>
  <c r="R80" i="28"/>
  <c r="T80" i="28" s="1"/>
  <c r="S81" i="28"/>
  <c r="R81" i="28" l="1"/>
  <c r="F82" i="28"/>
  <c r="N82" i="28" s="1"/>
  <c r="Q81" i="28"/>
  <c r="T81" i="28" l="1"/>
  <c r="P82" i="28"/>
  <c r="S82" i="28"/>
  <c r="Q82" i="28" l="1"/>
  <c r="F83" i="28"/>
  <c r="N83" i="28" s="1"/>
  <c r="R82" i="28"/>
  <c r="P83" i="28" l="1"/>
  <c r="S83" i="28"/>
  <c r="T82" i="28"/>
  <c r="Q83" i="28" l="1"/>
  <c r="F84" i="28"/>
  <c r="N84" i="28" s="1"/>
  <c r="R83" i="28"/>
  <c r="P84" i="28" l="1"/>
  <c r="S84" i="28"/>
  <c r="T83" i="28"/>
  <c r="F85" i="28" l="1"/>
  <c r="N85" i="28" s="1"/>
  <c r="R84" i="28"/>
  <c r="Q84" i="28"/>
  <c r="P85" i="28" l="1"/>
  <c r="S85" i="28"/>
  <c r="T84" i="28"/>
  <c r="F86" i="28" l="1"/>
  <c r="N86" i="28" s="1"/>
  <c r="R85" i="28"/>
  <c r="Q85" i="28"/>
  <c r="P86" i="28" l="1"/>
  <c r="T85" i="28"/>
  <c r="S86" i="28"/>
  <c r="Q86" i="28" l="1"/>
  <c r="R86" i="28"/>
  <c r="F87" i="28"/>
  <c r="N87" i="28" s="1"/>
  <c r="P87" i="28" l="1"/>
  <c r="S87" i="28"/>
  <c r="T86" i="28"/>
  <c r="F88" i="28" l="1"/>
  <c r="N88" i="28" s="1"/>
  <c r="Q87" i="28"/>
  <c r="R87" i="28"/>
  <c r="P88" i="28" l="1"/>
  <c r="S88" i="28"/>
  <c r="T87" i="28"/>
  <c r="F89" i="28" l="1"/>
  <c r="N89" i="28" s="1"/>
  <c r="R88" i="28"/>
  <c r="Q88" i="28"/>
  <c r="P89" i="28" l="1"/>
  <c r="T88" i="28"/>
  <c r="S89" i="28"/>
  <c r="R89" i="28" l="1"/>
  <c r="Q89" i="28"/>
  <c r="F90" i="28"/>
  <c r="N90" i="28" s="1"/>
  <c r="T89" i="28" l="1"/>
  <c r="P90" i="28"/>
  <c r="S90" i="28"/>
  <c r="R90" i="28" l="1"/>
  <c r="Q90" i="28"/>
  <c r="F91" i="28"/>
  <c r="N91" i="28" s="1"/>
  <c r="T90" i="28" l="1"/>
  <c r="P91" i="28"/>
  <c r="Q91" i="28" s="1"/>
  <c r="S91" i="28"/>
  <c r="I92" i="28" a="1"/>
  <c r="I92" i="28" s="1"/>
  <c r="R91" i="28" l="1"/>
  <c r="T91" i="28" s="1"/>
  <c r="F92" i="28"/>
  <c r="N92" i="28" s="1"/>
  <c r="P92" i="28" s="1"/>
  <c r="O92" i="28" l="1"/>
  <c r="O93" i="28" s="1"/>
  <c r="O94" i="28" s="1"/>
  <c r="O95" i="28" s="1"/>
  <c r="O96" i="28" s="1"/>
  <c r="O97" i="28" s="1"/>
  <c r="O98" i="28" s="1"/>
  <c r="O99" i="28" s="1"/>
  <c r="O100" i="28" s="1"/>
  <c r="O101" i="28" s="1"/>
  <c r="O102" i="28" s="1"/>
  <c r="O103" i="28" s="1"/>
  <c r="Q92" i="28"/>
  <c r="F93" i="28"/>
  <c r="N93" i="28" s="1"/>
  <c r="R92" i="28"/>
  <c r="S92" i="28" l="1"/>
  <c r="T92" i="28" s="1"/>
  <c r="P93" i="28"/>
  <c r="R93" i="28" s="1"/>
  <c r="S93" i="28"/>
  <c r="F94" i="28" l="1"/>
  <c r="N94" i="28" s="1"/>
  <c r="Q93" i="28"/>
  <c r="T93" i="28" s="1"/>
  <c r="P94" i="28" l="1"/>
  <c r="F95" i="28" s="1"/>
  <c r="N95" i="28" s="1"/>
  <c r="S94" i="28"/>
  <c r="Q94" i="28" l="1"/>
  <c r="R94" i="28"/>
  <c r="P95" i="28"/>
  <c r="S95" i="28"/>
  <c r="T94" i="28" l="1"/>
  <c r="Q95" i="28"/>
  <c r="F96" i="28"/>
  <c r="N96" i="28" s="1"/>
  <c r="R95" i="28"/>
  <c r="P96" i="28" l="1"/>
  <c r="S96" i="28"/>
  <c r="T95" i="28"/>
  <c r="Q96" i="28" l="1"/>
  <c r="F97" i="28"/>
  <c r="N97" i="28" s="1"/>
  <c r="R96" i="28"/>
  <c r="P97" i="28" l="1"/>
  <c r="S97" i="28"/>
  <c r="T96" i="28"/>
  <c r="F98" i="28" l="1"/>
  <c r="N98" i="28" s="1"/>
  <c r="Q97" i="28"/>
  <c r="R97" i="28"/>
  <c r="P98" i="28" l="1"/>
  <c r="T97" i="28"/>
  <c r="S98" i="28"/>
  <c r="F99" i="28" l="1"/>
  <c r="N99" i="28" s="1"/>
  <c r="R98" i="28"/>
  <c r="Q98" i="28"/>
  <c r="P99" i="28" l="1"/>
  <c r="T98" i="28"/>
  <c r="S99" i="28"/>
  <c r="Q99" i="28" l="1"/>
  <c r="R99" i="28"/>
  <c r="F100" i="28"/>
  <c r="N100" i="28" s="1"/>
  <c r="P100" i="28" l="1"/>
  <c r="S100" i="28"/>
  <c r="T99" i="28"/>
  <c r="R100" i="28" l="1"/>
  <c r="F101" i="28"/>
  <c r="N101" i="28" s="1"/>
  <c r="Q100" i="28"/>
  <c r="T100" i="28" l="1"/>
  <c r="P101" i="28"/>
  <c r="S101" i="28"/>
  <c r="Q101" i="28" l="1"/>
  <c r="F102" i="28"/>
  <c r="N102" i="28" s="1"/>
  <c r="R101" i="28"/>
  <c r="P102" i="28" l="1"/>
  <c r="S102" i="28"/>
  <c r="T101" i="28"/>
  <c r="Q102" i="28" l="1"/>
  <c r="F103" i="28"/>
  <c r="N103" i="28" s="1"/>
  <c r="R102" i="28"/>
  <c r="P103" i="28" l="1"/>
  <c r="T102" i="28"/>
  <c r="Q103" i="28" l="1"/>
  <c r="R103" i="28"/>
  <c r="I104" i="28" a="1"/>
  <c r="I104" i="28" s="1"/>
  <c r="S103" i="28"/>
  <c r="F104" i="28" l="1"/>
  <c r="N104" i="28" s="1"/>
  <c r="P104" i="28" s="1"/>
  <c r="T103" i="28"/>
  <c r="O104" i="28" l="1"/>
  <c r="O105" i="28" s="1"/>
  <c r="O106" i="28" s="1"/>
  <c r="O107" i="28" s="1"/>
  <c r="O108" i="28" s="1"/>
  <c r="O109" i="28" s="1"/>
  <c r="O110" i="28" s="1"/>
  <c r="O111" i="28" s="1"/>
  <c r="O112" i="28" s="1"/>
  <c r="O113" i="28" s="1"/>
  <c r="O114" i="28" s="1"/>
  <c r="R104" i="28"/>
  <c r="F105" i="28"/>
  <c r="N105" i="28" s="1"/>
  <c r="Q104" i="28"/>
  <c r="S104" i="28" l="1"/>
  <c r="T104" i="28" s="1"/>
  <c r="P105" i="28"/>
  <c r="Q105" i="28" s="1"/>
  <c r="S105" i="28"/>
  <c r="R105" i="28" l="1"/>
  <c r="T105" i="28" s="1"/>
  <c r="F106" i="28"/>
  <c r="N106" i="28" s="1"/>
  <c r="P106" i="28" l="1"/>
  <c r="Q106" i="28" s="1"/>
  <c r="S106" i="28"/>
  <c r="F107" i="28" l="1"/>
  <c r="N107" i="28" s="1"/>
  <c r="P107" i="28" s="1"/>
  <c r="R106" i="28"/>
  <c r="T106" i="28" s="1"/>
  <c r="S107" i="28"/>
  <c r="R107" i="28" l="1"/>
  <c r="F108" i="28"/>
  <c r="N108" i="28" s="1"/>
  <c r="Q107" i="28"/>
  <c r="T107" i="28" l="1"/>
  <c r="P108" i="28"/>
  <c r="S108" i="28"/>
  <c r="F109" i="28" l="1"/>
  <c r="N109" i="28" s="1"/>
  <c r="R108" i="28"/>
  <c r="Q108" i="28"/>
  <c r="P109" i="28" l="1"/>
  <c r="T108" i="28"/>
  <c r="S109" i="28"/>
  <c r="F110" i="28" l="1"/>
  <c r="N110" i="28" s="1"/>
  <c r="Q109" i="28"/>
  <c r="R109" i="28"/>
  <c r="P110" i="28" l="1"/>
  <c r="T109" i="28"/>
  <c r="S110" i="28"/>
  <c r="Q110" i="28" l="1"/>
  <c r="F111" i="28"/>
  <c r="N111" i="28" s="1"/>
  <c r="R110" i="28"/>
  <c r="P111" i="28" l="1"/>
  <c r="S111" i="28"/>
  <c r="T110" i="28"/>
  <c r="Q111" i="28" l="1"/>
  <c r="R111" i="28"/>
  <c r="F112" i="28"/>
  <c r="N112" i="28" s="1"/>
  <c r="P112" i="28" l="1"/>
  <c r="S112" i="28"/>
  <c r="T111" i="28"/>
  <c r="Q112" i="28" l="1"/>
  <c r="R112" i="28"/>
  <c r="F113" i="28"/>
  <c r="N113" i="28" s="1"/>
  <c r="P113" i="28" l="1"/>
  <c r="S113" i="28"/>
  <c r="T112" i="28"/>
  <c r="R113" i="28" l="1"/>
  <c r="F114" i="28"/>
  <c r="N114" i="28" s="1"/>
  <c r="Q113" i="28"/>
  <c r="T113" i="28" l="1"/>
  <c r="P114" i="28"/>
  <c r="Q114" i="28" s="1"/>
  <c r="I115" i="28" a="1"/>
  <c r="I115" i="28" s="1"/>
  <c r="S114" i="28"/>
  <c r="R114" i="28" l="1"/>
  <c r="T114" i="28" s="1"/>
  <c r="F115" i="28"/>
  <c r="N115" i="28" s="1"/>
  <c r="P115" i="28" s="1"/>
  <c r="O115" i="28" l="1"/>
  <c r="O116" i="28" s="1"/>
  <c r="O117" i="28" s="1"/>
  <c r="O118" i="28" s="1"/>
  <c r="O119" i="28" s="1"/>
  <c r="O120" i="28" s="1"/>
  <c r="O121" i="28" s="1"/>
  <c r="O122" i="28" s="1"/>
  <c r="O123" i="28" s="1"/>
  <c r="O124" i="28" s="1"/>
  <c r="O125" i="28" s="1"/>
  <c r="O126" i="28" s="1"/>
  <c r="O127" i="28" s="1"/>
  <c r="Q115" i="28"/>
  <c r="R115" i="28"/>
  <c r="F116" i="28"/>
  <c r="N116" i="28" s="1"/>
  <c r="S115" i="28" l="1"/>
  <c r="T115" i="28" s="1"/>
  <c r="P116" i="28"/>
  <c r="Q116" i="28" s="1"/>
  <c r="S116" i="28"/>
  <c r="F117" i="28" l="1"/>
  <c r="N117" i="28" s="1"/>
  <c r="P117" i="28" s="1"/>
  <c r="R116" i="28"/>
  <c r="T116" i="28" s="1"/>
  <c r="S117" i="28"/>
  <c r="F118" i="28" l="1"/>
  <c r="N118" i="28" s="1"/>
  <c r="Q117" i="28"/>
  <c r="R117" i="28"/>
  <c r="P118" i="28" l="1"/>
  <c r="S118" i="28"/>
  <c r="T117" i="28"/>
  <c r="F119" i="28" l="1"/>
  <c r="N119" i="28" s="1"/>
  <c r="R118" i="28"/>
  <c r="Q118" i="28"/>
  <c r="P119" i="28" l="1"/>
  <c r="S119" i="28"/>
  <c r="T118" i="28"/>
  <c r="F120" i="28" l="1"/>
  <c r="N120" i="28" s="1"/>
  <c r="R119" i="28"/>
  <c r="Q119" i="28"/>
  <c r="T119" i="28" l="1"/>
  <c r="P120" i="28"/>
  <c r="S120" i="28"/>
  <c r="Q120" i="28" l="1"/>
  <c r="R120" i="28"/>
  <c r="F121" i="28"/>
  <c r="N121" i="28" s="1"/>
  <c r="P121" i="28" l="1"/>
  <c r="S121" i="28"/>
  <c r="T120" i="28"/>
  <c r="F122" i="28" l="1"/>
  <c r="N122" i="28" s="1"/>
  <c r="R121" i="28"/>
  <c r="Q121" i="28"/>
  <c r="T121" i="28" l="1"/>
  <c r="P122" i="28"/>
  <c r="S122" i="28"/>
  <c r="Q122" i="28" l="1"/>
  <c r="R122" i="28"/>
  <c r="F123" i="28"/>
  <c r="N123" i="28" s="1"/>
  <c r="P123" i="28" l="1"/>
  <c r="S123" i="28"/>
  <c r="T122" i="28"/>
  <c r="Q123" i="28" l="1"/>
  <c r="R123" i="28"/>
  <c r="F124" i="28"/>
  <c r="N124" i="28" s="1"/>
  <c r="P124" i="28" l="1"/>
  <c r="S124" i="28"/>
  <c r="T123" i="28"/>
  <c r="Q124" i="28" l="1"/>
  <c r="F125" i="28"/>
  <c r="N125" i="28" s="1"/>
  <c r="R124" i="28"/>
  <c r="P125" i="28" l="1"/>
  <c r="S125" i="28"/>
  <c r="T124" i="28"/>
  <c r="Q125" i="28" l="1"/>
  <c r="F126" i="28"/>
  <c r="N126" i="28" s="1"/>
  <c r="R125" i="28"/>
  <c r="P126" i="28" l="1"/>
  <c r="S126" i="28"/>
  <c r="T125" i="28"/>
  <c r="F127" i="28" l="1"/>
  <c r="N127" i="28" s="1"/>
  <c r="R126" i="28"/>
  <c r="Q126" i="28"/>
  <c r="P127" i="28" l="1"/>
  <c r="T126" i="28"/>
  <c r="R127" i="28" l="1"/>
  <c r="Q127" i="28"/>
  <c r="I128" i="28" a="1"/>
  <c r="I128" i="28" s="1"/>
  <c r="S127" i="28"/>
  <c r="T127" i="28" l="1"/>
  <c r="F128" i="28"/>
  <c r="N128" i="28" s="1"/>
  <c r="P128" i="28" s="1"/>
  <c r="O128" i="28" l="1"/>
  <c r="O129" i="28" s="1"/>
  <c r="O130" i="28" s="1"/>
  <c r="O131" i="28" s="1"/>
  <c r="O132" i="28" s="1"/>
  <c r="O133" i="28" s="1"/>
  <c r="O134" i="28" s="1"/>
  <c r="O135" i="28" s="1"/>
  <c r="O136" i="28" s="1"/>
  <c r="O137" i="28" s="1"/>
  <c r="O138" i="28" s="1"/>
  <c r="O139" i="28" s="1"/>
  <c r="R128" i="28"/>
  <c r="Q128" i="28"/>
  <c r="F129" i="28"/>
  <c r="N129" i="28" s="1"/>
  <c r="S128" i="28" l="1"/>
  <c r="T128" i="28" s="1"/>
  <c r="P129" i="28"/>
  <c r="R129" i="28" s="1"/>
  <c r="S129" i="28"/>
  <c r="Q129" i="28" l="1"/>
  <c r="T129" i="28" s="1"/>
  <c r="F130" i="28"/>
  <c r="N130" i="28" s="1"/>
  <c r="P130" i="28" s="1"/>
  <c r="S130" i="28"/>
  <c r="Q130" i="28" l="1"/>
  <c r="R130" i="28"/>
  <c r="F131" i="28"/>
  <c r="N131" i="28" s="1"/>
  <c r="P131" i="28" l="1"/>
  <c r="S131" i="28"/>
  <c r="T130" i="28"/>
  <c r="R131" i="28" l="1"/>
  <c r="Q131" i="28"/>
  <c r="F132" i="28"/>
  <c r="N132" i="28" s="1"/>
  <c r="T131" i="28" l="1"/>
  <c r="P132" i="28"/>
  <c r="S132" i="28"/>
  <c r="F133" i="28" l="1"/>
  <c r="N133" i="28" s="1"/>
  <c r="R132" i="28"/>
  <c r="Q132" i="28"/>
  <c r="T132" i="28" l="1"/>
  <c r="P133" i="28"/>
  <c r="S133" i="28"/>
  <c r="R133" i="28" l="1"/>
  <c r="Q133" i="28"/>
  <c r="F134" i="28"/>
  <c r="N134" i="28" s="1"/>
  <c r="P134" i="28" l="1"/>
  <c r="S134" i="28"/>
  <c r="T133" i="28"/>
  <c r="R134" i="28" l="1"/>
  <c r="F135" i="28"/>
  <c r="N135" i="28" s="1"/>
  <c r="Q134" i="28"/>
  <c r="T134" i="28" l="1"/>
  <c r="P135" i="28"/>
  <c r="S135" i="28"/>
  <c r="Q135" i="28" l="1"/>
  <c r="F136" i="28"/>
  <c r="N136" i="28" s="1"/>
  <c r="R135" i="28"/>
  <c r="P136" i="28" l="1"/>
  <c r="S136" i="28"/>
  <c r="T135" i="28"/>
  <c r="F137" i="28" l="1"/>
  <c r="N137" i="28" s="1"/>
  <c r="R136" i="28"/>
  <c r="Q136" i="28"/>
  <c r="P137" i="28" l="1"/>
  <c r="S137" i="28"/>
  <c r="T136" i="28"/>
  <c r="R137" i="28" l="1"/>
  <c r="Q137" i="28"/>
  <c r="F138" i="28"/>
  <c r="N138" i="28" s="1"/>
  <c r="P138" i="28" l="1"/>
  <c r="S138" i="28"/>
  <c r="T137" i="28"/>
  <c r="Q138" i="28" l="1"/>
  <c r="R138" i="28"/>
  <c r="F139" i="28"/>
  <c r="N139" i="28" s="1"/>
  <c r="P139" i="28" l="1"/>
  <c r="T138" i="28"/>
  <c r="Q139" i="28" l="1"/>
  <c r="R139" i="28"/>
  <c r="I140" i="28" a="1"/>
  <c r="I140" i="28" s="1"/>
  <c r="S139" i="28"/>
  <c r="F140" i="28" l="1"/>
  <c r="N140" i="28" s="1"/>
  <c r="P140" i="28" s="1"/>
  <c r="T139" i="28"/>
  <c r="O140" i="28" l="1"/>
  <c r="O141" i="28" s="1"/>
  <c r="O142" i="28" s="1"/>
  <c r="O143" i="28" s="1"/>
  <c r="O144" i="28" s="1"/>
  <c r="O145" i="28" s="1"/>
  <c r="O146" i="28" s="1"/>
  <c r="O147" i="28" s="1"/>
  <c r="O148" i="28" s="1"/>
  <c r="O149" i="28" s="1"/>
  <c r="O150" i="28" s="1"/>
  <c r="F141" i="28"/>
  <c r="N141" i="28" s="1"/>
  <c r="R140" i="28"/>
  <c r="Q140" i="28"/>
  <c r="S140" i="28" l="1"/>
  <c r="T140" i="28" s="1"/>
  <c r="P141" i="28"/>
  <c r="Q141" i="28" s="1"/>
  <c r="S141" i="28"/>
  <c r="R141" i="28" l="1"/>
  <c r="T141" i="28" s="1"/>
  <c r="F142" i="28"/>
  <c r="N142" i="28" s="1"/>
  <c r="P142" i="28" l="1"/>
  <c r="R142" i="28" s="1"/>
  <c r="S142" i="28"/>
  <c r="Q142" i="28" l="1"/>
  <c r="T142" i="28" s="1"/>
  <c r="F143" i="28"/>
  <c r="N143" i="28" s="1"/>
  <c r="S143" i="28" l="1"/>
  <c r="P143" i="28"/>
  <c r="F144" i="28" s="1"/>
  <c r="N144" i="28" s="1"/>
  <c r="Q143" i="28" l="1"/>
  <c r="R143" i="28"/>
  <c r="P144" i="28"/>
  <c r="S144" i="28"/>
  <c r="T143" i="28" l="1"/>
  <c r="F145" i="28"/>
  <c r="N145" i="28" s="1"/>
  <c r="Q144" i="28"/>
  <c r="R144" i="28"/>
  <c r="P145" i="28" l="1"/>
  <c r="S145" i="28"/>
  <c r="T144" i="28"/>
  <c r="R145" i="28" l="1"/>
  <c r="F146" i="28"/>
  <c r="N146" i="28" s="1"/>
  <c r="Q145" i="28"/>
  <c r="T145" i="28" l="1"/>
  <c r="P146" i="28"/>
  <c r="S146" i="28"/>
  <c r="F147" i="28" l="1"/>
  <c r="N147" i="28" s="1"/>
  <c r="R146" i="28"/>
  <c r="Q146" i="28"/>
  <c r="T146" i="28" l="1"/>
  <c r="P147" i="28"/>
  <c r="S147" i="28"/>
  <c r="R147" i="28" l="1"/>
  <c r="F148" i="28"/>
  <c r="N148" i="28" s="1"/>
  <c r="Q147" i="28"/>
  <c r="T147" i="28" l="1"/>
  <c r="P148" i="28"/>
  <c r="S148" i="28"/>
  <c r="Q148" i="28" l="1"/>
  <c r="F149" i="28"/>
  <c r="N149" i="28" s="1"/>
  <c r="R148" i="28"/>
  <c r="P149" i="28" l="1"/>
  <c r="S149" i="28"/>
  <c r="T148" i="28"/>
  <c r="F150" i="28" l="1"/>
  <c r="N150" i="28" s="1"/>
  <c r="Q149" i="28"/>
  <c r="R149" i="28"/>
  <c r="P150" i="28" l="1"/>
  <c r="T149" i="28"/>
  <c r="Q150" i="28" l="1"/>
  <c r="R150" i="28"/>
  <c r="S150" i="28"/>
  <c r="I151" i="28" a="1"/>
  <c r="I151" i="28" s="1"/>
  <c r="F151" i="28" l="1"/>
  <c r="N151" i="28" s="1"/>
  <c r="P151" i="28" s="1"/>
  <c r="T150" i="28"/>
  <c r="O151" i="28" l="1"/>
  <c r="O152" i="28" s="1"/>
  <c r="O153" i="28" s="1"/>
  <c r="O154" i="28" s="1"/>
  <c r="O155" i="28" s="1"/>
  <c r="O156" i="28" s="1"/>
  <c r="O157" i="28" s="1"/>
  <c r="O158" i="28" s="1"/>
  <c r="O159" i="28" s="1"/>
  <c r="O160" i="28" s="1"/>
  <c r="O161" i="28" s="1"/>
  <c r="O162" i="28" s="1"/>
  <c r="O163" i="28" s="1"/>
  <c r="F152" i="28"/>
  <c r="N152" i="28" s="1"/>
  <c r="Q151" i="28"/>
  <c r="R151" i="28"/>
  <c r="S151" i="28" l="1"/>
  <c r="T151" i="28" s="1"/>
  <c r="P152" i="28"/>
  <c r="Q152" i="28" s="1"/>
  <c r="S152" i="28"/>
  <c r="R152" i="28" l="1"/>
  <c r="T152" i="28" s="1"/>
  <c r="F153" i="28"/>
  <c r="N153" i="28" s="1"/>
  <c r="P153" i="28" l="1"/>
  <c r="R153" i="28" s="1"/>
  <c r="S153" i="28"/>
  <c r="F154" i="28" l="1"/>
  <c r="N154" i="28" s="1"/>
  <c r="P154" i="28" s="1"/>
  <c r="Q153" i="28"/>
  <c r="T153" i="28" s="1"/>
  <c r="S154" i="28"/>
  <c r="Q154" i="28" l="1"/>
  <c r="R154" i="28"/>
  <c r="F155" i="28"/>
  <c r="N155" i="28" s="1"/>
  <c r="P155" i="28" l="1"/>
  <c r="S155" i="28"/>
  <c r="T154" i="28"/>
  <c r="F156" i="28" l="1"/>
  <c r="N156" i="28" s="1"/>
  <c r="R155" i="28"/>
  <c r="Q155" i="28"/>
  <c r="P156" i="28" l="1"/>
  <c r="S156" i="28"/>
  <c r="T155" i="28"/>
  <c r="F157" i="28" l="1"/>
  <c r="N157" i="28" s="1"/>
  <c r="R156" i="28"/>
  <c r="Q156" i="28"/>
  <c r="P157" i="28" l="1"/>
  <c r="T156" i="28"/>
  <c r="S157" i="28"/>
  <c r="Q157" i="28" l="1"/>
  <c r="R157" i="28"/>
  <c r="F158" i="28"/>
  <c r="N158" i="28" s="1"/>
  <c r="P158" i="28" l="1"/>
  <c r="S158" i="28"/>
  <c r="T157" i="28"/>
  <c r="R158" i="28" l="1"/>
  <c r="F159" i="28"/>
  <c r="N159" i="28" s="1"/>
  <c r="Q158" i="28"/>
  <c r="T158" i="28" l="1"/>
  <c r="P159" i="28"/>
  <c r="S159" i="28"/>
  <c r="R159" i="28" l="1"/>
  <c r="Q159" i="28"/>
  <c r="F160" i="28"/>
  <c r="N160" i="28" s="1"/>
  <c r="T159" i="28" l="1"/>
  <c r="P160" i="28"/>
  <c r="S160" i="28"/>
  <c r="F161" i="28" l="1"/>
  <c r="N161" i="28" s="1"/>
  <c r="R160" i="28"/>
  <c r="Q160" i="28"/>
  <c r="T160" i="28" l="1"/>
  <c r="P161" i="28"/>
  <c r="S161" i="28"/>
  <c r="F162" i="28" l="1"/>
  <c r="N162" i="28" s="1"/>
  <c r="R161" i="28"/>
  <c r="Q161" i="28"/>
  <c r="P162" i="28" l="1"/>
  <c r="T161" i="28"/>
  <c r="S162" i="28"/>
  <c r="F163" i="28" l="1"/>
  <c r="N163" i="28" s="1"/>
  <c r="Q162" i="28"/>
  <c r="R162" i="28"/>
  <c r="P163" i="28" l="1"/>
  <c r="T162" i="28"/>
  <c r="I164" i="28" l="1" a="1"/>
  <c r="I164" i="28" s="1"/>
  <c r="S163" i="28"/>
  <c r="Q163" i="28"/>
  <c r="R163" i="28"/>
  <c r="T163" i="28" l="1"/>
  <c r="F164" i="28"/>
  <c r="N164" i="28" s="1"/>
  <c r="P164" i="28" s="1"/>
  <c r="O164" i="28" l="1"/>
  <c r="O165" i="28" s="1"/>
  <c r="O166" i="28" s="1"/>
  <c r="O167" i="28" s="1"/>
  <c r="O168" i="28" s="1"/>
  <c r="O169" i="28" s="1"/>
  <c r="O170" i="28" s="1"/>
  <c r="O171" i="28" s="1"/>
  <c r="O172" i="28" s="1"/>
  <c r="O173" i="28" s="1"/>
  <c r="O174" i="28" s="1"/>
  <c r="O175" i="28" s="1"/>
  <c r="R164" i="28"/>
  <c r="Q164" i="28"/>
  <c r="F165" i="28"/>
  <c r="N165" i="28" s="1"/>
  <c r="S164" i="28" l="1"/>
  <c r="T164" i="28" s="1"/>
  <c r="P165" i="28"/>
  <c r="F166" i="28" s="1"/>
  <c r="N166" i="28" s="1"/>
  <c r="S165" i="28"/>
  <c r="P166" i="28" l="1"/>
  <c r="Q165" i="28"/>
  <c r="R165" i="28"/>
  <c r="S166" i="28"/>
  <c r="T165" i="28" l="1"/>
  <c r="Q166" i="28"/>
  <c r="F167" i="28"/>
  <c r="N167" i="28" s="1"/>
  <c r="R166" i="28"/>
  <c r="P167" i="28" l="1"/>
  <c r="S167" i="28"/>
  <c r="T166" i="28"/>
  <c r="Q167" i="28" l="1"/>
  <c r="R167" i="28"/>
  <c r="F168" i="28"/>
  <c r="N168" i="28" s="1"/>
  <c r="P168" i="28" l="1"/>
  <c r="S168" i="28"/>
  <c r="T167" i="28"/>
  <c r="F169" i="28" l="1"/>
  <c r="N169" i="28" s="1"/>
  <c r="R168" i="28"/>
  <c r="Q168" i="28"/>
  <c r="T168" i="28" l="1"/>
  <c r="P169" i="28"/>
  <c r="S169" i="28"/>
  <c r="Q169" i="28" l="1"/>
  <c r="F170" i="28"/>
  <c r="N170" i="28" s="1"/>
  <c r="R169" i="28"/>
  <c r="P170" i="28" l="1"/>
  <c r="S170" i="28"/>
  <c r="T169" i="28"/>
  <c r="R170" i="28" l="1"/>
  <c r="Q170" i="28"/>
  <c r="F171" i="28"/>
  <c r="N171" i="28" s="1"/>
  <c r="T170" i="28" l="1"/>
  <c r="P171" i="28"/>
  <c r="S171" i="28"/>
  <c r="R171" i="28" l="1"/>
  <c r="Q171" i="28"/>
  <c r="F172" i="28"/>
  <c r="N172" i="28" s="1"/>
  <c r="T171" i="28" l="1"/>
  <c r="P172" i="28"/>
  <c r="S172" i="28"/>
  <c r="Q172" i="28" l="1"/>
  <c r="R172" i="28"/>
  <c r="F173" i="28"/>
  <c r="N173" i="28" s="1"/>
  <c r="P173" i="28" l="1"/>
  <c r="S173" i="28"/>
  <c r="T172" i="28"/>
  <c r="Q173" i="28" l="1"/>
  <c r="R173" i="28"/>
  <c r="F174" i="28"/>
  <c r="N174" i="28" s="1"/>
  <c r="P174" i="28" l="1"/>
  <c r="S174" i="28"/>
  <c r="T173" i="28"/>
  <c r="Q174" i="28" l="1"/>
  <c r="F175" i="28"/>
  <c r="N175" i="28" s="1"/>
  <c r="R174" i="28"/>
  <c r="P175" i="28" l="1"/>
  <c r="T174" i="28"/>
  <c r="Q175" i="28" l="1"/>
  <c r="R175" i="28"/>
  <c r="S175" i="28"/>
  <c r="I176" i="28" a="1"/>
  <c r="I176" i="28" s="1"/>
  <c r="F176" i="28" l="1"/>
  <c r="N176" i="28" s="1"/>
  <c r="P176" i="28" s="1"/>
  <c r="T175" i="28"/>
  <c r="O176" i="28" l="1"/>
  <c r="O177" i="28" s="1"/>
  <c r="O178" i="28" s="1"/>
  <c r="O179" i="28" s="1"/>
  <c r="O180" i="28" s="1"/>
  <c r="O181" i="28" s="1"/>
  <c r="O182" i="28" s="1"/>
  <c r="O183" i="28" s="1"/>
  <c r="O184" i="28" s="1"/>
  <c r="O185" i="28" s="1"/>
  <c r="O186" i="28" s="1"/>
  <c r="R176" i="28"/>
  <c r="F177" i="28"/>
  <c r="N177" i="28" s="1"/>
  <c r="Q176" i="28"/>
  <c r="S176" i="28" l="1"/>
  <c r="T176" i="28" s="1"/>
  <c r="P177" i="28"/>
  <c r="Q177" i="28" s="1"/>
  <c r="S177" i="28"/>
  <c r="F178" i="28" l="1"/>
  <c r="N178" i="28" s="1"/>
  <c r="P178" i="28" s="1"/>
  <c r="R177" i="28"/>
  <c r="T177" i="28" s="1"/>
  <c r="S178" i="28"/>
  <c r="Q178" i="28" l="1"/>
  <c r="R178" i="28"/>
  <c r="F179" i="28"/>
  <c r="N179" i="28" s="1"/>
  <c r="P179" i="28" l="1"/>
  <c r="S179" i="28"/>
  <c r="T178" i="28"/>
  <c r="R179" i="28" l="1"/>
  <c r="Q179" i="28"/>
  <c r="F180" i="28"/>
  <c r="N180" i="28" s="1"/>
  <c r="T179" i="28" l="1"/>
  <c r="P180" i="28"/>
  <c r="S180" i="28"/>
  <c r="Q180" i="28" l="1"/>
  <c r="R180" i="28"/>
  <c r="F181" i="28"/>
  <c r="N181" i="28" s="1"/>
  <c r="P181" i="28" l="1"/>
  <c r="S181" i="28"/>
  <c r="T180" i="28"/>
  <c r="Q181" i="28" l="1"/>
  <c r="F182" i="28"/>
  <c r="N182" i="28" s="1"/>
  <c r="R181" i="28"/>
  <c r="P182" i="28" l="1"/>
  <c r="S182" i="28"/>
  <c r="T181" i="28"/>
  <c r="F183" i="28" l="1"/>
  <c r="N183" i="28" s="1"/>
  <c r="R182" i="28"/>
  <c r="Q182" i="28"/>
  <c r="P183" i="28" l="1"/>
  <c r="T182" i="28"/>
  <c r="S183" i="28"/>
  <c r="R183" i="28" l="1"/>
  <c r="Q183" i="28"/>
  <c r="F184" i="28"/>
  <c r="N184" i="28" s="1"/>
  <c r="P184" i="28" l="1"/>
  <c r="T183" i="28"/>
  <c r="S184" i="28"/>
  <c r="Q184" i="28" l="1"/>
  <c r="F185" i="28"/>
  <c r="N185" i="28" s="1"/>
  <c r="R184" i="28"/>
  <c r="P185" i="28" l="1"/>
  <c r="S185" i="28"/>
  <c r="T184" i="28"/>
  <c r="R185" i="28" l="1"/>
  <c r="Q185" i="28"/>
  <c r="F186" i="28"/>
  <c r="N186" i="28" s="1"/>
  <c r="T185" i="28" l="1"/>
  <c r="P186" i="28"/>
  <c r="Q186" i="28" s="1"/>
  <c r="S186" i="28"/>
  <c r="I187" i="28" a="1"/>
  <c r="I187" i="28" s="1"/>
  <c r="R186" i="28" l="1"/>
  <c r="T186" i="28" s="1"/>
  <c r="F187" i="28"/>
  <c r="N187" i="28" s="1"/>
  <c r="P187" i="28" s="1"/>
  <c r="O187" i="28" l="1"/>
  <c r="O188" i="28" s="1"/>
  <c r="O189" i="28" s="1"/>
  <c r="O190" i="28" s="1"/>
  <c r="O191" i="28" s="1"/>
  <c r="O192" i="28" s="1"/>
  <c r="O193" i="28" s="1"/>
  <c r="O194" i="28" s="1"/>
  <c r="O195" i="28" s="1"/>
  <c r="O196" i="28" s="1"/>
  <c r="O197" i="28" s="1"/>
  <c r="O198" i="28" s="1"/>
  <c r="O199" i="28" s="1"/>
  <c r="R187" i="28"/>
  <c r="Q187" i="28"/>
  <c r="F188" i="28"/>
  <c r="N188" i="28" s="1"/>
  <c r="S187" i="28" l="1"/>
  <c r="T187" i="28" s="1"/>
  <c r="P188" i="28"/>
  <c r="F189" i="28" s="1"/>
  <c r="N189" i="28" s="1"/>
  <c r="S188" i="28"/>
  <c r="P189" i="28" l="1"/>
  <c r="R188" i="28"/>
  <c r="Q188" i="28"/>
  <c r="S189" i="28"/>
  <c r="T188" i="28" l="1"/>
  <c r="Q189" i="28"/>
  <c r="R189" i="28"/>
  <c r="F190" i="28"/>
  <c r="N190" i="28" s="1"/>
  <c r="P190" i="28" l="1"/>
  <c r="S190" i="28"/>
  <c r="T189" i="28"/>
  <c r="F191" i="28" l="1"/>
  <c r="N191" i="28" s="1"/>
  <c r="Q190" i="28"/>
  <c r="R190" i="28"/>
  <c r="P191" i="28" l="1"/>
  <c r="S191" i="28"/>
  <c r="T190" i="28"/>
  <c r="R191" i="28" l="1"/>
  <c r="F192" i="28"/>
  <c r="N192" i="28" s="1"/>
  <c r="Q191" i="28"/>
  <c r="T191" i="28" l="1"/>
  <c r="P192" i="28"/>
  <c r="S192" i="28"/>
  <c r="R192" i="28" l="1"/>
  <c r="F193" i="28"/>
  <c r="N193" i="28" s="1"/>
  <c r="Q192" i="28"/>
  <c r="T192" i="28" l="1"/>
  <c r="P193" i="28"/>
  <c r="S193" i="28"/>
  <c r="Q193" i="28" l="1"/>
  <c r="R193" i="28"/>
  <c r="F194" i="28"/>
  <c r="N194" i="28" s="1"/>
  <c r="P194" i="28" l="1"/>
  <c r="S194" i="28"/>
  <c r="T193" i="28"/>
  <c r="R194" i="28" l="1"/>
  <c r="Q194" i="28"/>
  <c r="F195" i="28"/>
  <c r="N195" i="28" s="1"/>
  <c r="P195" i="28" l="1"/>
  <c r="S195" i="28"/>
  <c r="T194" i="28"/>
  <c r="R195" i="28" l="1"/>
  <c r="Q195" i="28"/>
  <c r="F196" i="28"/>
  <c r="N196" i="28" s="1"/>
  <c r="T195" i="28" l="1"/>
  <c r="P196" i="28"/>
  <c r="S196" i="28"/>
  <c r="Q196" i="28" l="1"/>
  <c r="F197" i="28"/>
  <c r="N197" i="28" s="1"/>
  <c r="R196" i="28"/>
  <c r="P197" i="28" l="1"/>
  <c r="S197" i="28"/>
  <c r="T196" i="28"/>
  <c r="F198" i="28" l="1"/>
  <c r="N198" i="28" s="1"/>
  <c r="Q197" i="28"/>
  <c r="R197" i="28"/>
  <c r="P198" i="28" l="1"/>
  <c r="S198" i="28"/>
  <c r="T197" i="28"/>
  <c r="R198" i="28" l="1"/>
  <c r="F199" i="28"/>
  <c r="N199" i="28" s="1"/>
  <c r="Q198" i="28"/>
  <c r="T198" i="28" l="1"/>
  <c r="P199" i="28"/>
  <c r="R199" i="28" s="1"/>
  <c r="S199" i="28"/>
  <c r="I200" i="28" a="1"/>
  <c r="I200" i="28" s="1"/>
  <c r="Q199" i="28" l="1"/>
  <c r="T199" i="28" s="1"/>
  <c r="F200" i="28"/>
  <c r="N200" i="28" s="1"/>
  <c r="P200" i="28" s="1"/>
  <c r="O200" i="28" l="1"/>
  <c r="O201" i="28" s="1"/>
  <c r="O202" i="28" s="1"/>
  <c r="O203" i="28" s="1"/>
  <c r="O204" i="28" s="1"/>
  <c r="O205" i="28" s="1"/>
  <c r="O206" i="28" s="1"/>
  <c r="O207" i="28" s="1"/>
  <c r="O208" i="28" s="1"/>
  <c r="O209" i="28" s="1"/>
  <c r="O210" i="28" s="1"/>
  <c r="Q200" i="28"/>
  <c r="R200" i="28"/>
  <c r="F201" i="28"/>
  <c r="N201" i="28" s="1"/>
  <c r="S200" i="28" l="1"/>
  <c r="T200" i="28" s="1"/>
  <c r="P201" i="28"/>
  <c r="Q201" i="28" s="1"/>
  <c r="S201" i="28"/>
  <c r="R201" i="28" l="1"/>
  <c r="T201" i="28" s="1"/>
  <c r="F202" i="28"/>
  <c r="N202" i="28" s="1"/>
  <c r="P202" i="28" l="1"/>
  <c r="Q202" i="28" s="1"/>
  <c r="S202" i="28"/>
  <c r="F203" i="28" l="1"/>
  <c r="N203" i="28" s="1"/>
  <c r="P203" i="28" s="1"/>
  <c r="R202" i="28"/>
  <c r="T202" i="28" s="1"/>
  <c r="S203" i="28"/>
  <c r="R203" i="28" l="1"/>
  <c r="F204" i="28"/>
  <c r="N204" i="28" s="1"/>
  <c r="Q203" i="28"/>
  <c r="P204" i="28" l="1"/>
  <c r="S204" i="28"/>
  <c r="T203" i="28"/>
  <c r="R204" i="28" l="1"/>
  <c r="F205" i="28"/>
  <c r="N205" i="28" s="1"/>
  <c r="Q204" i="28"/>
  <c r="T204" i="28" l="1"/>
  <c r="P205" i="28"/>
  <c r="S205" i="28"/>
  <c r="R205" i="28" l="1"/>
  <c r="F206" i="28"/>
  <c r="N206" i="28" s="1"/>
  <c r="Q205" i="28"/>
  <c r="T205" i="28" l="1"/>
  <c r="P206" i="28"/>
  <c r="S206" i="28"/>
  <c r="R206" i="28" l="1"/>
  <c r="Q206" i="28"/>
  <c r="F207" i="28"/>
  <c r="N207" i="28" s="1"/>
  <c r="T206" i="28" l="1"/>
  <c r="P207" i="28"/>
  <c r="S207" i="28"/>
  <c r="Q207" i="28" l="1"/>
  <c r="F208" i="28"/>
  <c r="N208" i="28" s="1"/>
  <c r="R207" i="28"/>
  <c r="P208" i="28" l="1"/>
  <c r="S208" i="28"/>
  <c r="T207" i="28"/>
  <c r="Q208" i="28" l="1"/>
  <c r="R208" i="28"/>
  <c r="F209" i="28"/>
  <c r="N209" i="28" s="1"/>
  <c r="P209" i="28" l="1"/>
  <c r="S209" i="28"/>
  <c r="T208" i="28"/>
  <c r="Q209" i="28" l="1"/>
  <c r="F210" i="28"/>
  <c r="N210" i="28" s="1"/>
  <c r="R209" i="28"/>
  <c r="P210" i="28" l="1"/>
  <c r="T209" i="28"/>
  <c r="R210" i="28" l="1"/>
  <c r="Q210" i="28"/>
  <c r="I211" i="28" a="1"/>
  <c r="I211" i="28" s="1"/>
  <c r="S210" i="28"/>
  <c r="T210" i="28" l="1"/>
  <c r="F211" i="28"/>
  <c r="N211" i="28" s="1"/>
  <c r="P211" i="28" s="1"/>
  <c r="O211" i="28" l="1"/>
  <c r="O212" i="28" s="1"/>
  <c r="O213" i="28" s="1"/>
  <c r="O214" i="28" s="1"/>
  <c r="O215" i="28" s="1"/>
  <c r="O216" i="28" s="1"/>
  <c r="O217" i="28" s="1"/>
  <c r="O218" i="28" s="1"/>
  <c r="O219" i="28" s="1"/>
  <c r="O220" i="28" s="1"/>
  <c r="O221" i="28" s="1"/>
  <c r="O222" i="28" s="1"/>
  <c r="O223" i="28" s="1"/>
  <c r="Q211" i="28"/>
  <c r="F212" i="28"/>
  <c r="N212" i="28" s="1"/>
  <c r="R211" i="28"/>
  <c r="S211" i="28" l="1"/>
  <c r="T211" i="28" s="1"/>
  <c r="P212" i="28"/>
  <c r="R212" i="28" s="1"/>
  <c r="S212" i="28"/>
  <c r="Q212" i="28" l="1"/>
  <c r="T212" i="28" s="1"/>
  <c r="F213" i="28"/>
  <c r="N213" i="28" s="1"/>
  <c r="P213" i="28" l="1"/>
  <c r="R213" i="28" s="1"/>
  <c r="S213" i="28"/>
  <c r="F214" i="28" l="1"/>
  <c r="N214" i="28" s="1"/>
  <c r="P214" i="28" s="1"/>
  <c r="Q213" i="28"/>
  <c r="T213" i="28" s="1"/>
  <c r="S214" i="28"/>
  <c r="F215" i="28" l="1"/>
  <c r="N215" i="28" s="1"/>
  <c r="R214" i="28"/>
  <c r="Q214" i="28"/>
  <c r="P215" i="28" l="1"/>
  <c r="T214" i="28"/>
  <c r="S215" i="28"/>
  <c r="R215" i="28" l="1"/>
  <c r="Q215" i="28"/>
  <c r="F216" i="28"/>
  <c r="N216" i="28" s="1"/>
  <c r="T215" i="28" l="1"/>
  <c r="P216" i="28"/>
  <c r="S216" i="28"/>
  <c r="R216" i="28" l="1"/>
  <c r="Q216" i="28"/>
  <c r="F217" i="28"/>
  <c r="N217" i="28" s="1"/>
  <c r="P217" i="28" l="1"/>
  <c r="T216" i="28"/>
  <c r="S217" i="28"/>
  <c r="R217" i="28" l="1"/>
  <c r="Q217" i="28"/>
  <c r="F218" i="28"/>
  <c r="N218" i="28" s="1"/>
  <c r="P218" i="28" l="1"/>
  <c r="T217" i="28"/>
  <c r="S218" i="28"/>
  <c r="Q218" i="28" l="1"/>
  <c r="R218" i="28"/>
  <c r="F219" i="28"/>
  <c r="N219" i="28" s="1"/>
  <c r="P219" i="28" l="1"/>
  <c r="S219" i="28"/>
  <c r="T218" i="28"/>
  <c r="Q219" i="28" l="1"/>
  <c r="F220" i="28"/>
  <c r="N220" i="28" s="1"/>
  <c r="R219" i="28"/>
  <c r="P220" i="28" l="1"/>
  <c r="S220" i="28"/>
  <c r="T219" i="28"/>
  <c r="R220" i="28" l="1"/>
  <c r="Q220" i="28"/>
  <c r="F221" i="28"/>
  <c r="N221" i="28" s="1"/>
  <c r="P221" i="28" l="1"/>
  <c r="T220" i="28"/>
  <c r="S221" i="28"/>
  <c r="R221" i="28" l="1"/>
  <c r="F222" i="28"/>
  <c r="N222" i="28" s="1"/>
  <c r="Q221" i="28"/>
  <c r="P222" i="28" l="1"/>
  <c r="T221" i="28"/>
  <c r="S222" i="28"/>
  <c r="R222" i="28" l="1"/>
  <c r="Q222" i="28"/>
  <c r="F223" i="28"/>
  <c r="N223" i="28" s="1"/>
  <c r="T222" i="28" l="1"/>
  <c r="P223" i="28"/>
  <c r="Q223" i="28" s="1"/>
  <c r="I224" i="28" a="1"/>
  <c r="I224" i="28" s="1"/>
  <c r="S223" i="28"/>
  <c r="R223" i="28" l="1"/>
  <c r="T223" i="28" s="1"/>
  <c r="F224" i="28"/>
  <c r="N224" i="28" s="1"/>
  <c r="P224" i="28" s="1"/>
  <c r="O224" i="28" l="1"/>
  <c r="O225" i="28" s="1"/>
  <c r="O226" i="28" s="1"/>
  <c r="O227" i="28" s="1"/>
  <c r="O228" i="28" s="1"/>
  <c r="O229" i="28" s="1"/>
  <c r="O230" i="28" s="1"/>
  <c r="O231" i="28" s="1"/>
  <c r="O232" i="28" s="1"/>
  <c r="O233" i="28" s="1"/>
  <c r="O234" i="28" s="1"/>
  <c r="O235" i="28" s="1"/>
  <c r="R224" i="28"/>
  <c r="Q224" i="28"/>
  <c r="F225" i="28"/>
  <c r="N225" i="28" s="1"/>
  <c r="S224" i="28" l="1"/>
  <c r="T224" i="28" s="1"/>
  <c r="P225" i="28"/>
  <c r="Q225" i="28" s="1"/>
  <c r="S225" i="28"/>
  <c r="F226" i="28" l="1"/>
  <c r="N226" i="28" s="1"/>
  <c r="R225" i="28"/>
  <c r="T225" i="28" s="1"/>
  <c r="P226" i="28" l="1"/>
  <c r="Q226" i="28" s="1"/>
  <c r="S226" i="28"/>
  <c r="F227" i="28" l="1"/>
  <c r="N227" i="28" s="1"/>
  <c r="P227" i="28" s="1"/>
  <c r="R226" i="28"/>
  <c r="T226" i="28" s="1"/>
  <c r="S227" i="28"/>
  <c r="R227" i="28" l="1"/>
  <c r="F228" i="28"/>
  <c r="N228" i="28" s="1"/>
  <c r="Q227" i="28"/>
  <c r="T227" i="28" l="1"/>
  <c r="P228" i="28"/>
  <c r="S228" i="28"/>
  <c r="F229" i="28" l="1"/>
  <c r="N229" i="28" s="1"/>
  <c r="R228" i="28"/>
  <c r="Q228" i="28"/>
  <c r="T228" i="28" l="1"/>
  <c r="P229" i="28"/>
  <c r="S229" i="28"/>
  <c r="R229" i="28" l="1"/>
  <c r="F230" i="28"/>
  <c r="N230" i="28" s="1"/>
  <c r="Q229" i="28"/>
  <c r="T229" i="28" l="1"/>
  <c r="P230" i="28"/>
  <c r="S230" i="28"/>
  <c r="Q230" i="28" l="1"/>
  <c r="F231" i="28"/>
  <c r="N231" i="28" s="1"/>
  <c r="R230" i="28"/>
  <c r="P231" i="28" l="1"/>
  <c r="S231" i="28"/>
  <c r="T230" i="28"/>
  <c r="R231" i="28" l="1"/>
  <c r="Q231" i="28"/>
  <c r="F232" i="28"/>
  <c r="N232" i="28" s="1"/>
  <c r="P232" i="28" l="1"/>
  <c r="S232" i="28"/>
  <c r="T231" i="28"/>
  <c r="Q232" i="28" l="1"/>
  <c r="F233" i="28"/>
  <c r="N233" i="28" s="1"/>
  <c r="R232" i="28"/>
  <c r="P233" i="28" l="1"/>
  <c r="S233" i="28"/>
  <c r="T232" i="28"/>
  <c r="Q233" i="28" l="1"/>
  <c r="R233" i="28"/>
  <c r="F234" i="28"/>
  <c r="N234" i="28" s="1"/>
  <c r="P234" i="28" l="1"/>
  <c r="S234" i="28"/>
  <c r="T233" i="28"/>
  <c r="Q234" i="28" l="1"/>
  <c r="R234" i="28"/>
  <c r="F235" i="28"/>
  <c r="N235" i="28" s="1"/>
  <c r="P235" i="28" l="1"/>
  <c r="T234" i="28"/>
  <c r="R235" i="28" l="1"/>
  <c r="Q235" i="28"/>
  <c r="S235" i="28"/>
  <c r="I236" i="28" a="1"/>
  <c r="I236" i="28" s="1"/>
  <c r="T235" i="28" l="1"/>
  <c r="F236" i="28"/>
  <c r="N236" i="28" s="1"/>
  <c r="P236" i="28" s="1"/>
  <c r="O236" i="28" l="1"/>
  <c r="O237" i="28" s="1"/>
  <c r="O238" i="28" s="1"/>
  <c r="O239" i="28" s="1"/>
  <c r="O240" i="28" s="1"/>
  <c r="O241" i="28" s="1"/>
  <c r="O242" i="28" s="1"/>
  <c r="O243" i="28" s="1"/>
  <c r="O244" i="28" s="1"/>
  <c r="O245" i="28" s="1"/>
  <c r="O246" i="28" s="1"/>
  <c r="F237" i="28"/>
  <c r="N237" i="28" s="1"/>
  <c r="Q236" i="28"/>
  <c r="R236" i="28"/>
  <c r="S236" i="28" l="1"/>
  <c r="T236" i="28" s="1"/>
  <c r="P237" i="28"/>
  <c r="Q237" i="28" s="1"/>
  <c r="S237" i="28"/>
  <c r="F238" i="28" l="1"/>
  <c r="N238" i="28" s="1"/>
  <c r="R237" i="28"/>
  <c r="T237" i="28" s="1"/>
  <c r="P238" i="28" l="1"/>
  <c r="R238" i="28" s="1"/>
  <c r="S238" i="28"/>
  <c r="F239" i="28" l="1"/>
  <c r="N239" i="28" s="1"/>
  <c r="P239" i="28" s="1"/>
  <c r="Q238" i="28"/>
  <c r="T238" i="28" s="1"/>
  <c r="S239" i="28"/>
  <c r="R239" i="28" l="1"/>
  <c r="Q239" i="28"/>
  <c r="F240" i="28"/>
  <c r="N240" i="28" s="1"/>
  <c r="T239" i="28" l="1"/>
  <c r="P240" i="28"/>
  <c r="S240" i="28"/>
  <c r="R240" i="28" l="1"/>
  <c r="F241" i="28"/>
  <c r="N241" i="28" s="1"/>
  <c r="Q240" i="28"/>
  <c r="T240" i="28" l="1"/>
  <c r="P241" i="28"/>
  <c r="S241" i="28"/>
  <c r="F242" i="28" l="1"/>
  <c r="N242" i="28" s="1"/>
  <c r="R241" i="28"/>
  <c r="Q241" i="28"/>
  <c r="P242" i="28" l="1"/>
  <c r="T241" i="28"/>
  <c r="S242" i="28"/>
  <c r="F243" i="28" l="1"/>
  <c r="N243" i="28" s="1"/>
  <c r="R242" i="28"/>
  <c r="Q242" i="28"/>
  <c r="P243" i="28" l="1"/>
  <c r="T242" i="28"/>
  <c r="S243" i="28"/>
  <c r="Q243" i="28" l="1"/>
  <c r="R243" i="28"/>
  <c r="F244" i="28"/>
  <c r="N244" i="28" s="1"/>
  <c r="P244" i="28" l="1"/>
  <c r="S244" i="28"/>
  <c r="T243" i="28"/>
  <c r="R244" i="28" l="1"/>
  <c r="F245" i="28"/>
  <c r="N245" i="28" s="1"/>
  <c r="Q244" i="28"/>
  <c r="T244" i="28" l="1"/>
  <c r="P245" i="28"/>
  <c r="S245" i="28"/>
  <c r="R245" i="28" l="1"/>
  <c r="F246" i="28"/>
  <c r="N246" i="28" s="1"/>
  <c r="Q245" i="28"/>
  <c r="T245" i="28" l="1"/>
  <c r="P246" i="28"/>
  <c r="R246" i="28" s="1"/>
  <c r="S246" i="28"/>
  <c r="I247" i="28" a="1"/>
  <c r="I247" i="28" s="1"/>
  <c r="Q246" i="28" l="1"/>
  <c r="T246" i="28" s="1"/>
  <c r="F247" i="28"/>
  <c r="N247" i="28" s="1"/>
  <c r="P247" i="28" s="1"/>
  <c r="O247" i="28" l="1"/>
  <c r="O248" i="28" s="1"/>
  <c r="O249" i="28" s="1"/>
  <c r="O250" i="28" s="1"/>
  <c r="O251" i="28" s="1"/>
  <c r="O252" i="28" s="1"/>
  <c r="O253" i="28" s="1"/>
  <c r="O254" i="28" s="1"/>
  <c r="O255" i="28" s="1"/>
  <c r="O256" i="28" s="1"/>
  <c r="O257" i="28" s="1"/>
  <c r="O258" i="28" s="1"/>
  <c r="O259" i="28" s="1"/>
  <c r="R247" i="28"/>
  <c r="Q247" i="28"/>
  <c r="F248" i="28"/>
  <c r="N248" i="28" s="1"/>
  <c r="S247" i="28" l="1"/>
  <c r="T247" i="28" s="1"/>
  <c r="P248" i="28"/>
  <c r="Q248" i="28" s="1"/>
  <c r="S248" i="28"/>
  <c r="F249" i="28" l="1"/>
  <c r="N249" i="28" s="1"/>
  <c r="R248" i="28"/>
  <c r="T248" i="28" s="1"/>
  <c r="P249" i="28" l="1"/>
  <c r="R249" i="28" s="1"/>
  <c r="S249" i="28"/>
  <c r="F250" i="28" l="1"/>
  <c r="N250" i="28" s="1"/>
  <c r="P250" i="28" s="1"/>
  <c r="Q249" i="28"/>
  <c r="T249" i="28" s="1"/>
  <c r="S250" i="28"/>
  <c r="Q250" i="28" l="1"/>
  <c r="F251" i="28"/>
  <c r="N251" i="28" s="1"/>
  <c r="R250" i="28"/>
  <c r="P251" i="28" l="1"/>
  <c r="S251" i="28"/>
  <c r="T250" i="28"/>
  <c r="F252" i="28" l="1"/>
  <c r="N252" i="28" s="1"/>
  <c r="R251" i="28"/>
  <c r="Q251" i="28"/>
  <c r="P252" i="28" l="1"/>
  <c r="T251" i="28"/>
  <c r="S252" i="28"/>
  <c r="R252" i="28" l="1"/>
  <c r="Q252" i="28"/>
  <c r="F253" i="28"/>
  <c r="N253" i="28" s="1"/>
  <c r="T252" i="28" l="1"/>
  <c r="P253" i="28"/>
  <c r="S253" i="28"/>
  <c r="R253" i="28" l="1"/>
  <c r="Q253" i="28"/>
  <c r="F254" i="28"/>
  <c r="N254" i="28" s="1"/>
  <c r="T253" i="28" l="1"/>
  <c r="P254" i="28"/>
  <c r="S254" i="28"/>
  <c r="R254" i="28" l="1"/>
  <c r="F255" i="28"/>
  <c r="N255" i="28" s="1"/>
  <c r="Q254" i="28"/>
  <c r="T254" i="28" l="1"/>
  <c r="P255" i="28"/>
  <c r="S255" i="28"/>
  <c r="R255" i="28" l="1"/>
  <c r="Q255" i="28"/>
  <c r="F256" i="28"/>
  <c r="N256" i="28" s="1"/>
  <c r="T255" i="28" l="1"/>
  <c r="P256" i="28"/>
  <c r="S256" i="28"/>
  <c r="R256" i="28" l="1"/>
  <c r="Q256" i="28"/>
  <c r="F257" i="28"/>
  <c r="N257" i="28" s="1"/>
  <c r="T256" i="28" l="1"/>
  <c r="P257" i="28"/>
  <c r="S257" i="28"/>
  <c r="F258" i="28" l="1"/>
  <c r="N258" i="28" s="1"/>
  <c r="R257" i="28"/>
  <c r="Q257" i="28"/>
  <c r="P258" i="28" l="1"/>
  <c r="S258" i="28"/>
  <c r="T257" i="28"/>
  <c r="F259" i="28" l="1"/>
  <c r="N259" i="28" s="1"/>
  <c r="Q258" i="28"/>
  <c r="R258" i="28"/>
  <c r="P259" i="28" l="1"/>
  <c r="T258" i="28"/>
  <c r="Q259" i="28" l="1"/>
  <c r="R259" i="28"/>
  <c r="S259" i="28"/>
  <c r="I260" i="28" a="1"/>
  <c r="I260" i="28" s="1"/>
  <c r="F260" i="28" l="1"/>
  <c r="N260" i="28" s="1"/>
  <c r="P260" i="28" s="1"/>
  <c r="T259" i="28"/>
  <c r="O260" i="28" l="1"/>
  <c r="O261" i="28" s="1"/>
  <c r="O262" i="28" s="1"/>
  <c r="O263" i="28" s="1"/>
  <c r="O264" i="28" s="1"/>
  <c r="O265" i="28" s="1"/>
  <c r="O266" i="28" s="1"/>
  <c r="O267" i="28" s="1"/>
  <c r="O268" i="28" s="1"/>
  <c r="O269" i="28" s="1"/>
  <c r="O270" i="28" s="1"/>
  <c r="O271" i="28" s="1"/>
  <c r="F261" i="28"/>
  <c r="N261" i="28" s="1"/>
  <c r="R260" i="28"/>
  <c r="Q260" i="28"/>
  <c r="S260" i="28" l="1"/>
  <c r="T260" i="28" s="1"/>
  <c r="P261" i="28"/>
  <c r="R261" i="28" s="1"/>
  <c r="S261" i="28"/>
  <c r="F262" i="28" l="1"/>
  <c r="N262" i="28" s="1"/>
  <c r="Q261" i="28"/>
  <c r="T261" i="28" s="1"/>
  <c r="P262" i="28" l="1"/>
  <c r="R262" i="28" s="1"/>
  <c r="S262" i="28"/>
  <c r="Q262" i="28" l="1"/>
  <c r="T262" i="28" s="1"/>
  <c r="F263" i="28"/>
  <c r="N263" i="28" s="1"/>
  <c r="P263" i="28" s="1"/>
  <c r="S263" i="28"/>
  <c r="F264" i="28" l="1"/>
  <c r="N264" i="28" s="1"/>
  <c r="R263" i="28"/>
  <c r="Q263" i="28"/>
  <c r="T263" i="28" l="1"/>
  <c r="P264" i="28"/>
  <c r="S264" i="28"/>
  <c r="F265" i="28" l="1"/>
  <c r="N265" i="28" s="1"/>
  <c r="R264" i="28"/>
  <c r="Q264" i="28"/>
  <c r="P265" i="28" l="1"/>
  <c r="T264" i="28"/>
  <c r="S265" i="28"/>
  <c r="Q265" i="28" l="1"/>
  <c r="R265" i="28"/>
  <c r="F266" i="28"/>
  <c r="N266" i="28" s="1"/>
  <c r="P266" i="28" l="1"/>
  <c r="S266" i="28"/>
  <c r="T265" i="28"/>
  <c r="F267" i="28" l="1"/>
  <c r="N267" i="28" s="1"/>
  <c r="Q266" i="28"/>
  <c r="R266" i="28"/>
  <c r="P267" i="28" l="1"/>
  <c r="S267" i="28"/>
  <c r="T266" i="28"/>
  <c r="R267" i="28" l="1"/>
  <c r="Q267" i="28"/>
  <c r="F268" i="28"/>
  <c r="N268" i="28" s="1"/>
  <c r="T267" i="28" l="1"/>
  <c r="P268" i="28"/>
  <c r="S268" i="28"/>
  <c r="R268" i="28" l="1"/>
  <c r="F269" i="28"/>
  <c r="N269" i="28" s="1"/>
  <c r="Q268" i="28"/>
  <c r="T268" i="28" l="1"/>
  <c r="P269" i="28"/>
  <c r="S269" i="28"/>
  <c r="Q269" i="28" l="1"/>
  <c r="F270" i="28"/>
  <c r="N270" i="28" s="1"/>
  <c r="R269" i="28"/>
  <c r="P270" i="28" l="1"/>
  <c r="S270" i="28"/>
  <c r="T269" i="28"/>
  <c r="F271" i="28" l="1"/>
  <c r="N271" i="28" s="1"/>
  <c r="Q270" i="28"/>
  <c r="R270" i="28"/>
  <c r="P271" i="28" l="1"/>
  <c r="T270" i="28"/>
  <c r="I272" i="28" l="1" a="1"/>
  <c r="I272" i="28" s="1"/>
  <c r="S271" i="28"/>
  <c r="R271" i="28"/>
  <c r="Q271" i="28"/>
  <c r="T271" i="28" l="1"/>
  <c r="F272" i="28"/>
  <c r="N272" i="28" s="1"/>
  <c r="P272" i="28" s="1"/>
  <c r="O272" i="28" l="1"/>
  <c r="O273" i="28" s="1"/>
  <c r="O274" i="28" s="1"/>
  <c r="O275" i="28" s="1"/>
  <c r="O276" i="28" s="1"/>
  <c r="O277" i="28" s="1"/>
  <c r="O278" i="28" s="1"/>
  <c r="O279" i="28" s="1"/>
  <c r="O280" i="28" s="1"/>
  <c r="O281" i="28" s="1"/>
  <c r="O282" i="28" s="1"/>
  <c r="R272" i="28"/>
  <c r="Q272" i="28"/>
  <c r="F273" i="28"/>
  <c r="N273" i="28" s="1"/>
  <c r="S272" i="28" l="1"/>
  <c r="T272" i="28" s="1"/>
  <c r="P273" i="28"/>
  <c r="F274" i="28" s="1"/>
  <c r="N274" i="28" s="1"/>
  <c r="S273" i="28"/>
  <c r="R273" i="28" l="1"/>
  <c r="Q273" i="28"/>
  <c r="P274" i="28"/>
  <c r="S274" i="28"/>
  <c r="T273" i="28" l="1"/>
  <c r="F275" i="28"/>
  <c r="N275" i="28" s="1"/>
  <c r="R274" i="28"/>
  <c r="Q274" i="28"/>
  <c r="P275" i="28" l="1"/>
  <c r="T274" i="28"/>
  <c r="S275" i="28"/>
  <c r="F276" i="28" l="1"/>
  <c r="N276" i="28" s="1"/>
  <c r="R275" i="28"/>
  <c r="Q275" i="28"/>
  <c r="P276" i="28" l="1"/>
  <c r="S276" i="28"/>
  <c r="T275" i="28"/>
  <c r="F277" i="28" l="1"/>
  <c r="N277" i="28" s="1"/>
  <c r="Q276" i="28"/>
  <c r="R276" i="28"/>
  <c r="P277" i="28" l="1"/>
  <c r="T276" i="28"/>
  <c r="S277" i="28"/>
  <c r="R277" i="28" l="1"/>
  <c r="Q277" i="28"/>
  <c r="F278" i="28"/>
  <c r="N278" i="28" s="1"/>
  <c r="T277" i="28" l="1"/>
  <c r="P278" i="28"/>
  <c r="S278" i="28"/>
  <c r="Q278" i="28" l="1"/>
  <c r="F279" i="28"/>
  <c r="N279" i="28" s="1"/>
  <c r="R278" i="28"/>
  <c r="P279" i="28" l="1"/>
  <c r="S279" i="28"/>
  <c r="T278" i="28"/>
  <c r="R279" i="28" l="1"/>
  <c r="F280" i="28"/>
  <c r="N280" i="28" s="1"/>
  <c r="Q279" i="28"/>
  <c r="T279" i="28" l="1"/>
  <c r="P280" i="28"/>
  <c r="S280" i="28"/>
  <c r="R280" i="28" l="1"/>
  <c r="Q280" i="28"/>
  <c r="F281" i="28"/>
  <c r="N281" i="28" s="1"/>
  <c r="P281" i="28" l="1"/>
  <c r="S281" i="28"/>
  <c r="T280" i="28"/>
  <c r="F282" i="28" l="1"/>
  <c r="N282" i="28" s="1"/>
  <c r="Q281" i="28"/>
  <c r="R281" i="28"/>
  <c r="P282" i="28" l="1"/>
  <c r="T281" i="28"/>
  <c r="R282" i="28" l="1"/>
  <c r="Q282" i="28"/>
  <c r="I283" i="28" a="1"/>
  <c r="I283" i="28" s="1"/>
  <c r="S282" i="28"/>
  <c r="T282" i="28" l="1"/>
  <c r="F283" i="28"/>
  <c r="N283" i="28" s="1"/>
  <c r="P283" i="28" s="1"/>
  <c r="O283" i="28" l="1"/>
  <c r="O284" i="28" s="1"/>
  <c r="O285" i="28" s="1"/>
  <c r="O286" i="28" s="1"/>
  <c r="O287" i="28" s="1"/>
  <c r="O288" i="28" s="1"/>
  <c r="O289" i="28" s="1"/>
  <c r="O290" i="28" s="1"/>
  <c r="O291" i="28" s="1"/>
  <c r="O292" i="28" s="1"/>
  <c r="O293" i="28" s="1"/>
  <c r="O294" i="28" s="1"/>
  <c r="O295" i="28" s="1"/>
  <c r="Q283" i="28"/>
  <c r="F284" i="28"/>
  <c r="N284" i="28" s="1"/>
  <c r="R283" i="28"/>
  <c r="S283" i="28" l="1"/>
  <c r="T283" i="28" s="1"/>
  <c r="P284" i="28"/>
  <c r="R284" i="28" s="1"/>
  <c r="S284" i="28"/>
  <c r="F285" i="28" l="1"/>
  <c r="N285" i="28" s="1"/>
  <c r="Q284" i="28"/>
  <c r="T284" i="28" s="1"/>
  <c r="P285" i="28" l="1"/>
  <c r="Q285" i="28" s="1"/>
  <c r="S285" i="28"/>
  <c r="R285" i="28" l="1"/>
  <c r="T285" i="28" s="1"/>
  <c r="F286" i="28"/>
  <c r="N286" i="28" s="1"/>
  <c r="P286" i="28" s="1"/>
  <c r="S286" i="28"/>
  <c r="Q286" i="28" l="1"/>
  <c r="R286" i="28"/>
  <c r="F287" i="28"/>
  <c r="N287" i="28" s="1"/>
  <c r="P287" i="28" l="1"/>
  <c r="S287" i="28"/>
  <c r="T286" i="28"/>
  <c r="R287" i="28" l="1"/>
  <c r="Q287" i="28"/>
  <c r="F288" i="28"/>
  <c r="N288" i="28" s="1"/>
  <c r="T287" i="28" l="1"/>
  <c r="P288" i="28"/>
  <c r="S288" i="28"/>
  <c r="Q288" i="28" l="1"/>
  <c r="F289" i="28"/>
  <c r="N289" i="28" s="1"/>
  <c r="R288" i="28"/>
  <c r="P289" i="28" l="1"/>
  <c r="S289" i="28"/>
  <c r="T288" i="28"/>
  <c r="Q289" i="28" l="1"/>
  <c r="R289" i="28"/>
  <c r="F290" i="28"/>
  <c r="N290" i="28" s="1"/>
  <c r="P290" i="28" l="1"/>
  <c r="S290" i="28"/>
  <c r="T289" i="28"/>
  <c r="R290" i="28" l="1"/>
  <c r="F291" i="28"/>
  <c r="N291" i="28" s="1"/>
  <c r="Q290" i="28"/>
  <c r="T290" i="28" l="1"/>
  <c r="P291" i="28"/>
  <c r="S291" i="28"/>
  <c r="Q291" i="28" l="1"/>
  <c r="F292" i="28"/>
  <c r="N292" i="28" s="1"/>
  <c r="R291" i="28"/>
  <c r="P292" i="28" l="1"/>
  <c r="S292" i="28"/>
  <c r="T291" i="28"/>
  <c r="F293" i="28" l="1"/>
  <c r="N293" i="28" s="1"/>
  <c r="Q292" i="28"/>
  <c r="R292" i="28"/>
  <c r="P293" i="28" l="1"/>
  <c r="T292" i="28"/>
  <c r="S293" i="28"/>
  <c r="F294" i="28" l="1"/>
  <c r="N294" i="28" s="1"/>
  <c r="R293" i="28"/>
  <c r="Q293" i="28"/>
  <c r="P294" i="28" l="1"/>
  <c r="T293" i="28"/>
  <c r="S294" i="28"/>
  <c r="R294" i="28" l="1"/>
  <c r="Q294" i="28"/>
  <c r="F295" i="28"/>
  <c r="N295" i="28" s="1"/>
  <c r="T294" i="28" l="1"/>
  <c r="P295" i="28"/>
  <c r="R295" i="28" s="1"/>
  <c r="S295" i="28"/>
  <c r="I296" i="28" a="1"/>
  <c r="I296" i="28" s="1"/>
  <c r="Q295" i="28" l="1"/>
  <c r="T295" i="28" s="1"/>
  <c r="F296" i="28"/>
  <c r="N296" i="28" s="1"/>
  <c r="P296" i="28" s="1"/>
  <c r="O296" i="28" l="1"/>
  <c r="O297" i="28" s="1"/>
  <c r="O298" i="28" s="1"/>
  <c r="O299" i="28" s="1"/>
  <c r="O300" i="28" s="1"/>
  <c r="O301" i="28" s="1"/>
  <c r="O302" i="28" s="1"/>
  <c r="O303" i="28" s="1"/>
  <c r="O304" i="28" s="1"/>
  <c r="O305" i="28" s="1"/>
  <c r="O306" i="28" s="1"/>
  <c r="F297" i="28"/>
  <c r="N297" i="28" s="1"/>
  <c r="R296" i="28"/>
  <c r="Q296" i="28"/>
  <c r="S296" i="28" l="1"/>
  <c r="T296" i="28" s="1"/>
  <c r="P297" i="28"/>
  <c r="F298" i="28" s="1"/>
  <c r="N298" i="28" s="1"/>
  <c r="S297" i="28"/>
  <c r="Q297" i="28" l="1"/>
  <c r="R297" i="28"/>
  <c r="P298" i="28"/>
  <c r="S298" i="28"/>
  <c r="T297" i="28" l="1"/>
  <c r="Q298" i="28"/>
  <c r="R298" i="28"/>
  <c r="F299" i="28"/>
  <c r="N299" i="28" s="1"/>
  <c r="P299" i="28" l="1"/>
  <c r="S299" i="28"/>
  <c r="T298" i="28"/>
  <c r="F300" i="28" l="1"/>
  <c r="N300" i="28" s="1"/>
  <c r="Q299" i="28"/>
  <c r="R299" i="28"/>
  <c r="P300" i="28" l="1"/>
  <c r="S300" i="28"/>
  <c r="T299" i="28"/>
  <c r="R300" i="28" l="1"/>
  <c r="Q300" i="28"/>
  <c r="F301" i="28"/>
  <c r="N301" i="28" s="1"/>
  <c r="P301" i="28" l="1"/>
  <c r="S301" i="28"/>
  <c r="T300" i="28"/>
  <c r="R301" i="28" l="1"/>
  <c r="Q301" i="28"/>
  <c r="F302" i="28"/>
  <c r="N302" i="28" s="1"/>
  <c r="T301" i="28" l="1"/>
  <c r="P302" i="28"/>
  <c r="S302" i="28"/>
  <c r="F303" i="28" l="1"/>
  <c r="N303" i="28" s="1"/>
  <c r="R302" i="28"/>
  <c r="Q302" i="28"/>
  <c r="P303" i="28" l="1"/>
  <c r="T302" i="28"/>
  <c r="S303" i="28"/>
  <c r="F304" i="28" l="1"/>
  <c r="N304" i="28" s="1"/>
  <c r="Q303" i="28"/>
  <c r="R303" i="28"/>
  <c r="P304" i="28" l="1"/>
  <c r="S304" i="28"/>
  <c r="T303" i="28"/>
  <c r="R304" i="28" l="1"/>
  <c r="Q304" i="28"/>
  <c r="F305" i="28"/>
  <c r="N305" i="28" s="1"/>
  <c r="P305" i="28" l="1"/>
  <c r="S305" i="28"/>
  <c r="T304" i="28"/>
  <c r="R305" i="28" l="1"/>
  <c r="Q305" i="28"/>
  <c r="F306" i="28"/>
  <c r="N306" i="28" s="1"/>
  <c r="P306" i="28" l="1"/>
  <c r="T305" i="28"/>
  <c r="Q306" i="28" l="1"/>
  <c r="R306" i="28"/>
  <c r="I307" i="28" a="1"/>
  <c r="I307" i="28" s="1"/>
  <c r="S306" i="28"/>
  <c r="F307" i="28" l="1"/>
  <c r="N307" i="28" s="1"/>
  <c r="P307" i="28" s="1"/>
  <c r="T306" i="28"/>
  <c r="O307" i="28" l="1"/>
  <c r="O308" i="28" s="1"/>
  <c r="O309" i="28" s="1"/>
  <c r="O310" i="28" s="1"/>
  <c r="O311" i="28" s="1"/>
  <c r="O312" i="28" s="1"/>
  <c r="O313" i="28" s="1"/>
  <c r="O314" i="28" s="1"/>
  <c r="O315" i="28" s="1"/>
  <c r="O316" i="28" s="1"/>
  <c r="O317" i="28" s="1"/>
  <c r="O318" i="28" s="1"/>
  <c r="O319" i="28" s="1"/>
  <c r="R307" i="28"/>
  <c r="Q307" i="28"/>
  <c r="F308" i="28"/>
  <c r="N308" i="28" s="1"/>
  <c r="S307" i="28" l="1"/>
  <c r="T307" i="28" s="1"/>
  <c r="P308" i="28"/>
  <c r="R308" i="28" s="1"/>
  <c r="S308" i="28"/>
  <c r="Q308" i="28" l="1"/>
  <c r="T308" i="28" s="1"/>
  <c r="F309" i="28"/>
  <c r="N309" i="28" s="1"/>
  <c r="P309" i="28" l="1"/>
  <c r="F310" i="28" s="1"/>
  <c r="N310" i="28" s="1"/>
  <c r="S309" i="28"/>
  <c r="Q309" i="28" l="1"/>
  <c r="R309" i="28"/>
  <c r="P310" i="28"/>
  <c r="S310" i="28"/>
  <c r="T309" i="28" l="1"/>
  <c r="Q310" i="28"/>
  <c r="F311" i="28"/>
  <c r="N311" i="28" s="1"/>
  <c r="R310" i="28"/>
  <c r="P311" i="28" l="1"/>
  <c r="S311" i="28"/>
  <c r="T310" i="28"/>
  <c r="Q311" i="28" l="1"/>
  <c r="F312" i="28"/>
  <c r="N312" i="28" s="1"/>
  <c r="R311" i="28"/>
  <c r="P312" i="28" l="1"/>
  <c r="S312" i="28"/>
  <c r="T311" i="28"/>
  <c r="Q312" i="28" l="1"/>
  <c r="R312" i="28"/>
  <c r="F313" i="28"/>
  <c r="N313" i="28" s="1"/>
  <c r="P313" i="28" l="1"/>
  <c r="S313" i="28"/>
  <c r="T312" i="28"/>
  <c r="F314" i="28" l="1"/>
  <c r="N314" i="28" s="1"/>
  <c r="R313" i="28"/>
  <c r="Q313" i="28"/>
  <c r="P314" i="28" l="1"/>
  <c r="S314" i="28"/>
  <c r="T313" i="28"/>
  <c r="Q314" i="28" l="1"/>
  <c r="F315" i="28"/>
  <c r="N315" i="28" s="1"/>
  <c r="R314" i="28"/>
  <c r="P315" i="28" l="1"/>
  <c r="S315" i="28"/>
  <c r="T314" i="28"/>
  <c r="R315" i="28" l="1"/>
  <c r="F316" i="28"/>
  <c r="N316" i="28" s="1"/>
  <c r="Q315" i="28"/>
  <c r="T315" i="28" l="1"/>
  <c r="P316" i="28"/>
  <c r="S316" i="28"/>
  <c r="Q316" i="28" l="1"/>
  <c r="R316" i="28"/>
  <c r="F317" i="28"/>
  <c r="N317" i="28" s="1"/>
  <c r="P317" i="28" l="1"/>
  <c r="S317" i="28"/>
  <c r="T316" i="28"/>
  <c r="F318" i="28" l="1"/>
  <c r="N318" i="28" s="1"/>
  <c r="R317" i="28"/>
  <c r="Q317" i="28"/>
  <c r="T317" i="28" l="1"/>
  <c r="P318" i="28"/>
  <c r="S318" i="28"/>
  <c r="R318" i="28" l="1"/>
  <c r="F319" i="28"/>
  <c r="N319" i="28" s="1"/>
  <c r="Q318" i="28"/>
  <c r="T318" i="28" l="1"/>
  <c r="P319" i="28"/>
  <c r="R319" i="28" s="1"/>
  <c r="I320" i="28" a="1"/>
  <c r="I320" i="28" s="1"/>
  <c r="S319" i="28"/>
  <c r="Q319" i="28" l="1"/>
  <c r="T319" i="28" s="1"/>
  <c r="F320" i="28"/>
  <c r="N320" i="28" s="1"/>
  <c r="P320" i="28" s="1"/>
  <c r="O320" i="28" l="1"/>
  <c r="O321" i="28" s="1"/>
  <c r="O322" i="28" s="1"/>
  <c r="O323" i="28" s="1"/>
  <c r="O324" i="28" s="1"/>
  <c r="O325" i="28" s="1"/>
  <c r="O326" i="28" s="1"/>
  <c r="O327" i="28" s="1"/>
  <c r="O328" i="28" s="1"/>
  <c r="O329" i="28" s="1"/>
  <c r="O330" i="28" s="1"/>
  <c r="O331" i="28" s="1"/>
  <c r="R320" i="28"/>
  <c r="F321" i="28"/>
  <c r="N321" i="28" s="1"/>
  <c r="Q320" i="28"/>
  <c r="S320" i="28" l="1"/>
  <c r="T320" i="28" s="1"/>
  <c r="P321" i="28"/>
  <c r="R321" i="28" s="1"/>
  <c r="S321" i="28"/>
  <c r="F322" i="28" l="1"/>
  <c r="N322" i="28" s="1"/>
  <c r="P322" i="28" s="1"/>
  <c r="Q321" i="28"/>
  <c r="T321" i="28" s="1"/>
  <c r="S322" i="28"/>
  <c r="R322" i="28" l="1"/>
  <c r="Q322" i="28"/>
  <c r="F323" i="28"/>
  <c r="N323" i="28" s="1"/>
  <c r="T322" i="28" l="1"/>
  <c r="P323" i="28"/>
  <c r="S323" i="28"/>
  <c r="Q323" i="28" l="1"/>
  <c r="R323" i="28"/>
  <c r="F324" i="28"/>
  <c r="N324" i="28" s="1"/>
  <c r="P324" i="28" l="1"/>
  <c r="S324" i="28"/>
  <c r="T323" i="28"/>
  <c r="F325" i="28" l="1"/>
  <c r="N325" i="28" s="1"/>
  <c r="Q324" i="28"/>
  <c r="R324" i="28"/>
  <c r="P325" i="28" l="1"/>
  <c r="T324" i="28"/>
  <c r="S325" i="28"/>
  <c r="Q325" i="28" l="1"/>
  <c r="R325" i="28"/>
  <c r="F326" i="28"/>
  <c r="N326" i="28" s="1"/>
  <c r="P326" i="28" l="1"/>
  <c r="S326" i="28"/>
  <c r="T325" i="28"/>
  <c r="F327" i="28" l="1"/>
  <c r="N327" i="28" s="1"/>
  <c r="Q326" i="28"/>
  <c r="R326" i="28"/>
  <c r="P327" i="28" l="1"/>
  <c r="T326" i="28"/>
  <c r="S327" i="28"/>
  <c r="R327" i="28" l="1"/>
  <c r="Q327" i="28"/>
  <c r="F328" i="28"/>
  <c r="N328" i="28" s="1"/>
  <c r="T327" i="28" l="1"/>
  <c r="P328" i="28"/>
  <c r="S328" i="28"/>
  <c r="Q328" i="28" l="1"/>
  <c r="R328" i="28"/>
  <c r="F329" i="28"/>
  <c r="N329" i="28" s="1"/>
  <c r="P329" i="28" l="1"/>
  <c r="S329" i="28"/>
  <c r="T328" i="28"/>
  <c r="Q329" i="28" l="1"/>
  <c r="F330" i="28"/>
  <c r="N330" i="28" s="1"/>
  <c r="R329" i="28"/>
  <c r="P330" i="28" l="1"/>
  <c r="S330" i="28"/>
  <c r="T329" i="28"/>
  <c r="F331" i="28" l="1"/>
  <c r="N331" i="28" s="1"/>
  <c r="R330" i="28"/>
  <c r="Q330" i="28"/>
  <c r="T330" i="28" l="1"/>
  <c r="P331" i="28"/>
  <c r="Q331" i="28" s="1"/>
  <c r="S331" i="28"/>
  <c r="I332" i="28" a="1"/>
  <c r="I332" i="28" s="1"/>
  <c r="R331" i="28" l="1"/>
  <c r="T331" i="28" s="1"/>
  <c r="F332" i="28"/>
  <c r="N332" i="28" s="1"/>
  <c r="P332" i="28" s="1"/>
  <c r="O332" i="28" l="1"/>
  <c r="O333" i="28" s="1"/>
  <c r="O334" i="28" s="1"/>
  <c r="O335" i="28" s="1"/>
  <c r="O336" i="28" s="1"/>
  <c r="O337" i="28" s="1"/>
  <c r="O338" i="28" s="1"/>
  <c r="O339" i="28" s="1"/>
  <c r="O340" i="28" s="1"/>
  <c r="O341" i="28" s="1"/>
  <c r="O342" i="28" s="1"/>
  <c r="Q332" i="28"/>
  <c r="R332" i="28"/>
  <c r="F333" i="28"/>
  <c r="N333" i="28" s="1"/>
  <c r="S332" i="28" l="1"/>
  <c r="T332" i="28" s="1"/>
  <c r="P333" i="28"/>
  <c r="Q333" i="28" s="1"/>
  <c r="S333" i="28"/>
  <c r="R333" i="28" l="1"/>
  <c r="T333" i="28" s="1"/>
  <c r="F334" i="28"/>
  <c r="N334" i="28" s="1"/>
  <c r="P334" i="28" s="1"/>
  <c r="S334" i="28"/>
  <c r="Q334" i="28" l="1"/>
  <c r="F335" i="28"/>
  <c r="N335" i="28" s="1"/>
  <c r="R334" i="28"/>
  <c r="P335" i="28" l="1"/>
  <c r="S335" i="28"/>
  <c r="T334" i="28"/>
  <c r="R335" i="28" l="1"/>
  <c r="Q335" i="28"/>
  <c r="F336" i="28"/>
  <c r="N336" i="28" s="1"/>
  <c r="P336" i="28" l="1"/>
  <c r="T335" i="28"/>
  <c r="S336" i="28"/>
  <c r="R336" i="28" l="1"/>
  <c r="Q336" i="28"/>
  <c r="F337" i="28"/>
  <c r="N337" i="28" s="1"/>
  <c r="T336" i="28" l="1"/>
  <c r="P337" i="28"/>
  <c r="S337" i="28"/>
  <c r="Q337" i="28" l="1"/>
  <c r="R337" i="28"/>
  <c r="F338" i="28"/>
  <c r="N338" i="28" s="1"/>
  <c r="P338" i="28" l="1"/>
  <c r="S338" i="28"/>
  <c r="T337" i="28"/>
  <c r="Q338" i="28" l="1"/>
  <c r="F339" i="28"/>
  <c r="N339" i="28" s="1"/>
  <c r="R338" i="28"/>
  <c r="P339" i="28" l="1"/>
  <c r="S339" i="28"/>
  <c r="T338" i="28"/>
  <c r="F340" i="28" l="1"/>
  <c r="N340" i="28" s="1"/>
  <c r="Q339" i="28"/>
  <c r="R339" i="28"/>
  <c r="P340" i="28" l="1"/>
  <c r="T339" i="28"/>
  <c r="S340" i="28"/>
  <c r="R340" i="28" l="1"/>
  <c r="Q340" i="28"/>
  <c r="F341" i="28"/>
  <c r="N341" i="28" s="1"/>
  <c r="T340" i="28" l="1"/>
  <c r="P341" i="28"/>
  <c r="S341" i="28"/>
  <c r="R341" i="28" l="1"/>
  <c r="F342" i="28"/>
  <c r="N342" i="28" s="1"/>
  <c r="Q341" i="28"/>
  <c r="T341" i="28" l="1"/>
  <c r="P342" i="28"/>
  <c r="R342" i="28" s="1"/>
  <c r="S342" i="28"/>
  <c r="I343" i="28" a="1"/>
  <c r="I343" i="28" s="1"/>
  <c r="Q342" i="28" l="1"/>
  <c r="T342" i="28" s="1"/>
  <c r="F343" i="28"/>
  <c r="N343" i="28" s="1"/>
  <c r="P343" i="28" s="1"/>
  <c r="O343" i="28" l="1"/>
  <c r="O344" i="28" s="1"/>
  <c r="O345" i="28" s="1"/>
  <c r="O346" i="28" s="1"/>
  <c r="O347" i="28" s="1"/>
  <c r="O348" i="28" s="1"/>
  <c r="O349" i="28" s="1"/>
  <c r="O350" i="28" s="1"/>
  <c r="O351" i="28" s="1"/>
  <c r="O352" i="28" s="1"/>
  <c r="O353" i="28" s="1"/>
  <c r="O354" i="28" s="1"/>
  <c r="O355" i="28" s="1"/>
  <c r="Q343" i="28"/>
  <c r="R343" i="28"/>
  <c r="F344" i="28"/>
  <c r="N344" i="28" s="1"/>
  <c r="S343" i="28" l="1"/>
  <c r="T343" i="28" s="1"/>
  <c r="P344" i="28"/>
  <c r="Q344" i="28" s="1"/>
  <c r="S344" i="28"/>
  <c r="F345" i="28" l="1"/>
  <c r="N345" i="28" s="1"/>
  <c r="R344" i="28"/>
  <c r="T344" i="28" s="1"/>
  <c r="P345" i="28" l="1"/>
  <c r="F346" i="28" s="1"/>
  <c r="N346" i="28" s="1"/>
  <c r="S345" i="28"/>
  <c r="Q345" i="28" l="1"/>
  <c r="R345" i="28"/>
  <c r="P346" i="28"/>
  <c r="S346" i="28"/>
  <c r="T345" i="28" l="1"/>
  <c r="F347" i="28"/>
  <c r="N347" i="28" s="1"/>
  <c r="R346" i="28"/>
  <c r="Q346" i="28"/>
  <c r="P347" i="28" l="1"/>
  <c r="T346" i="28"/>
  <c r="S347" i="28"/>
  <c r="F348" i="28" l="1"/>
  <c r="N348" i="28" s="1"/>
  <c r="R347" i="28"/>
  <c r="Q347" i="28"/>
  <c r="T347" i="28" l="1"/>
  <c r="P348" i="28"/>
  <c r="S348" i="28"/>
  <c r="F349" i="28" l="1"/>
  <c r="N349" i="28" s="1"/>
  <c r="R348" i="28"/>
  <c r="Q348" i="28"/>
  <c r="P349" i="28" l="1"/>
  <c r="S349" i="28"/>
  <c r="T348" i="28"/>
  <c r="R349" i="28" l="1"/>
  <c r="F350" i="28"/>
  <c r="N350" i="28" s="1"/>
  <c r="Q349" i="28"/>
  <c r="T349" i="28" l="1"/>
  <c r="P350" i="28"/>
  <c r="S350" i="28"/>
  <c r="Q350" i="28" l="1"/>
  <c r="F351" i="28"/>
  <c r="N351" i="28" s="1"/>
  <c r="R350" i="28"/>
  <c r="P351" i="28" l="1"/>
  <c r="S351" i="28"/>
  <c r="T350" i="28"/>
  <c r="R351" i="28" l="1"/>
  <c r="Q351" i="28"/>
  <c r="F352" i="28"/>
  <c r="N352" i="28" s="1"/>
  <c r="T351" i="28" l="1"/>
  <c r="P352" i="28"/>
  <c r="S352" i="28"/>
  <c r="Q352" i="28" l="1"/>
  <c r="F353" i="28"/>
  <c r="N353" i="28" s="1"/>
  <c r="R352" i="28"/>
  <c r="P353" i="28" l="1"/>
  <c r="S353" i="28"/>
  <c r="T352" i="28"/>
  <c r="Q353" i="28" l="1"/>
  <c r="F354" i="28"/>
  <c r="N354" i="28" s="1"/>
  <c r="R353" i="28"/>
  <c r="P354" i="28" l="1"/>
  <c r="S354" i="28"/>
  <c r="T353" i="28"/>
  <c r="Q354" i="28" l="1"/>
  <c r="R354" i="28"/>
  <c r="F355" i="28"/>
  <c r="N355" i="28" s="1"/>
  <c r="P355" i="28" l="1"/>
  <c r="T354" i="28"/>
  <c r="R355" i="28" l="1"/>
  <c r="Q355" i="28"/>
  <c r="S355" i="28"/>
  <c r="I356" i="28" a="1"/>
  <c r="I356" i="28" s="1"/>
  <c r="T355" i="28" l="1"/>
  <c r="F356" i="28"/>
  <c r="N356" i="28" s="1"/>
  <c r="P356" i="28" s="1"/>
  <c r="O356" i="28" l="1"/>
  <c r="O357" i="28" s="1"/>
  <c r="O358" i="28" s="1"/>
  <c r="O359" i="28" s="1"/>
  <c r="O360" i="28" s="1"/>
  <c r="O361" i="28" s="1"/>
  <c r="O362" i="28" s="1"/>
  <c r="O363" i="28" s="1"/>
  <c r="O364" i="28" s="1"/>
  <c r="O365" i="28" s="1"/>
  <c r="O366" i="28" s="1"/>
  <c r="O367" i="28" s="1"/>
  <c r="F357" i="28"/>
  <c r="N357" i="28" s="1"/>
  <c r="Q356" i="28"/>
  <c r="R356" i="28"/>
  <c r="S356" i="28" l="1"/>
  <c r="T356" i="28" s="1"/>
  <c r="P357" i="28"/>
  <c r="R357" i="28" s="1"/>
  <c r="S357" i="28"/>
  <c r="F358" i="28" l="1"/>
  <c r="N358" i="28" s="1"/>
  <c r="P358" i="28" s="1"/>
  <c r="Q357" i="28"/>
  <c r="T357" i="28" s="1"/>
  <c r="S358" i="28"/>
  <c r="F359" i="28" l="1"/>
  <c r="N359" i="28" s="1"/>
  <c r="R358" i="28"/>
  <c r="Q358" i="28"/>
  <c r="T358" i="28" l="1"/>
  <c r="P359" i="28"/>
  <c r="S359" i="28"/>
  <c r="Q359" i="28" l="1"/>
  <c r="F360" i="28"/>
  <c r="N360" i="28" s="1"/>
  <c r="R359" i="28"/>
  <c r="P360" i="28" l="1"/>
  <c r="S360" i="28"/>
  <c r="T359" i="28"/>
  <c r="Q360" i="28" l="1"/>
  <c r="R360" i="28"/>
  <c r="F361" i="28"/>
  <c r="N361" i="28" s="1"/>
  <c r="P361" i="28" l="1"/>
  <c r="S361" i="28"/>
  <c r="T360" i="28"/>
  <c r="F362" i="28" l="1"/>
  <c r="N362" i="28" s="1"/>
  <c r="Q361" i="28"/>
  <c r="R361" i="28"/>
  <c r="P362" i="28" l="1"/>
  <c r="T361" i="28"/>
  <c r="S362" i="28"/>
  <c r="Q362" i="28" l="1"/>
  <c r="F363" i="28"/>
  <c r="N363" i="28" s="1"/>
  <c r="R362" i="28"/>
  <c r="P363" i="28" l="1"/>
  <c r="S363" i="28"/>
  <c r="T362" i="28"/>
  <c r="R363" i="28" l="1"/>
  <c r="F364" i="28"/>
  <c r="N364" i="28" s="1"/>
  <c r="Q363" i="28"/>
  <c r="T363" i="28" l="1"/>
  <c r="P364" i="28"/>
  <c r="S364" i="28"/>
  <c r="Q364" i="28" l="1"/>
  <c r="F365" i="28"/>
  <c r="N365" i="28" s="1"/>
  <c r="R364" i="28"/>
  <c r="P365" i="28" l="1"/>
  <c r="S365" i="28"/>
  <c r="T364" i="28"/>
  <c r="F366" i="28" l="1"/>
  <c r="N366" i="28" s="1"/>
  <c r="Q365" i="28"/>
  <c r="R365" i="28"/>
  <c r="P366" i="28" l="1"/>
  <c r="S366" i="28"/>
  <c r="T365" i="28"/>
  <c r="R366" i="28" l="1"/>
  <c r="F367" i="28"/>
  <c r="N367" i="28" s="1"/>
  <c r="Q366" i="28"/>
  <c r="T366" i="28" l="1"/>
  <c r="P367" i="28"/>
  <c r="Q367" i="28" s="1"/>
  <c r="S367" i="28"/>
  <c r="I368" i="28" a="1"/>
  <c r="I368" i="28" s="1"/>
  <c r="R367" i="28" l="1"/>
  <c r="T367" i="28" s="1"/>
  <c r="F368" i="28"/>
  <c r="N368" i="28" s="1"/>
  <c r="P368" i="28" s="1"/>
  <c r="O368" i="28" l="1"/>
  <c r="O369" i="28" s="1"/>
  <c r="O370" i="28" s="1"/>
  <c r="O371" i="28" s="1"/>
  <c r="O372" i="28" s="1"/>
  <c r="O373" i="28" s="1"/>
  <c r="O374" i="28" s="1"/>
  <c r="O375" i="28" s="1"/>
  <c r="O376" i="28" s="1"/>
  <c r="O377" i="28" s="1"/>
  <c r="O378" i="28" s="1"/>
  <c r="F369" i="28"/>
  <c r="N369" i="28" s="1"/>
  <c r="R368" i="28"/>
  <c r="Q368" i="28"/>
  <c r="S368" i="28" l="1"/>
  <c r="T368" i="28" s="1"/>
  <c r="P369" i="28"/>
  <c r="Q369" i="28" s="1"/>
  <c r="S369" i="28"/>
  <c r="R369" i="28" l="1"/>
  <c r="T369" i="28" s="1"/>
  <c r="F370" i="28"/>
  <c r="N370" i="28" s="1"/>
  <c r="P370" i="28" l="1"/>
  <c r="R370" i="28" s="1"/>
  <c r="S370" i="28"/>
  <c r="F371" i="28" l="1"/>
  <c r="N371" i="28" s="1"/>
  <c r="P371" i="28" s="1"/>
  <c r="Q370" i="28"/>
  <c r="T370" i="28" s="1"/>
  <c r="S371" i="28"/>
  <c r="R371" i="28" l="1"/>
  <c r="F372" i="28"/>
  <c r="N372" i="28" s="1"/>
  <c r="Q371" i="28"/>
  <c r="T371" i="28" l="1"/>
  <c r="P372" i="28"/>
  <c r="S372" i="28"/>
  <c r="F373" i="28" l="1"/>
  <c r="N373" i="28" s="1"/>
  <c r="Q372" i="28"/>
  <c r="R372" i="28"/>
  <c r="P373" i="28" l="1"/>
  <c r="T372" i="28"/>
  <c r="S373" i="28"/>
  <c r="R373" i="28" l="1"/>
  <c r="F374" i="28"/>
  <c r="N374" i="28" s="1"/>
  <c r="Q373" i="28"/>
  <c r="T373" i="28" l="1"/>
  <c r="P374" i="28"/>
  <c r="S374" i="28"/>
  <c r="Q374" i="28" l="1"/>
  <c r="F375" i="28"/>
  <c r="N375" i="28" s="1"/>
  <c r="R374" i="28"/>
  <c r="P375" i="28" l="1"/>
  <c r="S375" i="28"/>
  <c r="T374" i="28"/>
  <c r="F376" i="28" l="1"/>
  <c r="N376" i="28" s="1"/>
  <c r="Q375" i="28"/>
  <c r="R375" i="28"/>
  <c r="P376" i="28" l="1"/>
  <c r="S376" i="28"/>
  <c r="T375" i="28"/>
  <c r="R376" i="28" l="1"/>
  <c r="Q376" i="28"/>
  <c r="F377" i="28"/>
  <c r="N377" i="28" s="1"/>
  <c r="T376" i="28" l="1"/>
  <c r="P377" i="28"/>
  <c r="S377" i="28"/>
  <c r="F378" i="28" l="1"/>
  <c r="N378" i="28" s="1"/>
  <c r="Q377" i="28"/>
  <c r="R377" i="28"/>
  <c r="P378" i="28" l="1"/>
  <c r="T377" i="28"/>
  <c r="Q378" i="28" l="1"/>
  <c r="R378" i="28"/>
  <c r="I379" i="28" a="1"/>
  <c r="I379" i="28" s="1"/>
  <c r="S378" i="28"/>
  <c r="F379" i="28" l="1"/>
  <c r="N379" i="28" s="1"/>
  <c r="P379" i="28" s="1"/>
  <c r="T378" i="28"/>
  <c r="O379" i="28" l="1"/>
  <c r="O380" i="28" s="1"/>
  <c r="O381" i="28" s="1"/>
  <c r="O382" i="28" s="1"/>
  <c r="O383" i="28" s="1"/>
  <c r="O384" i="28" s="1"/>
  <c r="O385" i="28" s="1"/>
  <c r="O386" i="28" s="1"/>
  <c r="O387" i="28" s="1"/>
  <c r="O388" i="28" s="1"/>
  <c r="O389" i="28" s="1"/>
  <c r="O390" i="28" s="1"/>
  <c r="O391" i="28" s="1"/>
  <c r="Q379" i="28"/>
  <c r="F380" i="28"/>
  <c r="N380" i="28" s="1"/>
  <c r="R379" i="28"/>
  <c r="S379" i="28" l="1"/>
  <c r="T379" i="28" s="1"/>
  <c r="P380" i="28"/>
  <c r="R380" i="28" s="1"/>
  <c r="S380" i="28"/>
  <c r="Q380" i="28" l="1"/>
  <c r="T380" i="28" s="1"/>
  <c r="F381" i="28"/>
  <c r="N381" i="28" s="1"/>
  <c r="S381" i="28" l="1"/>
  <c r="P381" i="28"/>
  <c r="Q381" i="28" s="1"/>
  <c r="R381" i="28" l="1"/>
  <c r="T381" i="28" s="1"/>
  <c r="F382" i="28"/>
  <c r="N382" i="28" s="1"/>
  <c r="S382" i="28" l="1"/>
  <c r="P382" i="28"/>
  <c r="R382" i="28" s="1"/>
  <c r="Q382" i="28" l="1"/>
  <c r="T382" i="28" s="1"/>
  <c r="F383" i="28"/>
  <c r="N383" i="28" s="1"/>
  <c r="S383" i="28" l="1"/>
  <c r="P383" i="28"/>
  <c r="R383" i="28" s="1"/>
  <c r="Q383" i="28" l="1"/>
  <c r="T383" i="28" s="1"/>
  <c r="F384" i="28"/>
  <c r="N384" i="28" s="1"/>
  <c r="P384" i="28" l="1"/>
  <c r="Q384" i="28" s="1"/>
  <c r="S384" i="28"/>
  <c r="R384" i="28" l="1"/>
  <c r="T384" i="28" s="1"/>
  <c r="F385" i="28"/>
  <c r="N385" i="28" s="1"/>
  <c r="P385" i="28" s="1"/>
  <c r="S385" i="28"/>
  <c r="R385" i="28" l="1"/>
  <c r="F386" i="28"/>
  <c r="N386" i="28" s="1"/>
  <c r="Q385" i="28"/>
  <c r="T385" i="28" l="1"/>
  <c r="P386" i="28"/>
  <c r="S386" i="28"/>
  <c r="Q386" i="28" l="1"/>
  <c r="F387" i="28"/>
  <c r="N387" i="28" s="1"/>
  <c r="R386" i="28"/>
  <c r="P387" i="28" l="1"/>
  <c r="S387" i="28"/>
  <c r="T386" i="28"/>
  <c r="F388" i="28" l="1"/>
  <c r="N388" i="28" s="1"/>
  <c r="Q387" i="28"/>
  <c r="R387" i="28"/>
  <c r="P388" i="28" l="1"/>
  <c r="T387" i="28"/>
  <c r="S388" i="28"/>
  <c r="Q388" i="28" l="1"/>
  <c r="R388" i="28"/>
  <c r="F389" i="28"/>
  <c r="N389" i="28" s="1"/>
  <c r="P389" i="28" l="1"/>
  <c r="T388" i="28"/>
  <c r="S389" i="28"/>
  <c r="F390" i="28" l="1"/>
  <c r="N390" i="28" s="1"/>
  <c r="R389" i="28"/>
  <c r="Q389" i="28"/>
  <c r="T389" i="28" l="1"/>
  <c r="P390" i="28"/>
  <c r="S390" i="28"/>
  <c r="Q390" i="28" l="1"/>
  <c r="F391" i="28"/>
  <c r="N391" i="28" s="1"/>
  <c r="R390" i="28"/>
  <c r="P391" i="28" l="1"/>
  <c r="T390" i="28"/>
  <c r="Q391" i="28" l="1"/>
  <c r="R391" i="28"/>
  <c r="S391" i="28"/>
  <c r="I392" i="28" a="1"/>
  <c r="I392" i="28" s="1"/>
  <c r="F392" i="28" l="1"/>
  <c r="N392" i="28" s="1"/>
  <c r="P392" i="28" s="1"/>
  <c r="T391" i="28"/>
  <c r="O392" i="28" l="1"/>
  <c r="O393" i="28" s="1"/>
  <c r="O394" i="28" s="1"/>
  <c r="O395" i="28" s="1"/>
  <c r="O396" i="28" s="1"/>
  <c r="O397" i="28" s="1"/>
  <c r="O398" i="28" s="1"/>
  <c r="O399" i="28" s="1"/>
  <c r="O400" i="28" s="1"/>
  <c r="O401" i="28" s="1"/>
  <c r="O402" i="28" s="1"/>
  <c r="O403" i="28" s="1"/>
  <c r="Q392" i="28"/>
  <c r="R392" i="28"/>
  <c r="F393" i="28"/>
  <c r="N393" i="28" s="1"/>
  <c r="S392" i="28" l="1"/>
  <c r="T392" i="28" s="1"/>
  <c r="P393" i="28"/>
  <c r="F394" i="28" s="1"/>
  <c r="N394" i="28" s="1"/>
  <c r="S393" i="28"/>
  <c r="Q393" i="28" l="1"/>
  <c r="R393" i="28"/>
  <c r="P394" i="28"/>
  <c r="S394" i="28"/>
  <c r="T393" i="28" l="1"/>
  <c r="R394" i="28"/>
  <c r="F395" i="28"/>
  <c r="N395" i="28" s="1"/>
  <c r="Q394" i="28"/>
  <c r="T394" i="28" l="1"/>
  <c r="P395" i="28"/>
  <c r="S395" i="28"/>
  <c r="Q395" i="28" l="1"/>
  <c r="F396" i="28"/>
  <c r="N396" i="28" s="1"/>
  <c r="R395" i="28"/>
  <c r="P396" i="28" l="1"/>
  <c r="S396" i="28"/>
  <c r="T395" i="28"/>
  <c r="F397" i="28" l="1"/>
  <c r="N397" i="28" s="1"/>
  <c r="Q396" i="28"/>
  <c r="R396" i="28"/>
  <c r="P397" i="28" l="1"/>
  <c r="S397" i="28"/>
  <c r="T396" i="28"/>
  <c r="Q397" i="28" l="1"/>
  <c r="F398" i="28"/>
  <c r="N398" i="28" s="1"/>
  <c r="R397" i="28"/>
  <c r="P398" i="28" l="1"/>
  <c r="S398" i="28"/>
  <c r="T397" i="28"/>
  <c r="F399" i="28" l="1"/>
  <c r="N399" i="28" s="1"/>
  <c r="R398" i="28"/>
  <c r="Q398" i="28"/>
  <c r="P399" i="28" l="1"/>
  <c r="S399" i="28"/>
  <c r="T398" i="28"/>
  <c r="Q399" i="28" l="1"/>
  <c r="R399" i="28"/>
  <c r="F400" i="28"/>
  <c r="N400" i="28" s="1"/>
  <c r="P400" i="28" l="1"/>
  <c r="S400" i="28"/>
  <c r="T399" i="28"/>
  <c r="R400" i="28" l="1"/>
  <c r="Q400" i="28"/>
  <c r="F401" i="28"/>
  <c r="N401" i="28" s="1"/>
  <c r="P401" i="28" l="1"/>
  <c r="T400" i="28"/>
  <c r="S401" i="28"/>
  <c r="Q401" i="28" l="1"/>
  <c r="F402" i="28"/>
  <c r="N402" i="28" s="1"/>
  <c r="R401" i="28"/>
  <c r="P402" i="28" l="1"/>
  <c r="S402" i="28"/>
  <c r="D403" i="28"/>
  <c r="T401" i="28"/>
  <c r="B403" i="28" l="1"/>
  <c r="G404" i="28"/>
  <c r="F403" i="28"/>
  <c r="N403" i="28" s="1"/>
  <c r="R402" i="28"/>
  <c r="Q402" i="28"/>
  <c r="P403" i="28" l="1"/>
  <c r="T402" i="28"/>
  <c r="D404" i="28"/>
  <c r="I404" i="28" a="1"/>
  <c r="I404" i="28" s="1"/>
  <c r="S403" i="28"/>
  <c r="Q403" i="28" l="1"/>
  <c r="R403" i="28"/>
  <c r="F404" i="28"/>
  <c r="N404" i="28" s="1"/>
  <c r="P404" i="28" s="1"/>
  <c r="B404" i="28"/>
  <c r="G405" i="28"/>
  <c r="O404" i="28" l="1"/>
  <c r="O405" i="28" s="1"/>
  <c r="D405" i="28"/>
  <c r="T403" i="28"/>
  <c r="G406" i="28" l="1"/>
  <c r="S404" i="28"/>
  <c r="Q404" i="28" l="1"/>
  <c r="F405" i="28"/>
  <c r="R404" i="28"/>
  <c r="S405" i="28" l="1"/>
  <c r="T404" i="28"/>
  <c r="C405" i="28" l="1"/>
  <c r="H2" i="39"/>
  <c r="N405" i="28"/>
  <c r="P405" i="28" l="1"/>
  <c r="R405" i="28" s="1"/>
  <c r="H406" i="28"/>
  <c r="O406" i="28"/>
  <c r="S406" i="28" s="1"/>
  <c r="B405" i="28"/>
  <c r="D406" i="28"/>
  <c r="G407" i="28" s="1"/>
  <c r="F406" i="28" l="1"/>
  <c r="Q405" i="28"/>
  <c r="T405" i="28" s="1"/>
  <c r="C406" i="28" l="1"/>
  <c r="H407" i="28" s="1"/>
  <c r="N406" i="28"/>
  <c r="O407" i="28" l="1"/>
  <c r="S407" i="28" s="1"/>
  <c r="P406" i="28"/>
  <c r="Q406" i="28" s="1"/>
  <c r="B406" i="28"/>
  <c r="D407" i="28"/>
  <c r="G408" i="28" s="1"/>
  <c r="R406" i="28" l="1"/>
  <c r="T406" i="28" s="1"/>
  <c r="F407" i="28"/>
  <c r="C407" i="28" s="1"/>
  <c r="H408" i="28" l="1"/>
  <c r="B407" i="28"/>
  <c r="O408" i="28"/>
  <c r="N407" i="28"/>
  <c r="P407" i="28" s="1"/>
  <c r="R407" i="28" l="1"/>
  <c r="Q407" i="28"/>
  <c r="S408" i="28"/>
  <c r="D408" i="28"/>
  <c r="F408" i="28"/>
  <c r="T407" i="28" l="1"/>
  <c r="C408" i="28"/>
  <c r="G409" i="28"/>
  <c r="H409" i="28" l="1"/>
  <c r="B408" i="28"/>
  <c r="O409" i="28"/>
  <c r="N408" i="28"/>
  <c r="P408" i="28" s="1"/>
  <c r="F409" i="28" l="1"/>
  <c r="R408" i="28"/>
  <c r="Q408" i="28"/>
  <c r="S409" i="28"/>
  <c r="D409" i="28"/>
  <c r="T408" i="28" l="1"/>
  <c r="G410" i="28"/>
  <c r="C409" i="28"/>
  <c r="H410" i="28" l="1"/>
  <c r="B409" i="28"/>
  <c r="O410" i="28"/>
  <c r="N409" i="28"/>
  <c r="P409" i="28" s="1"/>
  <c r="Q409" i="28" l="1"/>
  <c r="R409" i="28"/>
  <c r="F410" i="28"/>
  <c r="D410" i="28"/>
  <c r="S410" i="28"/>
  <c r="G411" i="28" l="1"/>
  <c r="C410" i="28"/>
  <c r="T409" i="28"/>
  <c r="N410" i="28" l="1"/>
  <c r="P410" i="28" s="1"/>
  <c r="H411" i="28"/>
  <c r="B410" i="28"/>
  <c r="O411" i="28"/>
  <c r="D411" i="28" l="1"/>
  <c r="G412" i="28" s="1"/>
  <c r="S411" i="28"/>
  <c r="F411" i="28"/>
  <c r="R410" i="28"/>
  <c r="Q410" i="28"/>
  <c r="T410" i="28" l="1"/>
  <c r="C411" i="28"/>
  <c r="H412" i="28" l="1"/>
  <c r="B411" i="28"/>
  <c r="O412" i="28"/>
  <c r="N411" i="28"/>
  <c r="P411" i="28" s="1"/>
  <c r="D412" i="28" l="1"/>
  <c r="S412" i="28"/>
  <c r="F412" i="28"/>
  <c r="R411" i="28"/>
  <c r="Q411" i="28"/>
  <c r="T411" i="28" l="1"/>
  <c r="C412" i="28"/>
  <c r="G413" i="28"/>
  <c r="H413" i="28" l="1"/>
  <c r="B412" i="28"/>
  <c r="O413" i="28"/>
  <c r="N412" i="28"/>
  <c r="P412" i="28" s="1"/>
  <c r="Q412" i="28" l="1"/>
  <c r="R412" i="28"/>
  <c r="S413" i="28"/>
  <c r="F413" i="28"/>
  <c r="D413" i="28"/>
  <c r="G414" i="28" s="1"/>
  <c r="C413" i="28" l="1"/>
  <c r="T412" i="28"/>
  <c r="N413" i="28" l="1"/>
  <c r="P413" i="28" s="1"/>
  <c r="H414" i="28"/>
  <c r="B413" i="28"/>
  <c r="O414" i="28"/>
  <c r="D414" i="28" l="1"/>
  <c r="G415" i="28" s="1"/>
  <c r="F414" i="28"/>
  <c r="S414" i="28"/>
  <c r="R413" i="28"/>
  <c r="Q413" i="28"/>
  <c r="C414" i="28" l="1"/>
  <c r="T413" i="28"/>
  <c r="N414" i="28" l="1"/>
  <c r="P414" i="28" s="1"/>
  <c r="O415" i="28"/>
  <c r="B414" i="28"/>
  <c r="H415" i="28"/>
  <c r="F415" i="28" l="1"/>
  <c r="D415" i="28"/>
  <c r="G416" i="28" s="1"/>
  <c r="R414" i="28"/>
  <c r="Q414" i="28"/>
  <c r="I416" i="28" a="1"/>
  <c r="I416" i="28" s="1"/>
  <c r="S415" i="28"/>
  <c r="C415" i="28" l="1"/>
  <c r="T414" i="28"/>
  <c r="N415" i="28" l="1"/>
  <c r="P415" i="28" s="1"/>
  <c r="Q415" i="28" s="1"/>
  <c r="B415" i="28"/>
  <c r="H416" i="28"/>
  <c r="D416" i="28" l="1"/>
  <c r="G417" i="28" s="1"/>
  <c r="F416" i="28"/>
  <c r="R415" i="28"/>
  <c r="T415" i="28" s="1"/>
  <c r="C416" i="28" l="1"/>
  <c r="N416" i="28" l="1"/>
  <c r="O416" i="28" s="1"/>
  <c r="H417" i="28"/>
  <c r="B416" i="28"/>
  <c r="P416" i="28" l="1"/>
  <c r="Q416" i="28" s="1"/>
  <c r="D417" i="28"/>
  <c r="G418" i="28" s="1"/>
  <c r="O417" i="28"/>
  <c r="S416" i="28"/>
  <c r="F417" i="28"/>
  <c r="R416" i="28" l="1"/>
  <c r="T416" i="28" s="1"/>
  <c r="C417" i="28"/>
  <c r="O418" i="28" s="1"/>
  <c r="S417" i="28"/>
  <c r="S418" i="28" l="1"/>
  <c r="H418" i="28"/>
  <c r="B417" i="28"/>
  <c r="N417" i="28"/>
  <c r="P417" i="28" s="1"/>
  <c r="F418" i="28" l="1"/>
  <c r="D418" i="28"/>
  <c r="Q417" i="28"/>
  <c r="R417" i="28"/>
  <c r="T417" i="28" l="1"/>
  <c r="G419" i="28"/>
  <c r="C418" i="28"/>
  <c r="H419" i="28" l="1"/>
  <c r="B418" i="28"/>
  <c r="O419" i="28"/>
  <c r="N418" i="28"/>
  <c r="P418" i="28" s="1"/>
  <c r="F419" i="28" l="1"/>
  <c r="C419" i="28" s="1"/>
  <c r="S419" i="28"/>
  <c r="R418" i="28"/>
  <c r="Q418" i="28"/>
  <c r="D419" i="28"/>
  <c r="T418" i="28" l="1"/>
  <c r="G420" i="28"/>
  <c r="H420" i="28"/>
  <c r="B419" i="28"/>
  <c r="O420" i="28"/>
  <c r="N419" i="28"/>
  <c r="D420" i="28" s="1"/>
  <c r="G421" i="28" l="1"/>
  <c r="S420" i="28"/>
  <c r="P419" i="28"/>
  <c r="F420" i="28" s="1"/>
  <c r="C420" i="28" l="1"/>
  <c r="R419" i="28"/>
  <c r="Q419" i="28"/>
  <c r="T419" i="28" l="1"/>
  <c r="H421" i="28"/>
  <c r="B420" i="28"/>
  <c r="O421" i="28"/>
  <c r="N420" i="28"/>
  <c r="P420" i="28" s="1"/>
  <c r="D421" i="28" l="1"/>
  <c r="S421" i="28"/>
  <c r="Q420" i="28"/>
  <c r="R420" i="28"/>
  <c r="F421" i="28"/>
  <c r="T420" i="28" l="1"/>
  <c r="C421" i="28"/>
  <c r="G422" i="28"/>
  <c r="H422" i="28" l="1"/>
  <c r="B421" i="28"/>
  <c r="O422" i="28"/>
  <c r="N421" i="28"/>
  <c r="P421" i="28" s="1"/>
  <c r="F422" i="28" l="1"/>
  <c r="R421" i="28"/>
  <c r="Q421" i="28"/>
  <c r="D422" i="28"/>
  <c r="S422" i="28"/>
  <c r="T421" i="28" l="1"/>
  <c r="G423" i="28"/>
  <c r="C422" i="28"/>
  <c r="H423" i="28" l="1"/>
  <c r="O423" i="28"/>
  <c r="N422" i="28"/>
  <c r="P422" i="28" s="1"/>
  <c r="B422" i="28"/>
  <c r="F423" i="28" l="1"/>
  <c r="Q422" i="28"/>
  <c r="R422" i="28"/>
  <c r="S423" i="28"/>
  <c r="D423" i="28"/>
  <c r="G424" i="28" l="1"/>
  <c r="T422" i="28"/>
  <c r="C423" i="28"/>
  <c r="N423" i="28" l="1"/>
  <c r="P423" i="28" s="1"/>
  <c r="H424" i="28"/>
  <c r="B423" i="28"/>
  <c r="O424" i="28"/>
  <c r="D424" i="28" l="1"/>
  <c r="G425" i="28" s="1"/>
  <c r="F424" i="28"/>
  <c r="S424" i="28"/>
  <c r="Q423" i="28"/>
  <c r="R423" i="28"/>
  <c r="C424" i="28" l="1"/>
  <c r="T423" i="28"/>
  <c r="N424" i="28" l="1"/>
  <c r="P424" i="28" s="1"/>
  <c r="H425" i="28"/>
  <c r="B424" i="28"/>
  <c r="O425" i="28"/>
  <c r="S425" i="28" s="1"/>
  <c r="F425" i="28" l="1"/>
  <c r="D425" i="28"/>
  <c r="G426" i="28" s="1"/>
  <c r="Q424" i="28"/>
  <c r="R424" i="28"/>
  <c r="C425" i="28" l="1"/>
  <c r="T424" i="28"/>
  <c r="N425" i="28" l="1"/>
  <c r="P425" i="28" s="1"/>
  <c r="R425" i="28" s="1"/>
  <c r="H426" i="28"/>
  <c r="B425" i="28"/>
  <c r="O426" i="28"/>
  <c r="S426" i="28" s="1"/>
  <c r="D426" i="28" l="1"/>
  <c r="G427" i="28" s="1"/>
  <c r="F426" i="28"/>
  <c r="Q425" i="28"/>
  <c r="T425" i="28" s="1"/>
  <c r="H2" i="29"/>
  <c r="H2" i="37"/>
  <c r="C426" i="28" l="1"/>
  <c r="N426" i="28"/>
  <c r="H427" i="28"/>
  <c r="O427" i="28"/>
  <c r="B426" i="28"/>
  <c r="P426" i="28" l="1"/>
  <c r="Q426" i="28" s="1"/>
  <c r="D427" i="28"/>
  <c r="G428" i="28" s="1"/>
  <c r="I428" i="28" a="1"/>
  <c r="I428" i="28" s="1"/>
  <c r="S427" i="28"/>
  <c r="R426" i="28" l="1"/>
  <c r="F427" i="28"/>
  <c r="C427" i="28"/>
  <c r="T426" i="28"/>
  <c r="N427" i="28" l="1"/>
  <c r="P427" i="28" s="1"/>
  <c r="H428" i="28"/>
  <c r="B427" i="28"/>
  <c r="D428" i="28" l="1"/>
  <c r="G429" i="28" s="1"/>
  <c r="F428" i="28"/>
  <c r="R427" i="28"/>
  <c r="Q427" i="28"/>
  <c r="T427" i="28" l="1"/>
  <c r="C428" i="28"/>
  <c r="N428" i="28" l="1"/>
  <c r="D429" i="28" s="1"/>
  <c r="H429" i="28"/>
  <c r="B428" i="28"/>
  <c r="G430" i="28" l="1"/>
  <c r="O428" i="28"/>
  <c r="P428" i="28"/>
  <c r="Q428" i="28" l="1"/>
  <c r="R428" i="28"/>
  <c r="O429" i="28"/>
  <c r="S428" i="28"/>
  <c r="F429" i="28"/>
  <c r="S429" i="28" l="1"/>
  <c r="C429" i="28"/>
  <c r="T428" i="28"/>
  <c r="N429" i="28" l="1"/>
  <c r="P429" i="28" s="1"/>
  <c r="H430" i="28"/>
  <c r="B429" i="28"/>
  <c r="O430" i="28"/>
  <c r="D430" i="28" l="1"/>
  <c r="G431" i="28" s="1"/>
  <c r="F430" i="28"/>
  <c r="S430" i="28"/>
  <c r="R429" i="28"/>
  <c r="Q429" i="28"/>
  <c r="C430" i="28" l="1"/>
  <c r="T429" i="28"/>
  <c r="N430" i="28" l="1"/>
  <c r="D431" i="28" s="1"/>
  <c r="H431" i="28"/>
  <c r="O431" i="28"/>
  <c r="S431" i="28" s="1"/>
  <c r="B430" i="28"/>
  <c r="P430" i="28" l="1"/>
  <c r="F431" i="28" s="1"/>
  <c r="G432" i="28"/>
  <c r="C431" i="28" l="1"/>
  <c r="Q430" i="28"/>
  <c r="R430" i="28"/>
  <c r="N431" i="28"/>
  <c r="H432" i="28" l="1"/>
  <c r="O432" i="28"/>
  <c r="S432" i="28" s="1"/>
  <c r="B431" i="28"/>
  <c r="P431" i="28"/>
  <c r="Q431" i="28" s="1"/>
  <c r="T430" i="28"/>
  <c r="D432" i="28"/>
  <c r="G433" i="28" s="1"/>
  <c r="R431" i="28" l="1"/>
  <c r="T431" i="28" s="1"/>
  <c r="F432" i="28"/>
  <c r="C432" i="28" l="1"/>
  <c r="O433" i="28" l="1"/>
  <c r="S433" i="28" s="1"/>
  <c r="H433" i="28"/>
  <c r="B432" i="28"/>
  <c r="N432" i="28"/>
  <c r="P432" i="28" s="1"/>
  <c r="F433" i="28" l="1"/>
  <c r="C433" i="28" s="1"/>
  <c r="H434" i="28" s="1"/>
  <c r="Q432" i="28"/>
  <c r="R432" i="28"/>
  <c r="D433" i="28"/>
  <c r="G434" i="28" s="1"/>
  <c r="N433" i="28" l="1"/>
  <c r="P433" i="28" s="1"/>
  <c r="F434" i="28" s="1"/>
  <c r="O434" i="28"/>
  <c r="S434" i="28" s="1"/>
  <c r="T432" i="28"/>
  <c r="B433" i="28"/>
  <c r="D434" i="28" l="1"/>
  <c r="G435" i="28" s="1"/>
  <c r="R433" i="28"/>
  <c r="Q433" i="28"/>
  <c r="C434" i="28"/>
  <c r="T433" i="28" l="1"/>
  <c r="H435" i="28"/>
  <c r="B434" i="28"/>
  <c r="O435" i="28"/>
  <c r="N434" i="28"/>
  <c r="P434" i="28" s="1"/>
  <c r="S435" i="28" l="1"/>
  <c r="F435" i="28"/>
  <c r="Q434" i="28"/>
  <c r="R434" i="28"/>
  <c r="D435" i="28"/>
  <c r="T434" i="28" l="1"/>
  <c r="G436" i="28"/>
  <c r="C435" i="28"/>
  <c r="N435" i="28" l="1"/>
  <c r="P435" i="28" s="1"/>
  <c r="H436" i="28"/>
  <c r="B435" i="28"/>
  <c r="O436" i="28"/>
  <c r="D436" i="28" l="1"/>
  <c r="G437" i="28" s="1"/>
  <c r="F436" i="28"/>
  <c r="S436" i="28"/>
  <c r="R435" i="28"/>
  <c r="Q435" i="28"/>
  <c r="C436" i="28" l="1"/>
  <c r="T435" i="28"/>
  <c r="N436" i="28" l="1"/>
  <c r="D437" i="28" s="1"/>
  <c r="G438" i="28" s="1"/>
  <c r="O437" i="28"/>
  <c r="S437" i="28" s="1"/>
  <c r="B436" i="28"/>
  <c r="H437" i="28"/>
  <c r="P436" i="28" l="1"/>
  <c r="R436" i="28" s="1"/>
  <c r="F437" i="28" l="1"/>
  <c r="Q436" i="28"/>
  <c r="T436" i="28" s="1"/>
  <c r="C437" i="28" l="1"/>
  <c r="N437" i="28" l="1"/>
  <c r="P437" i="28" s="1"/>
  <c r="Q437" i="28" s="1"/>
  <c r="B437" i="28"/>
  <c r="H438" i="28"/>
  <c r="O438" i="28"/>
  <c r="S438" i="28" s="1"/>
  <c r="D438" i="28" l="1"/>
  <c r="G439" i="28" s="1"/>
  <c r="R437" i="28"/>
  <c r="T437" i="28" s="1"/>
  <c r="F438" i="28"/>
  <c r="C438" i="28" l="1"/>
  <c r="H2" i="41"/>
  <c r="H439" i="28"/>
  <c r="B438" i="28"/>
  <c r="O439" i="28"/>
  <c r="S439" i="28" s="1"/>
  <c r="N438" i="28"/>
  <c r="P438" i="28" s="1"/>
  <c r="F439" i="28" s="1"/>
  <c r="I440" i="28" a="1"/>
  <c r="I440" i="28" s="1"/>
  <c r="R438" i="28" l="1"/>
  <c r="Q438" i="28"/>
  <c r="D439" i="28"/>
  <c r="G440" i="28" s="1"/>
  <c r="C439" i="28"/>
  <c r="T438" i="28" l="1"/>
  <c r="H440" i="28"/>
  <c r="B439" i="28"/>
  <c r="N439" i="28"/>
  <c r="P439" i="28" s="1"/>
  <c r="Q439" i="28" l="1"/>
  <c r="R439" i="28"/>
  <c r="F440" i="28"/>
  <c r="D440" i="28"/>
  <c r="G441" i="28" l="1"/>
  <c r="C440" i="28"/>
  <c r="T439" i="28"/>
  <c r="N440" i="28" l="1"/>
  <c r="D441" i="28" s="1"/>
  <c r="H441" i="28"/>
  <c r="B440" i="28"/>
  <c r="G442" i="28" l="1"/>
  <c r="O440" i="28"/>
  <c r="P440" i="28"/>
  <c r="Q440" i="28" l="1"/>
  <c r="R440" i="28"/>
  <c r="F441" i="28"/>
  <c r="O441" i="28"/>
  <c r="S440" i="28"/>
  <c r="S441" i="28" l="1"/>
  <c r="C441" i="28"/>
  <c r="T440" i="28"/>
  <c r="N441" i="28" l="1"/>
  <c r="P441" i="28" s="1"/>
  <c r="H442" i="28"/>
  <c r="B441" i="28"/>
  <c r="O442" i="28"/>
  <c r="D442" i="28" l="1"/>
  <c r="G443" i="28" s="1"/>
  <c r="F442" i="28"/>
  <c r="S442" i="28"/>
  <c r="R441" i="28"/>
  <c r="Q441" i="28"/>
  <c r="C442" i="28" l="1"/>
  <c r="T441" i="28"/>
  <c r="N442" i="28"/>
  <c r="O443" i="28" l="1"/>
  <c r="S443" i="28" s="1"/>
  <c r="H443" i="28"/>
  <c r="B442" i="28"/>
  <c r="P442" i="28"/>
  <c r="R442" i="28" s="1"/>
  <c r="D443" i="28"/>
  <c r="F443" i="28" l="1"/>
  <c r="Q442" i="28"/>
  <c r="T442" i="28" s="1"/>
  <c r="G444" i="28"/>
  <c r="C443" i="28" l="1"/>
  <c r="N443" i="28" l="1"/>
  <c r="P443" i="28" s="1"/>
  <c r="B443" i="28"/>
  <c r="O444" i="28"/>
  <c r="S444" i="28" s="1"/>
  <c r="H444" i="28"/>
  <c r="D444" i="28" l="1"/>
  <c r="G445" i="28" s="1"/>
  <c r="F444" i="28"/>
  <c r="R443" i="28"/>
  <c r="Q443" i="28"/>
  <c r="C444" i="28" l="1"/>
  <c r="T443" i="28"/>
  <c r="N444" i="28" l="1"/>
  <c r="D445" i="28" s="1"/>
  <c r="H445" i="28"/>
  <c r="B444" i="28"/>
  <c r="O445" i="28"/>
  <c r="S445" i="28" s="1"/>
  <c r="P444" i="28" l="1"/>
  <c r="Q444" i="28" s="1"/>
  <c r="G446" i="28"/>
  <c r="F445" i="28" l="1"/>
  <c r="C445" i="28" s="1"/>
  <c r="R444" i="28"/>
  <c r="T444" i="28" s="1"/>
  <c r="H446" i="28" l="1"/>
  <c r="O446" i="28"/>
  <c r="S446" i="28" s="1"/>
  <c r="B445" i="28"/>
  <c r="N445" i="28"/>
  <c r="P445" i="28" s="1"/>
  <c r="R445" i="28" s="1"/>
  <c r="Q445" i="28" l="1"/>
  <c r="T445" i="28" s="1"/>
  <c r="F446" i="28"/>
  <c r="C446" i="28" s="1"/>
  <c r="D446" i="28"/>
  <c r="G447" i="28" s="1"/>
  <c r="N446" i="28" l="1"/>
  <c r="P446" i="28" s="1"/>
  <c r="H447" i="28"/>
  <c r="B446" i="28"/>
  <c r="O447" i="28"/>
  <c r="F447" i="28" l="1"/>
  <c r="D447" i="28"/>
  <c r="G448" i="28" s="1"/>
  <c r="R446" i="28"/>
  <c r="Q446" i="28"/>
  <c r="S447" i="28"/>
  <c r="C447" i="28" l="1"/>
  <c r="T446" i="28"/>
  <c r="H448" i="28" l="1"/>
  <c r="O448" i="28"/>
  <c r="S448" i="28" s="1"/>
  <c r="B447" i="28"/>
  <c r="N447" i="28"/>
  <c r="P447" i="28" s="1"/>
  <c r="F448" i="28" s="1"/>
  <c r="C448" i="28" l="1"/>
  <c r="D448" i="28"/>
  <c r="G449" i="28" s="1"/>
  <c r="Q447" i="28"/>
  <c r="R447" i="28"/>
  <c r="N448" i="28"/>
  <c r="O449" i="28" l="1"/>
  <c r="S449" i="28" s="1"/>
  <c r="H449" i="28"/>
  <c r="B448" i="28"/>
  <c r="D449" i="28"/>
  <c r="G450" i="28" s="1"/>
  <c r="T447" i="28"/>
  <c r="P448" i="28"/>
  <c r="R448" i="28" s="1"/>
  <c r="F449" i="28" l="1"/>
  <c r="Q448" i="28"/>
  <c r="T448" i="28" s="1"/>
  <c r="C449" i="28" l="1"/>
  <c r="N449" i="28" l="1"/>
  <c r="P449" i="28" s="1"/>
  <c r="B449" i="28"/>
  <c r="H450" i="28"/>
  <c r="O450" i="28"/>
  <c r="S450" i="28" s="1"/>
  <c r="F450" i="28" l="1"/>
  <c r="C450" i="28" s="1"/>
  <c r="D450" i="28"/>
  <c r="G451" i="28" s="1"/>
  <c r="R449" i="28"/>
  <c r="Q449" i="28"/>
  <c r="N450" i="28" l="1"/>
  <c r="P450" i="28" s="1"/>
  <c r="B450" i="28"/>
  <c r="H451" i="28"/>
  <c r="O451" i="28"/>
  <c r="T449" i="28"/>
  <c r="F451" i="28" l="1"/>
  <c r="C451" i="28" s="1"/>
  <c r="D451" i="28"/>
  <c r="G452" i="28" s="1"/>
  <c r="S451" i="28"/>
  <c r="I452" i="28" a="1"/>
  <c r="I452" i="28" s="1"/>
  <c r="R450" i="28"/>
  <c r="Q450" i="28"/>
  <c r="N451" i="28" l="1"/>
  <c r="D452" i="28" s="1"/>
  <c r="B451" i="28"/>
  <c r="H452" i="28"/>
  <c r="T450" i="28"/>
  <c r="P451" i="28" l="1"/>
  <c r="R451" i="28" s="1"/>
  <c r="G453" i="28"/>
  <c r="F452" i="28" l="1"/>
  <c r="Q451" i="28"/>
  <c r="T451" i="28" s="1"/>
  <c r="C452" i="28"/>
  <c r="H453" i="28" l="1"/>
  <c r="B452" i="28"/>
  <c r="N452" i="28"/>
  <c r="O452" i="28" s="1"/>
  <c r="S452" i="28" s="1"/>
  <c r="D453" i="28" l="1"/>
  <c r="G454" i="28" s="1"/>
  <c r="P452" i="28"/>
  <c r="O453" i="28"/>
  <c r="S453" i="28" s="1"/>
  <c r="F453" i="28" l="1"/>
  <c r="C453" i="28" s="1"/>
  <c r="H454" i="28" s="1"/>
  <c r="R452" i="28"/>
  <c r="Q452" i="28"/>
  <c r="N453" i="28" l="1"/>
  <c r="P453" i="28" s="1"/>
  <c r="Q453" i="28" s="1"/>
  <c r="O454" i="28"/>
  <c r="S454" i="28" s="1"/>
  <c r="B453" i="28"/>
  <c r="T452" i="28"/>
  <c r="D454" i="28"/>
  <c r="G455" i="28" s="1"/>
  <c r="F454" i="28"/>
  <c r="R453" i="28" l="1"/>
  <c r="T453" i="28" s="1"/>
  <c r="C454" i="28"/>
  <c r="H455" i="28" l="1"/>
  <c r="B454" i="28"/>
  <c r="O455" i="28"/>
  <c r="N454" i="28"/>
  <c r="P454" i="28" s="1"/>
  <c r="D455" i="28" l="1"/>
  <c r="S455" i="28"/>
  <c r="R454" i="28"/>
  <c r="Q454" i="28"/>
  <c r="F455" i="28"/>
  <c r="T454" i="28" l="1"/>
  <c r="C455" i="28"/>
  <c r="B455" i="28" s="1"/>
  <c r="G456" i="28"/>
  <c r="H456" i="28" l="1"/>
  <c r="O456" i="28"/>
  <c r="N455" i="28"/>
  <c r="P455" i="28" s="1"/>
  <c r="F456" i="28" l="1"/>
  <c r="S456" i="28"/>
  <c r="R455" i="28"/>
  <c r="Q455" i="28"/>
  <c r="D456" i="28"/>
  <c r="C456" i="28" l="1"/>
  <c r="T455" i="28"/>
  <c r="G457" i="28"/>
  <c r="N456" i="28" l="1"/>
  <c r="D457" i="28" s="1"/>
  <c r="G458" i="28" s="1"/>
  <c r="O457" i="28"/>
  <c r="S457" i="28" s="1"/>
  <c r="B456" i="28"/>
  <c r="H457" i="28"/>
  <c r="P456" i="28" l="1"/>
  <c r="F457" i="28" s="1"/>
  <c r="C457" i="28" l="1"/>
  <c r="R456" i="28"/>
  <c r="Q456" i="28"/>
  <c r="N457" i="28"/>
  <c r="H458" i="28" l="1"/>
  <c r="O458" i="28"/>
  <c r="S458" i="28" s="1"/>
  <c r="B457" i="28"/>
  <c r="P457" i="28"/>
  <c r="R457" i="28" s="1"/>
  <c r="T456" i="28"/>
  <c r="D458" i="28"/>
  <c r="G459" i="28" s="1"/>
  <c r="Q457" i="28" l="1"/>
  <c r="T457" i="28" s="1"/>
  <c r="F458" i="28"/>
  <c r="C458" i="28" l="1"/>
  <c r="O459" i="28" l="1"/>
  <c r="S459" i="28" s="1"/>
  <c r="B458" i="28"/>
  <c r="H459" i="28"/>
  <c r="N458" i="28"/>
  <c r="D459" i="28" s="1"/>
  <c r="G460" i="28" s="1"/>
  <c r="P458" i="28" l="1"/>
  <c r="F459" i="28" s="1"/>
  <c r="C459" i="28" s="1"/>
  <c r="Q458" i="28" l="1"/>
  <c r="R458" i="28"/>
  <c r="N459" i="28"/>
  <c r="P459" i="28" s="1"/>
  <c r="Q459" i="28" s="1"/>
  <c r="O460" i="28"/>
  <c r="S460" i="28" s="1"/>
  <c r="B459" i="28"/>
  <c r="H460" i="28"/>
  <c r="D460" i="28" l="1"/>
  <c r="G461" i="28" s="1"/>
  <c r="T458" i="28"/>
  <c r="F460" i="28"/>
  <c r="R459" i="28"/>
  <c r="T459" i="28" s="1"/>
  <c r="C460" i="28" l="1"/>
  <c r="B460" i="28" l="1"/>
  <c r="O461" i="28"/>
  <c r="S461" i="28" s="1"/>
  <c r="H461" i="28"/>
  <c r="N460" i="28"/>
  <c r="P460" i="28" s="1"/>
  <c r="R460" i="28" s="1"/>
  <c r="F461" i="28" l="1"/>
  <c r="Q460" i="28"/>
  <c r="T460" i="28" s="1"/>
  <c r="D461" i="28"/>
  <c r="G462" i="28" s="1"/>
  <c r="C461" i="28" l="1"/>
  <c r="O462" i="28" s="1"/>
  <c r="S462" i="28" s="1"/>
  <c r="N461" i="28"/>
  <c r="B461" i="28" l="1"/>
  <c r="D462" i="28"/>
  <c r="G463" i="28" s="1"/>
  <c r="P461" i="28"/>
  <c r="R461" i="28" s="1"/>
  <c r="H462" i="28"/>
  <c r="F462" i="28" l="1"/>
  <c r="C462" i="28" s="1"/>
  <c r="B462" i="28" s="1"/>
  <c r="Q461" i="28"/>
  <c r="T461" i="28" s="1"/>
  <c r="N462" i="28" l="1"/>
  <c r="D463" i="28" s="1"/>
  <c r="G464" i="28" s="1"/>
  <c r="H463" i="28"/>
  <c r="O463" i="28"/>
  <c r="S463" i="28" s="1"/>
  <c r="I464" i="28" a="1"/>
  <c r="I464" i="28" s="1"/>
  <c r="P462" i="28" l="1"/>
  <c r="F463" i="28" s="1"/>
  <c r="C463" i="28" s="1"/>
  <c r="R462" i="28" l="1"/>
  <c r="Q462" i="28"/>
  <c r="N463" i="28"/>
  <c r="P463" i="28" s="1"/>
  <c r="B463" i="28"/>
  <c r="H464" i="28"/>
  <c r="T462" i="28" l="1"/>
  <c r="F464" i="28"/>
  <c r="D464" i="28"/>
  <c r="G465" i="28" s="1"/>
  <c r="R463" i="28"/>
  <c r="Q463" i="28"/>
  <c r="C464" i="28" l="1"/>
  <c r="T463" i="28"/>
  <c r="N464" i="28" l="1"/>
  <c r="D465" i="28" s="1"/>
  <c r="B464" i="28"/>
  <c r="H465" i="28"/>
  <c r="O464" i="28"/>
  <c r="P464" i="28"/>
  <c r="Q464" i="28" l="1"/>
  <c r="R464" i="28"/>
  <c r="F465" i="28"/>
  <c r="O465" i="28"/>
  <c r="S464" i="28"/>
  <c r="G466" i="28"/>
  <c r="S465" i="28" l="1"/>
  <c r="C465" i="28"/>
  <c r="O466" i="28" s="1"/>
  <c r="T464" i="28"/>
  <c r="S466" i="28" l="1"/>
  <c r="H466" i="28"/>
  <c r="B465" i="28"/>
  <c r="N465" i="28"/>
  <c r="P465" i="28" s="1"/>
  <c r="R465" i="28" l="1"/>
  <c r="Q465" i="28"/>
  <c r="F466" i="28"/>
  <c r="D466" i="28"/>
  <c r="T465" i="28" l="1"/>
  <c r="G467" i="28"/>
  <c r="C466" i="28"/>
  <c r="N466" i="28" l="1"/>
  <c r="P466" i="28" s="1"/>
  <c r="H467" i="28"/>
  <c r="B466" i="28"/>
  <c r="O467" i="28"/>
  <c r="F467" i="28" l="1"/>
  <c r="D467" i="28"/>
  <c r="G468" i="28" s="1"/>
  <c r="S467" i="28"/>
  <c r="Q466" i="28"/>
  <c r="R466" i="28"/>
  <c r="C467" i="28" l="1"/>
  <c r="T466" i="28"/>
  <c r="N467" i="28" l="1"/>
  <c r="D468" i="28" s="1"/>
  <c r="O468" i="28"/>
  <c r="S468" i="28" s="1"/>
  <c r="H468" i="28"/>
  <c r="B467" i="28"/>
  <c r="P467" i="28" l="1"/>
  <c r="F468" i="28" s="1"/>
  <c r="G469" i="28"/>
  <c r="Q467" i="28" l="1"/>
  <c r="R467" i="28"/>
  <c r="C468" i="28"/>
  <c r="T467" i="28" l="1"/>
  <c r="N468" i="28"/>
  <c r="P468" i="28" s="1"/>
  <c r="H469" i="28"/>
  <c r="B468" i="28"/>
  <c r="O469" i="28"/>
  <c r="D469" i="28" l="1"/>
  <c r="G470" i="28" s="1"/>
  <c r="F469" i="28"/>
  <c r="S469" i="28"/>
  <c r="Q468" i="28"/>
  <c r="R468" i="28"/>
  <c r="C469" i="28" l="1"/>
  <c r="T468" i="28"/>
  <c r="N469" i="28"/>
  <c r="O470" i="28" l="1"/>
  <c r="S470" i="28" s="1"/>
  <c r="H470" i="28"/>
  <c r="B469" i="28"/>
  <c r="P469" i="28"/>
  <c r="D470" i="28"/>
  <c r="G471" i="28" s="1"/>
  <c r="F470" i="28" l="1"/>
  <c r="Q469" i="28"/>
  <c r="R469" i="28"/>
  <c r="C470" i="28" l="1"/>
  <c r="T469" i="28"/>
  <c r="N470" i="28" l="1"/>
  <c r="D471" i="28" s="1"/>
  <c r="G472" i="28" s="1"/>
  <c r="B470" i="28"/>
  <c r="O471" i="28"/>
  <c r="S471" i="28" s="1"/>
  <c r="H471" i="28"/>
  <c r="P470" i="28" l="1"/>
  <c r="F471" i="28" s="1"/>
  <c r="C471" i="28" s="1"/>
  <c r="Q470" i="28" l="1"/>
  <c r="R470" i="28"/>
  <c r="N471" i="28"/>
  <c r="D472" i="28" s="1"/>
  <c r="G473" i="28" s="1"/>
  <c r="H472" i="28"/>
  <c r="O472" i="28"/>
  <c r="S472" i="28" s="1"/>
  <c r="B471" i="28"/>
  <c r="T470" i="28" l="1"/>
  <c r="P471" i="28"/>
  <c r="F472" i="28" s="1"/>
  <c r="C472" i="28" l="1"/>
  <c r="R471" i="28"/>
  <c r="Q471" i="28"/>
  <c r="N472" i="28" l="1"/>
  <c r="P472" i="28" s="1"/>
  <c r="H473" i="28"/>
  <c r="B472" i="28"/>
  <c r="O473" i="28"/>
  <c r="T471" i="28"/>
  <c r="F473" i="28" l="1"/>
  <c r="D473" i="28"/>
  <c r="G474" i="28" s="1"/>
  <c r="R472" i="28"/>
  <c r="Q472" i="28"/>
  <c r="S473" i="28"/>
  <c r="C473" i="28" l="1"/>
  <c r="T472" i="28"/>
  <c r="O474" i="28" l="1"/>
  <c r="S474" i="28" s="1"/>
  <c r="H474" i="28"/>
  <c r="B473" i="28"/>
  <c r="N473" i="28"/>
  <c r="D474" i="28" s="1"/>
  <c r="G475" i="28" s="1"/>
  <c r="P473" i="28" l="1"/>
  <c r="Q473" i="28" s="1"/>
  <c r="R473" i="28" l="1"/>
  <c r="T473" i="28" s="1"/>
  <c r="F474" i="28"/>
  <c r="C474" i="28" l="1"/>
  <c r="N474" i="28" l="1"/>
  <c r="D475" i="28" s="1"/>
  <c r="G476" i="28" s="1"/>
  <c r="H475" i="28"/>
  <c r="O475" i="28"/>
  <c r="S475" i="28" s="1"/>
  <c r="B474" i="28"/>
  <c r="I476" i="28" a="1"/>
  <c r="I476" i="28" s="1"/>
  <c r="P474" i="28" l="1"/>
  <c r="F475" i="28" s="1"/>
  <c r="N475" i="28" s="1"/>
  <c r="R474" i="28" l="1"/>
  <c r="Q474" i="28"/>
  <c r="C475" i="28"/>
  <c r="T474" i="28" l="1"/>
  <c r="H476" i="28"/>
  <c r="B475" i="28"/>
  <c r="D476" i="28"/>
  <c r="G477" i="28" s="1"/>
  <c r="P475" i="28"/>
  <c r="R475" i="28" l="1"/>
  <c r="Q475" i="28"/>
  <c r="F476" i="28"/>
  <c r="T475" i="28" l="1"/>
  <c r="C476" i="28"/>
  <c r="N476" i="28"/>
  <c r="O476" i="28" l="1"/>
  <c r="P476" i="28"/>
  <c r="H477" i="28"/>
  <c r="B476" i="28"/>
  <c r="D477" i="28"/>
  <c r="G478" i="28" s="1"/>
  <c r="F477" i="28" l="1"/>
  <c r="R476" i="28"/>
  <c r="Q476" i="28"/>
  <c r="O477" i="28"/>
  <c r="S476" i="28"/>
  <c r="S477" i="28" l="1"/>
  <c r="T476" i="28"/>
  <c r="C477" i="28"/>
  <c r="N477" i="28"/>
  <c r="B477" i="28" l="1"/>
  <c r="D478" i="28"/>
  <c r="G479" i="28" s="1"/>
  <c r="H478" i="28"/>
  <c r="P477" i="28"/>
  <c r="O478" i="28"/>
  <c r="R477" i="28" l="1"/>
  <c r="Q477" i="28"/>
  <c r="F478" i="28"/>
  <c r="S478" i="28"/>
  <c r="T477" i="28" l="1"/>
  <c r="C478" i="28"/>
  <c r="N478" i="28"/>
  <c r="D479" i="28" l="1"/>
  <c r="G480" i="28" s="1"/>
  <c r="P478" i="28"/>
  <c r="O479" i="28"/>
  <c r="S479" i="28" s="1"/>
  <c r="B478" i="28"/>
  <c r="H479" i="28"/>
  <c r="F479" i="28" l="1"/>
  <c r="R478" i="28"/>
  <c r="Q478" i="28"/>
  <c r="T478" i="28" l="1"/>
  <c r="C479" i="28"/>
  <c r="N479" i="28"/>
  <c r="P479" i="28" l="1"/>
  <c r="R479" i="28" s="1"/>
  <c r="H480" i="28"/>
  <c r="B479" i="28"/>
  <c r="D480" i="28"/>
  <c r="G481" i="28" s="1"/>
  <c r="O480" i="28"/>
  <c r="F480" i="28" l="1"/>
  <c r="C480" i="28" s="1"/>
  <c r="H481" i="28" s="1"/>
  <c r="Q479" i="28"/>
  <c r="T479" i="28" s="1"/>
  <c r="N480" i="28" l="1"/>
  <c r="P480" i="28" s="1"/>
  <c r="O481" i="28"/>
  <c r="B480" i="28"/>
  <c r="S480" i="28"/>
  <c r="D481" i="28" l="1"/>
  <c r="G482" i="28" s="1"/>
  <c r="F481" i="28"/>
  <c r="Q480" i="28"/>
  <c r="R480" i="28"/>
  <c r="T480" i="28" l="1"/>
  <c r="C481" i="28"/>
  <c r="H482" i="28" l="1"/>
  <c r="B481" i="28"/>
  <c r="O482" i="28"/>
  <c r="N481" i="28"/>
  <c r="S481" i="28" l="1"/>
  <c r="P481" i="28"/>
  <c r="F482" i="28" s="1"/>
  <c r="D482" i="28"/>
  <c r="C482" i="28" l="1"/>
  <c r="G483" i="28"/>
  <c r="R481" i="28"/>
  <c r="Q481" i="28"/>
  <c r="T481" i="28" l="1"/>
  <c r="H483" i="28"/>
  <c r="B482" i="28"/>
  <c r="O483" i="28"/>
  <c r="N482" i="28"/>
  <c r="D483" i="28" s="1"/>
  <c r="G484" i="28" l="1"/>
  <c r="S482" i="28"/>
  <c r="P482" i="28"/>
  <c r="Q482" i="28" l="1"/>
  <c r="R482" i="28"/>
  <c r="F483" i="28"/>
  <c r="T482" i="28" l="1"/>
  <c r="C483" i="28"/>
  <c r="H484" i="28" l="1"/>
  <c r="B483" i="28"/>
  <c r="O484" i="28"/>
  <c r="N483" i="28"/>
  <c r="S483" i="28" l="1"/>
  <c r="P483" i="28"/>
  <c r="D484" i="28"/>
  <c r="G485" i="28" l="1"/>
  <c r="F484" i="28"/>
  <c r="Q483" i="28"/>
  <c r="R483" i="28"/>
  <c r="T483" i="28" l="1"/>
  <c r="C484" i="28"/>
  <c r="H485" i="28" l="1"/>
  <c r="O485" i="28"/>
  <c r="B484" i="28"/>
  <c r="N484" i="28"/>
  <c r="D485" i="28" s="1"/>
  <c r="G486" i="28" l="1"/>
  <c r="S484" i="28"/>
  <c r="P484" i="28"/>
  <c r="Q484" i="28" l="1"/>
  <c r="R484" i="28"/>
  <c r="F485" i="28"/>
  <c r="T484" i="28" l="1"/>
  <c r="C485" i="28"/>
  <c r="H486" i="28" l="1"/>
  <c r="B485" i="28"/>
  <c r="O486" i="28"/>
  <c r="N485" i="28"/>
  <c r="S485" i="28" l="1"/>
  <c r="P485" i="28"/>
  <c r="D486" i="28"/>
  <c r="G487" i="28" l="1"/>
  <c r="F486" i="28"/>
  <c r="Q485" i="28"/>
  <c r="R485" i="28"/>
  <c r="T485" i="28" l="1"/>
  <c r="C486" i="28"/>
  <c r="H487" i="28" l="1"/>
  <c r="B486" i="28"/>
  <c r="O487" i="28"/>
  <c r="N486" i="28"/>
  <c r="S486" i="28" l="1"/>
  <c r="P486" i="28"/>
  <c r="I488" i="28" a="1"/>
  <c r="I488" i="28" s="1"/>
  <c r="S487" i="28"/>
  <c r="D487" i="28"/>
  <c r="G488" i="28" l="1"/>
  <c r="F487" i="28"/>
  <c r="Q486" i="28"/>
  <c r="R486" i="28"/>
  <c r="T486" i="28" l="1"/>
  <c r="C487" i="28"/>
  <c r="N487" i="28" l="1"/>
  <c r="P487" i="28" s="1"/>
  <c r="H488" i="28"/>
  <c r="B487" i="28"/>
  <c r="D488" i="28" l="1"/>
  <c r="G489" i="28" s="1"/>
  <c r="F488" i="28"/>
  <c r="R487" i="28"/>
  <c r="Q487" i="28"/>
  <c r="C488" i="28" l="1"/>
  <c r="T487" i="28"/>
  <c r="N488" i="28" l="1"/>
  <c r="D489" i="28" s="1"/>
  <c r="H489" i="28"/>
  <c r="B488" i="28"/>
  <c r="O488" i="28" l="1"/>
  <c r="O489" i="28" s="1"/>
  <c r="P488" i="28"/>
  <c r="R488" i="28" s="1"/>
  <c r="G490" i="28"/>
  <c r="Q488" i="28" l="1"/>
  <c r="F489" i="28"/>
  <c r="S488" i="28"/>
  <c r="S489" i="28"/>
  <c r="C489" i="28" l="1"/>
  <c r="T488" i="28"/>
  <c r="N489" i="28" l="1"/>
  <c r="H490" i="28"/>
  <c r="B489" i="28"/>
  <c r="O490" i="28"/>
  <c r="S490" i="28" s="1"/>
  <c r="P489" i="28"/>
  <c r="F490" i="28" s="1"/>
  <c r="D490" i="28"/>
  <c r="Q489" i="28" l="1"/>
  <c r="R489" i="28"/>
  <c r="G491" i="28"/>
  <c r="C490" i="28"/>
  <c r="T489" i="28" l="1"/>
  <c r="N490" i="28"/>
  <c r="P490" i="28" s="1"/>
  <c r="H491" i="28"/>
  <c r="B490" i="28"/>
  <c r="O491" i="28"/>
  <c r="F491" i="28" l="1"/>
  <c r="D491" i="28"/>
  <c r="G492" i="28" s="1"/>
  <c r="Q490" i="28"/>
  <c r="R490" i="28"/>
  <c r="C491" i="28" l="1"/>
  <c r="T490" i="28"/>
  <c r="N491" i="28" l="1"/>
  <c r="P491" i="28" s="1"/>
  <c r="O492" i="28"/>
  <c r="H492" i="28"/>
  <c r="B491" i="28"/>
  <c r="S491" i="28"/>
  <c r="D492" i="28" l="1"/>
  <c r="G493" i="28" s="1"/>
  <c r="R491" i="28"/>
  <c r="Q491" i="28"/>
  <c r="F492" i="28"/>
  <c r="T491" i="28" l="1"/>
  <c r="C492" i="28"/>
  <c r="H493" i="28" l="1"/>
  <c r="O493" i="28"/>
  <c r="B492" i="28"/>
  <c r="N492" i="28"/>
  <c r="S492" i="28" l="1"/>
  <c r="P492" i="28"/>
  <c r="D493" i="28"/>
  <c r="G494" i="28" l="1"/>
  <c r="F493" i="28"/>
  <c r="R492" i="28"/>
  <c r="Q492" i="28"/>
  <c r="T492" i="28" l="1"/>
  <c r="C493" i="28"/>
  <c r="H494" i="28" l="1"/>
  <c r="B493" i="28"/>
  <c r="O494" i="28"/>
  <c r="N493" i="28"/>
  <c r="S493" i="28" l="1"/>
  <c r="P493" i="28"/>
  <c r="F494" i="28" s="1"/>
  <c r="D494" i="28"/>
  <c r="S494" i="28"/>
  <c r="C494" i="28" l="1"/>
  <c r="B494" i="28" s="1"/>
  <c r="G495" i="28"/>
  <c r="R493" i="28"/>
  <c r="Q493" i="28"/>
  <c r="T493" i="28" l="1"/>
  <c r="H495" i="28"/>
  <c r="O495" i="28"/>
  <c r="N494" i="28"/>
  <c r="S495" i="28" l="1"/>
  <c r="D495" i="28"/>
  <c r="P494" i="28"/>
  <c r="G496" i="28" l="1"/>
  <c r="R494" i="28"/>
  <c r="Q494" i="28"/>
  <c r="F495" i="28"/>
  <c r="T494" i="28" l="1"/>
  <c r="C495" i="28"/>
  <c r="H496" i="28" l="1"/>
  <c r="B495" i="28"/>
  <c r="O496" i="28"/>
  <c r="N495" i="28"/>
  <c r="D496" i="28" l="1"/>
  <c r="P495" i="28"/>
  <c r="F496" i="28" s="1"/>
  <c r="C496" i="28" l="1"/>
  <c r="Q495" i="28"/>
  <c r="R495" i="28"/>
  <c r="G497" i="28"/>
  <c r="T495" i="28" l="1"/>
  <c r="H497" i="28"/>
  <c r="B496" i="28"/>
  <c r="O497" i="28"/>
  <c r="N496" i="28"/>
  <c r="S497" i="28" l="1"/>
  <c r="S496" i="28"/>
  <c r="P496" i="28"/>
  <c r="D497" i="28"/>
  <c r="G498" i="28" l="1"/>
  <c r="F497" i="28"/>
  <c r="Q496" i="28"/>
  <c r="R496" i="28"/>
  <c r="T496" i="28" l="1"/>
  <c r="C497" i="28"/>
  <c r="H498" i="28" l="1"/>
  <c r="B497" i="28"/>
  <c r="O498" i="28"/>
  <c r="N497" i="28"/>
  <c r="P497" i="28" s="1"/>
  <c r="D498" i="28" l="1"/>
  <c r="F498" i="28"/>
  <c r="R497" i="28"/>
  <c r="Q497" i="28"/>
  <c r="T497" i="28" l="1"/>
  <c r="C498" i="28"/>
  <c r="B498" i="28" s="1"/>
  <c r="G499" i="28"/>
  <c r="H499" i="28" l="1"/>
  <c r="O499" i="28"/>
  <c r="N498" i="28"/>
  <c r="S498" i="28" l="1"/>
  <c r="P498" i="28"/>
  <c r="F499" i="28" s="1"/>
  <c r="I500" i="28" a="1"/>
  <c r="I500" i="28" s="1"/>
  <c r="S499" i="28"/>
  <c r="D499" i="28"/>
  <c r="G500" i="28" l="1"/>
  <c r="C499" i="28"/>
  <c r="R498" i="28"/>
  <c r="Q498" i="28"/>
  <c r="T498" i="28" l="1"/>
  <c r="N499" i="28"/>
  <c r="P499" i="28" s="1"/>
  <c r="H500" i="28"/>
  <c r="B499" i="28"/>
  <c r="F500" i="28" l="1"/>
  <c r="D500" i="28"/>
  <c r="G501" i="28" s="1"/>
  <c r="R499" i="28"/>
  <c r="Q499" i="28"/>
  <c r="N500" i="28" l="1"/>
  <c r="O500" i="28" s="1"/>
  <c r="T499" i="28"/>
  <c r="C500" i="28" l="1"/>
  <c r="H501" i="28" s="1"/>
  <c r="S500" i="28"/>
  <c r="O501" i="28" l="1"/>
  <c r="P500" i="28"/>
  <c r="F501" i="28" s="1"/>
  <c r="D501" i="28"/>
  <c r="G502" i="28" s="1"/>
  <c r="B500" i="28"/>
  <c r="C501" i="28" l="1"/>
  <c r="Q500" i="28"/>
  <c r="R500" i="28"/>
  <c r="S501" i="28"/>
  <c r="H502" i="28" l="1"/>
  <c r="B501" i="28"/>
  <c r="O502" i="28"/>
  <c r="S502" i="28" s="1"/>
  <c r="N501" i="28"/>
  <c r="P501" i="28" s="1"/>
  <c r="R501" i="28" s="1"/>
  <c r="T500" i="28"/>
  <c r="Q501" i="28" l="1"/>
  <c r="T501" i="28" s="1"/>
  <c r="F502" i="28"/>
  <c r="D502" i="28"/>
  <c r="G503" i="28" s="1"/>
  <c r="N502" i="28" l="1"/>
  <c r="C502" i="28" l="1"/>
  <c r="B502" i="28" l="1"/>
  <c r="O503" i="28"/>
  <c r="H503" i="28"/>
  <c r="D503" i="28"/>
  <c r="G504" i="28" s="1"/>
  <c r="P502" i="28"/>
  <c r="F503" i="28" l="1"/>
  <c r="Q502" i="28"/>
  <c r="R502" i="28"/>
  <c r="S503" i="28"/>
  <c r="T502" i="28" l="1"/>
  <c r="N503" i="28"/>
  <c r="C503" i="28"/>
  <c r="D504" i="28" l="1"/>
  <c r="G505" i="28" s="1"/>
  <c r="P503" i="28"/>
  <c r="B503" i="28"/>
  <c r="H504" i="28"/>
  <c r="O504" i="28"/>
  <c r="S504" i="28" s="1"/>
  <c r="F504" i="28" l="1"/>
  <c r="Q503" i="28"/>
  <c r="R503" i="28"/>
  <c r="T503" i="28" l="1"/>
  <c r="C504" i="28"/>
  <c r="N504" i="28"/>
  <c r="P504" i="28" l="1"/>
  <c r="Q504" i="28" s="1"/>
  <c r="B504" i="28"/>
  <c r="H505" i="28"/>
  <c r="D505" i="28"/>
  <c r="G506" i="28" s="1"/>
  <c r="O505" i="28"/>
  <c r="S505" i="28" s="1"/>
  <c r="F505" i="28" l="1"/>
  <c r="R504" i="28"/>
  <c r="T504" i="28" s="1"/>
  <c r="N505" i="28" l="1"/>
  <c r="C505" i="28" l="1"/>
  <c r="O506" i="28" s="1"/>
  <c r="D506" i="28" l="1"/>
  <c r="G507" i="28" s="1"/>
  <c r="H506" i="28"/>
  <c r="B505" i="28"/>
  <c r="P505" i="28"/>
  <c r="R505" i="28" s="1"/>
  <c r="Q505" i="28" l="1"/>
  <c r="T505" i="28" s="1"/>
  <c r="F506" i="28"/>
  <c r="C506" i="28" l="1"/>
  <c r="N506" i="28" l="1"/>
  <c r="S506" i="28" s="1"/>
  <c r="O507" i="28"/>
  <c r="S507" i="28" s="1"/>
  <c r="H507" i="28"/>
  <c r="B506" i="28"/>
  <c r="D507" i="28" l="1"/>
  <c r="G508" i="28" s="1"/>
  <c r="P506" i="28"/>
  <c r="F507" i="28" s="1"/>
  <c r="C507" i="28" s="1"/>
  <c r="H508" i="28" s="1"/>
  <c r="R506" i="28" l="1"/>
  <c r="Q506" i="28"/>
  <c r="N507" i="28"/>
  <c r="D508" i="28" s="1"/>
  <c r="G509" i="28" s="1"/>
  <c r="O508" i="28"/>
  <c r="B507" i="28"/>
  <c r="P507" i="28" l="1"/>
  <c r="Q507" i="28" s="1"/>
  <c r="T506" i="28"/>
  <c r="S508" i="28"/>
  <c r="R507" i="28" l="1"/>
  <c r="T507" i="28" s="1"/>
  <c r="F508" i="28"/>
  <c r="C508" i="28" s="1"/>
  <c r="H509" i="28" l="1"/>
  <c r="O509" i="28"/>
  <c r="B508" i="28"/>
  <c r="N508" i="28"/>
  <c r="D509" i="28" s="1"/>
  <c r="G510" i="28" s="1"/>
  <c r="P508" i="28" l="1"/>
  <c r="F509" i="28" s="1"/>
  <c r="S509" i="28"/>
  <c r="Q508" i="28" l="1"/>
  <c r="R508" i="28"/>
  <c r="N509" i="28"/>
  <c r="T508" i="28" l="1"/>
  <c r="C509" i="28"/>
  <c r="H510" i="28" l="1"/>
  <c r="D510" i="28"/>
  <c r="B509" i="28"/>
  <c r="O510" i="28"/>
  <c r="S510" i="28" s="1"/>
  <c r="P509" i="28"/>
  <c r="F510" i="28" l="1"/>
  <c r="R509" i="28"/>
  <c r="Q509" i="28"/>
  <c r="T509" i="28" l="1"/>
  <c r="N510" i="28"/>
  <c r="C510" i="28"/>
  <c r="B510" i="28" s="1"/>
  <c r="P510" i="28" l="1"/>
  <c r="Q510" i="28" l="1"/>
  <c r="R510" i="28"/>
  <c r="T510" i="2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<sst xmlns="http://schemas.openxmlformats.org/spreadsheetml/2006/main" count="3052" uniqueCount="185">
  <si>
    <t>Angbao Trends</t>
  </si>
  <si>
    <t>p.a.</t>
  </si>
  <si>
    <t>in millions</t>
  </si>
  <si>
    <t>Year</t>
  </si>
  <si>
    <t>Month</t>
  </si>
  <si>
    <t>Interest Rate</t>
  </si>
  <si>
    <t>eAngbao Growth</t>
  </si>
  <si>
    <t>$2 Notes Printed</t>
  </si>
  <si>
    <t>Money Market</t>
  </si>
  <si>
    <t>Dheuv sux duick 4 mo-ney</t>
  </si>
  <si>
    <t>Money Demand Components</t>
  </si>
  <si>
    <t xml:space="preserve">Money Demand </t>
  </si>
  <si>
    <t>CNY Demand</t>
  </si>
  <si>
    <t>Circulation Replacement</t>
  </si>
  <si>
    <t>New Money Demand</t>
  </si>
  <si>
    <t>Storage Replacement</t>
  </si>
  <si>
    <t>Money Supply</t>
  </si>
  <si>
    <t>Supply Costs</t>
  </si>
  <si>
    <t>CNY Costs over Time</t>
  </si>
  <si>
    <t>Period Cost Components</t>
  </si>
  <si>
    <t>Cost of Printing</t>
  </si>
  <si>
    <t>Cost of Storing</t>
  </si>
  <si>
    <t>Cost of burning</t>
  </si>
  <si>
    <t>Total Cost</t>
  </si>
  <si>
    <t>Excess Notes</t>
  </si>
  <si>
    <t>Monthly Excess Notes</t>
  </si>
  <si>
    <t>Excess Notes Amount</t>
  </si>
  <si>
    <t>Amount saved for CNY</t>
  </si>
  <si>
    <t>Amount burned</t>
  </si>
  <si>
    <t>Regular Storage</t>
  </si>
  <si>
    <t>Total Cost of Destroying</t>
  </si>
  <si>
    <t>Total Cost of Printing</t>
  </si>
  <si>
    <t>Total Cost of Storing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</si>
  <si>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</si>
  <si>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</si>
  <si>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</si>
  <si>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</si>
  <si>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</si>
  <si>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</si>
  <si>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</si>
  <si>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</si>
  <si>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</si>
  <si>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</si>
  <si>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</si>
  <si>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</si>
  <si>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</si>
  <si>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</si>
  <si>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</si>
  <si>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</si>
  <si>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</si>
  <si>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</si>
  <si>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</si>
  <si>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</si>
  <si>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</si>
  <si>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</si>
  <si>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</si>
  <si>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</si>
  <si>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</si>
  <si>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</si>
  <si>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</si>
  <si>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</si>
  <si>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</si>
  <si>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</si>
  <si>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</si>
  <si>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</si>
  <si>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</si>
  <si>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</si>
  <si>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</si>
  <si>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</si>
  <si>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</si>
  <si>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</si>
  <si>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</si>
  <si>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</si>
  <si>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</si>
  <si>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</si>
  <si>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Grand Total</t>
  </si>
  <si>
    <t>Sum of Cost of destroying</t>
  </si>
  <si>
    <t>Sum of Cost of printing</t>
  </si>
  <si>
    <t>Sum of Cost of storing</t>
  </si>
  <si>
    <t>Qtr1</t>
  </si>
  <si>
    <t>Jan</t>
  </si>
  <si>
    <t>Feb</t>
  </si>
  <si>
    <t>Mar</t>
  </si>
  <si>
    <t>Qtr2</t>
  </si>
  <si>
    <t>Apr</t>
  </si>
  <si>
    <t>May</t>
  </si>
  <si>
    <t>Jun</t>
  </si>
  <si>
    <t>Qtr3</t>
  </si>
  <si>
    <t>Jul</t>
  </si>
  <si>
    <t>Aug</t>
  </si>
  <si>
    <t>Qtr4</t>
  </si>
  <si>
    <t>Oct</t>
  </si>
  <si>
    <t>Nov</t>
  </si>
  <si>
    <t>Dec</t>
  </si>
  <si>
    <t>Row Labels</t>
  </si>
  <si>
    <t>Sum of Money Printed (Change in MS)</t>
  </si>
  <si>
    <t>Sum of Money Demand</t>
  </si>
  <si>
    <t>Sum of CNY</t>
  </si>
  <si>
    <t>Sum of New Money Demand</t>
  </si>
  <si>
    <t>Sum of Currency Notes in Circulation</t>
  </si>
  <si>
    <t>Sum of Currency Notes in Storage2</t>
  </si>
  <si>
    <t>Sum of Excess Notes</t>
  </si>
  <si>
    <t>Sum of of Notes saved for next CNY</t>
  </si>
  <si>
    <t>Sum of Amount left after sieve</t>
  </si>
  <si>
    <t>Notes burned</t>
  </si>
  <si>
    <t>Notes saved for next CNY</t>
  </si>
  <si>
    <t>Min Percentage Storage</t>
  </si>
  <si>
    <t>Lifetime Storage Notes</t>
  </si>
  <si>
    <t>Max Percentage Storage</t>
  </si>
  <si>
    <t>Lifetime Circulation Notes</t>
  </si>
  <si>
    <t>Change in Money Demand</t>
  </si>
  <si>
    <t>MAS</t>
  </si>
  <si>
    <t>CNY Cost $</t>
  </si>
  <si>
    <t>Total</t>
  </si>
  <si>
    <t>For</t>
  </si>
  <si>
    <t>Total Currency</t>
  </si>
  <si>
    <t>Currency in Active Circulation</t>
  </si>
  <si>
    <t>Currency Notes in Storage</t>
  </si>
  <si>
    <t>Money Printed (Change in MS)</t>
  </si>
  <si>
    <t>Money Demand</t>
  </si>
  <si>
    <t>Currency Notes in Circulation</t>
  </si>
  <si>
    <t>CNY</t>
  </si>
  <si>
    <t>GDP</t>
  </si>
  <si>
    <t>Price Level</t>
  </si>
  <si>
    <t>of Notes saved for next CNY</t>
  </si>
  <si>
    <t>Amount left after sieve</t>
  </si>
  <si>
    <t>Cost of destroying</t>
  </si>
  <si>
    <t>Cost of printing</t>
  </si>
  <si>
    <t>Cost of storing</t>
  </si>
  <si>
    <t>Estimated Hongbao Demand</t>
  </si>
  <si>
    <t>No. of Chinese Couples</t>
  </si>
  <si>
    <t>Predicted 2 dollar notes</t>
  </si>
  <si>
    <t>Mean 2 dollar notes</t>
  </si>
  <si>
    <t>Factoring Hongbao Demand - Predicted</t>
  </si>
  <si>
    <t>Factoring Hongbao Demand - Mean</t>
  </si>
  <si>
    <t>Percentage Physical</t>
  </si>
  <si>
    <t>Percentage e-Angbaos</t>
  </si>
  <si>
    <t>Agg e-Hongbao Spend</t>
  </si>
  <si>
    <t>Agg Physical Hongbao Spend</t>
  </si>
  <si>
    <t>Units (mil)</t>
  </si>
  <si>
    <t>e-Hongbao Origin Year</t>
  </si>
  <si>
    <t>e-Hongbao demand growth</t>
  </si>
  <si>
    <t xml:space="preserve">Mean $2 Notes </t>
  </si>
  <si>
    <t xml:space="preserve">Formula: </t>
  </si>
  <si>
    <t>Estimated Married Couples in Singapore</t>
  </si>
  <si>
    <t>Month List</t>
  </si>
  <si>
    <t>Data Series</t>
  </si>
  <si>
    <t>Percentage of Married People (&gt;15 pop)</t>
  </si>
  <si>
    <t>Total Pop</t>
  </si>
  <si>
    <t>Chinese Pop (75%)</t>
  </si>
  <si>
    <t>Percentage of &gt;15 years old</t>
  </si>
  <si>
    <t>No. of Married People</t>
  </si>
  <si>
    <t>No. of Married Couples</t>
  </si>
  <si>
    <t>Simulated number of angpows given per married couple</t>
  </si>
  <si>
    <t>No. of children per houshold (2020 Data)</t>
  </si>
  <si>
    <t>No. of Family Members</t>
  </si>
  <si>
    <t>Money/Hongbao</t>
  </si>
  <si>
    <t>Total $ spent</t>
  </si>
  <si>
    <t>%</t>
  </si>
  <si>
    <t>cum.%</t>
  </si>
  <si>
    <t>Parents/inlaws</t>
  </si>
  <si>
    <t>Grandparents</t>
  </si>
  <si>
    <t>Siblings/inlaws</t>
  </si>
  <si>
    <t>Children</t>
  </si>
  <si>
    <t>Grandchildren</t>
  </si>
  <si>
    <t>Nieces/Nephews</t>
  </si>
  <si>
    <t>Friends' children</t>
  </si>
  <si>
    <t>Hongbao given</t>
  </si>
  <si>
    <t>No. of 2 dollar notes</t>
  </si>
  <si>
    <t>Sep</t>
  </si>
  <si>
    <t>Cum $ Spend</t>
  </si>
  <si>
    <t>Hongbaos Given</t>
  </si>
  <si>
    <t>Date Input</t>
  </si>
  <si>
    <t>Parameter</t>
  </si>
  <si>
    <t>Input</t>
  </si>
  <si>
    <t>Resets the data and parameters to default</t>
  </si>
  <si>
    <t>Filters all other tabs according to the date picked</t>
  </si>
  <si>
    <t>Information</t>
  </si>
  <si>
    <t>Money Demand and Supply</t>
  </si>
  <si>
    <t>Total $2 notes</t>
  </si>
  <si>
    <t>Optimises input ($2 notes printed) for the period selected and all periods after</t>
  </si>
  <si>
    <t>Sets the input and parameter at the date specified</t>
  </si>
  <si>
    <t>Number of $2 notes</t>
  </si>
  <si>
    <t>Unprotect Sheets</t>
  </si>
  <si>
    <t>Unhide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</si>
</sst>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/yyyy"/>
    <numFmt numFmtId="167" formatCode="#,##0.##########"/>
    <numFmt numFmtId="168" formatCode="yyyy"/>
    <numFmt numFmtId="169" formatCode="0.0"/>
    <numFmt numFmtId="170" formatCode="mmmm"/>
    <numFmt numFmtId="171" formatCode="&quot;$&quot;#,##0.00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</font>
    <font>
      <sz val="7"/>
      <color rgb="FF333333"/>
      <name val="Arial"/>
      <family val="2"/>
    </font>
    <font>
      <sz val="11"/>
      <color rgb="FF9C570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3"/>
      <name val="Cambria"/>
      <family val="2"/>
      <scheme val="major"/>
    </font>
    <font>
      <sz val="12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3"/>
      <name val="Cambria"/>
      <family val="2"/>
      <scheme val="major"/>
    </font>
    <font>
      <sz val="12"/>
      <color theme="7"/>
      <name val="Calibri"/>
      <family val="2"/>
      <scheme val="minor"/>
    </font>
    <font>
      <sz val="12"/>
      <color theme="6" tint="-0.249977111117893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3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3"/>
      <name val="Calibri"/>
      <family val="2"/>
      <scheme val="minor"/>
    </font>
    <font>
      <sz val="28"/>
      <color theme="3"/>
      <name val="Cambria"/>
      <family val="2"/>
      <scheme val="major"/>
    </font>
    <font>
      <sz val="28"/>
      <color theme="3"/>
      <name val="Cambria"/>
      <family val="1"/>
      <scheme val="major"/>
    </font>
    <font>
      <sz val="11"/>
      <color theme="0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4"/>
      <color theme="3"/>
      <name val="Cambria"/>
      <family val="1"/>
      <scheme val="major"/>
    </font>
    <font>
      <i/>
      <sz val="12"/>
      <color theme="3"/>
      <name val="Calibri"/>
      <family val="2"/>
      <scheme val="minor"/>
    </font>
    <font>
      <b/>
      <sz val="12"/>
      <color theme="9"/>
      <name val="Cambria"/>
      <family val="1"/>
      <scheme val="major"/>
    </font>
    <font>
      <b/>
      <sz val="14"/>
      <color theme="9"/>
      <name val="Cambria"/>
      <family val="1"/>
      <scheme val="major"/>
    </font>
    <font>
      <sz val="16"/>
      <color theme="3"/>
      <name val="Cambria"/>
      <family val="1"/>
      <scheme val="major"/>
    </font>
    <font>
      <b/>
      <sz val="18"/>
      <color theme="3"/>
      <name val="Cambria"/>
      <family val="1"/>
      <scheme val="major"/>
    </font>
    <font>
      <b/>
      <sz val="28"/>
      <color theme="3"/>
      <name val="Cambria"/>
      <family val="1"/>
      <scheme val="major"/>
    </font>
    <font>
      <b/>
      <sz val="12"/>
      <color theme="3"/>
      <name val="Cambria"/>
      <family val="1"/>
    </font>
    <font>
      <sz val="12"/>
      <color theme="1"/>
      <name val="Cambria"/>
      <family val="1"/>
      <scheme val="major"/>
    </font>
    <font>
      <sz val="12"/>
      <color theme="0"/>
      <name val="Calibri"/>
      <family val="2"/>
      <scheme val="minor"/>
    </font>
    <font>
      <sz val="16"/>
      <color theme="9" tint="-0.499984740745262"/>
      <name val="Cambria"/>
      <family val="1"/>
      <scheme val="major"/>
    </font>
    <font>
      <b/>
      <sz val="16"/>
      <color theme="3"/>
      <name val="Cambria"/>
      <family val="1"/>
      <scheme val="major"/>
    </font>
    <font>
      <b/>
      <sz val="12"/>
      <color theme="3"/>
      <name val="Cambria"/>
      <family val="1"/>
      <scheme val="major"/>
    </font>
    <font>
      <sz val="12"/>
      <color theme="3"/>
      <name val="Cambria"/>
      <family val="1"/>
      <scheme val="major"/>
    </font>
    <font>
      <b/>
      <sz val="20"/>
      <color theme="3"/>
      <name val="Cambria"/>
      <family val="1"/>
      <scheme val="major"/>
    </font>
    <font>
      <b/>
      <sz val="14"/>
      <color theme="3"/>
      <name val="Cambria"/>
      <family val="1"/>
    </font>
    <font>
      <b/>
      <sz val="16"/>
      <color theme="9" tint="-0.499984740745262"/>
      <name val="Cambria"/>
      <family val="1"/>
      <scheme val="major"/>
    </font>
    <font>
      <b/>
      <sz val="14"/>
      <color theme="0"/>
      <name val="Cambria"/>
      <family val="1"/>
    </font>
    <font>
      <b/>
      <sz val="16"/>
      <color theme="0"/>
      <name val="Cambria"/>
      <family val="1"/>
      <scheme val="major"/>
    </font>
    <font>
      <b/>
      <sz val="14"/>
      <color theme="0"/>
      <name val="Cambria"/>
      <family val="1"/>
      <scheme val="major"/>
    </font>
    <font>
      <b/>
      <sz val="20"/>
      <color theme="3"/>
      <name val="Calibri"/>
      <family val="2"/>
      <scheme val="minor"/>
    </font>
    <font>
      <b/>
      <sz val="16"/>
      <name val="Cambria"/>
      <family val="1"/>
      <scheme val="major"/>
    </font>
    <font>
      <b/>
      <sz val="10"/>
      <color theme="3"/>
      <name val="Cambria"/>
      <family val="1"/>
      <scheme val="major"/>
    </font>
    <font>
      <b/>
      <sz val="12"/>
      <color theme="0"/>
      <name val="Cambria"/>
      <family val="1"/>
      <scheme val="major"/>
    </font>
    <font>
      <b/>
      <sz val="12"/>
      <color rgb="FFC00000"/>
      <name val="Cambria"/>
      <family val="1"/>
      <scheme val="major"/>
    </font>
    <font>
      <i/>
      <sz val="8"/>
      <color theme="3"/>
      <name val="Cambria"/>
      <family val="1"/>
      <scheme val="major"/>
    </font>
    <font>
      <sz val="12"/>
      <color rgb="FFFBF1E6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BF1E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8" fillId="3" borderId="0" applyNumberFormat="0" applyBorder="0" applyAlignment="0" applyProtection="0"/>
    <xf numFmtId="0" fontId="14" fillId="0" borderId="0"/>
    <xf numFmtId="0" fontId="16" fillId="0" borderId="0" applyNumberFormat="0" applyAlignment="0" applyProtection="0"/>
    <xf numFmtId="0" fontId="13" fillId="0" borderId="0" applyNumberFormat="0" applyFill="0" applyAlignment="0" applyProtection="0"/>
    <xf numFmtId="0" fontId="22" fillId="0" borderId="0" applyNumberFormat="0" applyFill="0" applyProtection="0">
      <alignment horizontal="center" vertical="center"/>
    </xf>
    <xf numFmtId="0" fontId="23" fillId="0" borderId="0">
      <alignment horizontal="left" vertical="center" indent="2"/>
    </xf>
    <xf numFmtId="0" fontId="24" fillId="0" borderId="0" applyNumberFormat="0" applyFill="0" applyBorder="0" applyProtection="0">
      <alignment horizontal="right" indent="2"/>
    </xf>
    <xf numFmtId="165" fontId="3" fillId="0" borderId="0" applyFont="0" applyFill="0" applyBorder="0" applyAlignment="0" applyProtection="0"/>
  </cellStyleXfs>
  <cellXfs count="298">
    <xf numFmtId="0" fontId="0" fillId="0" borderId="0" xfId="0"/>
    <xf numFmtId="2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166" fontId="0" fillId="0" borderId="0" xfId="0" applyNumberFormat="1"/>
    <xf numFmtId="0" fontId="0" fillId="0" borderId="0" xfId="0" applyAlignment="1">
      <alignment wrapText="1"/>
    </xf>
    <xf numFmtId="10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/>
    <xf numFmtId="10" fontId="7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3" xfId="0" applyNumberFormat="1" applyFill="1" applyBorder="1" applyAlignment="1">
      <alignment horizontal="center"/>
    </xf>
    <xf numFmtId="10" fontId="0" fillId="0" borderId="0" xfId="0" applyNumberFormat="1" applyAlignment="1">
      <alignment horizontal="center" wrapText="1"/>
    </xf>
    <xf numFmtId="2" fontId="4" fillId="0" borderId="2" xfId="0" applyNumberFormat="1" applyFont="1" applyBorder="1" applyAlignment="1">
      <alignment horizontal="center" wrapText="1"/>
    </xf>
    <xf numFmtId="2" fontId="0" fillId="0" borderId="4" xfId="0" applyNumberFormat="1" applyBorder="1" applyAlignment="1">
      <alignment horizontal="center"/>
    </xf>
    <xf numFmtId="2" fontId="0" fillId="0" borderId="0" xfId="0" applyNumberFormat="1" applyAlignment="1">
      <alignment horizontal="center" wrapText="1"/>
    </xf>
    <xf numFmtId="2" fontId="0" fillId="0" borderId="3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>
      <alignment wrapText="1"/>
    </xf>
    <xf numFmtId="2" fontId="0" fillId="0" borderId="0" xfId="0" applyNumberFormat="1" applyAlignment="1">
      <alignment wrapText="1"/>
    </xf>
    <xf numFmtId="2" fontId="1" fillId="0" borderId="0" xfId="0" applyNumberFormat="1" applyFont="1" applyAlignment="1">
      <alignment horizontal="center"/>
    </xf>
    <xf numFmtId="2" fontId="1" fillId="0" borderId="2" xfId="0" applyNumberFormat="1" applyFont="1" applyBorder="1" applyAlignment="1">
      <alignment horizontal="center" wrapText="1"/>
    </xf>
    <xf numFmtId="2" fontId="1" fillId="0" borderId="4" xfId="0" applyNumberFormat="1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" fillId="4" borderId="3" xfId="0" applyNumberFormat="1" applyFont="1" applyFill="1" applyBorder="1" applyAlignment="1">
      <alignment horizontal="center" wrapText="1"/>
    </xf>
    <xf numFmtId="2" fontId="1" fillId="0" borderId="4" xfId="0" applyNumberFormat="1" applyFont="1" applyBorder="1" applyAlignment="1">
      <alignment horizontal="center" wrapText="1"/>
    </xf>
    <xf numFmtId="2" fontId="1" fillId="0" borderId="3" xfId="0" applyNumberFormat="1" applyFont="1" applyBorder="1" applyAlignment="1">
      <alignment horizontal="center" wrapText="1"/>
    </xf>
    <xf numFmtId="2" fontId="1" fillId="2" borderId="4" xfId="0" applyNumberFormat="1" applyFont="1" applyFill="1" applyBorder="1" applyAlignment="1">
      <alignment horizontal="center" wrapText="1"/>
    </xf>
    <xf numFmtId="2" fontId="1" fillId="2" borderId="0" xfId="0" applyNumberFormat="1" applyFont="1" applyFill="1" applyAlignment="1">
      <alignment horizontal="center" wrapText="1"/>
    </xf>
    <xf numFmtId="2" fontId="0" fillId="2" borderId="0" xfId="0" applyNumberFormat="1" applyFill="1" applyAlignment="1">
      <alignment horizontal="center" wrapText="1"/>
    </xf>
    <xf numFmtId="2" fontId="1" fillId="2" borderId="3" xfId="0" applyNumberFormat="1" applyFont="1" applyFill="1" applyBorder="1" applyAlignment="1">
      <alignment horizontal="center" wrapText="1"/>
    </xf>
    <xf numFmtId="2" fontId="0" fillId="2" borderId="0" xfId="0" applyNumberFormat="1" applyFill="1" applyAlignment="1">
      <alignment horizontal="center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9" fontId="0" fillId="0" borderId="1" xfId="1" applyFont="1" applyBorder="1" applyAlignment="1">
      <alignment horizontal="center" wrapText="1"/>
    </xf>
    <xf numFmtId="2" fontId="0" fillId="5" borderId="2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1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horizontal="center" vertical="center"/>
    </xf>
    <xf numFmtId="0" fontId="1" fillId="0" borderId="6" xfId="0" applyFont="1" applyBorder="1" applyAlignment="1">
      <alignment horizontal="right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1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" fillId="0" borderId="1" xfId="0" applyFont="1" applyBorder="1" applyAlignment="1">
      <alignment horizontal="right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 wrapText="1"/>
    </xf>
    <xf numFmtId="168" fontId="0" fillId="0" borderId="1" xfId="0" applyNumberFormat="1" applyBorder="1" applyAlignment="1">
      <alignment horizontal="center" vertical="center" wrapText="1"/>
    </xf>
    <xf numFmtId="2" fontId="1" fillId="0" borderId="0" xfId="0" applyNumberFormat="1" applyFont="1" applyAlignment="1">
      <alignment horizontal="center" wrapText="1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/>
    </xf>
    <xf numFmtId="10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168" fontId="0" fillId="0" borderId="1" xfId="0" applyNumberFormat="1" applyBorder="1" applyAlignment="1">
      <alignment horizontal="center" wrapText="1"/>
    </xf>
    <xf numFmtId="2" fontId="0" fillId="0" borderId="1" xfId="2" applyNumberFormat="1" applyFont="1" applyBorder="1" applyAlignment="1">
      <alignment horizontal="center" wrapText="1"/>
    </xf>
    <xf numFmtId="2" fontId="0" fillId="0" borderId="1" xfId="0" applyNumberFormat="1" applyBorder="1" applyAlignment="1">
      <alignment horizontal="center" wrapText="1"/>
    </xf>
    <xf numFmtId="10" fontId="0" fillId="0" borderId="1" xfId="0" applyNumberFormat="1" applyBorder="1" applyAlignment="1">
      <alignment horizontal="center" wrapText="1"/>
    </xf>
    <xf numFmtId="2" fontId="0" fillId="5" borderId="1" xfId="2" applyNumberFormat="1" applyFont="1" applyFill="1" applyBorder="1" applyAlignment="1">
      <alignment horizontal="center" wrapText="1"/>
    </xf>
    <xf numFmtId="168" fontId="0" fillId="5" borderId="1" xfId="0" applyNumberFormat="1" applyFill="1" applyBorder="1" applyAlignment="1">
      <alignment horizontal="center" wrapText="1"/>
    </xf>
    <xf numFmtId="10" fontId="0" fillId="5" borderId="1" xfId="0" applyNumberFormat="1" applyFill="1" applyBorder="1" applyAlignment="1">
      <alignment horizontal="center" wrapText="1"/>
    </xf>
    <xf numFmtId="16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" fontId="1" fillId="0" borderId="1" xfId="0" applyNumberFormat="1" applyFont="1" applyBorder="1"/>
    <xf numFmtId="10" fontId="0" fillId="0" borderId="1" xfId="0" applyNumberFormat="1" applyBorder="1" applyAlignment="1">
      <alignment horizontal="center"/>
    </xf>
    <xf numFmtId="2" fontId="0" fillId="0" borderId="12" xfId="0" applyNumberFormat="1" applyBorder="1"/>
    <xf numFmtId="2" fontId="1" fillId="0" borderId="12" xfId="0" applyNumberFormat="1" applyFont="1" applyBorder="1" applyAlignment="1">
      <alignment horizontal="center" wrapText="1"/>
    </xf>
    <xf numFmtId="2" fontId="0" fillId="2" borderId="12" xfId="0" applyNumberFormat="1" applyFill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1" fillId="0" borderId="0" xfId="0" applyNumberFormat="1" applyFont="1" applyAlignment="1">
      <alignment horizontal="right"/>
    </xf>
    <xf numFmtId="0" fontId="6" fillId="0" borderId="6" xfId="0" applyFont="1" applyBorder="1" applyAlignment="1">
      <alignment horizontal="center" vertical="top" wrapText="1"/>
    </xf>
    <xf numFmtId="9" fontId="0" fillId="0" borderId="6" xfId="1" applyFon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2" fontId="0" fillId="0" borderId="10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2" fillId="0" borderId="0" xfId="0" applyNumberFormat="1" applyFont="1" applyAlignment="1">
      <alignment horizontal="center" wrapText="1"/>
    </xf>
    <xf numFmtId="2" fontId="4" fillId="0" borderId="0" xfId="0" applyNumberFormat="1" applyFont="1" applyAlignment="1">
      <alignment horizontal="center"/>
    </xf>
    <xf numFmtId="2" fontId="0" fillId="6" borderId="1" xfId="0" applyNumberFormat="1" applyFill="1" applyBorder="1" applyAlignment="1">
      <alignment horizontal="center" wrapText="1"/>
    </xf>
    <xf numFmtId="10" fontId="0" fillId="7" borderId="6" xfId="0" applyNumberFormat="1" applyFill="1" applyBorder="1" applyAlignment="1">
      <alignment horizontal="center" vertical="center" wrapText="1"/>
    </xf>
    <xf numFmtId="2" fontId="4" fillId="7" borderId="2" xfId="0" applyNumberFormat="1" applyFont="1" applyFill="1" applyBorder="1" applyAlignment="1">
      <alignment horizontal="center" wrapText="1"/>
    </xf>
    <xf numFmtId="2" fontId="0" fillId="7" borderId="2" xfId="0" applyNumberFormat="1" applyFill="1" applyBorder="1" applyAlignment="1">
      <alignment horizontal="center" wrapText="1"/>
    </xf>
    <xf numFmtId="10" fontId="1" fillId="0" borderId="1" xfId="1" applyNumberFormat="1" applyFont="1" applyBorder="1"/>
    <xf numFmtId="2" fontId="4" fillId="7" borderId="0" xfId="0" applyNumberFormat="1" applyFont="1" applyFill="1" applyAlignment="1">
      <alignment horizontal="center" wrapText="1"/>
    </xf>
    <xf numFmtId="2" fontId="4" fillId="0" borderId="0" xfId="0" applyNumberFormat="1" applyFont="1" applyAlignment="1">
      <alignment horizontal="center" wrapText="1"/>
    </xf>
    <xf numFmtId="2" fontId="9" fillId="0" borderId="0" xfId="0" applyNumberFormat="1" applyFont="1" applyAlignment="1">
      <alignment horizontal="center"/>
    </xf>
    <xf numFmtId="0" fontId="0" fillId="0" borderId="0" xfId="0" pivotButton="1"/>
    <xf numFmtId="0" fontId="1" fillId="8" borderId="6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0" fillId="8" borderId="0" xfId="0" applyFill="1"/>
    <xf numFmtId="0" fontId="1" fillId="8" borderId="0" xfId="0" applyFont="1" applyFill="1" applyAlignment="1">
      <alignment horizontal="right" vertical="center"/>
    </xf>
    <xf numFmtId="0" fontId="0" fillId="8" borderId="1" xfId="0" applyFill="1" applyBorder="1" applyAlignment="1">
      <alignment horizontal="center" vertical="center"/>
    </xf>
    <xf numFmtId="0" fontId="4" fillId="9" borderId="0" xfId="0" applyFont="1" applyFill="1"/>
    <xf numFmtId="0" fontId="12" fillId="9" borderId="0" xfId="0" applyFont="1" applyFill="1" applyAlignment="1">
      <alignment wrapText="1"/>
    </xf>
    <xf numFmtId="0" fontId="12" fillId="9" borderId="0" xfId="0" applyFont="1" applyFill="1"/>
    <xf numFmtId="2" fontId="4" fillId="7" borderId="0" xfId="0" applyNumberFormat="1" applyFont="1" applyFill="1" applyAlignment="1">
      <alignment horizontal="center"/>
    </xf>
    <xf numFmtId="14" fontId="0" fillId="0" borderId="0" xfId="0" applyNumberFormat="1"/>
    <xf numFmtId="0" fontId="13" fillId="0" borderId="0" xfId="6" applyFill="1" applyAlignment="1">
      <alignment horizontal="left" indent="3"/>
    </xf>
    <xf numFmtId="0" fontId="14" fillId="0" borderId="0" xfId="4"/>
    <xf numFmtId="0" fontId="24" fillId="0" borderId="0" xfId="9" applyFill="1" applyBorder="1" applyAlignment="1">
      <alignment horizontal="left" vertical="center" indent="3"/>
    </xf>
    <xf numFmtId="49" fontId="25" fillId="0" borderId="0" xfId="9" applyNumberFormat="1" applyFont="1" applyFill="1" applyBorder="1" applyAlignment="1">
      <alignment horizontal="left" vertical="top"/>
    </xf>
    <xf numFmtId="0" fontId="23" fillId="0" borderId="0" xfId="8">
      <alignment horizontal="left" vertical="center" indent="2"/>
    </xf>
    <xf numFmtId="0" fontId="14" fillId="0" borderId="0" xfId="4" applyAlignment="1">
      <alignment vertical="center"/>
    </xf>
    <xf numFmtId="0" fontId="21" fillId="0" borderId="0" xfId="4" applyFont="1" applyAlignment="1">
      <alignment vertical="top"/>
    </xf>
    <xf numFmtId="0" fontId="14" fillId="0" borderId="15" xfId="4" applyBorder="1" applyAlignment="1">
      <alignment horizontal="center" vertical="center"/>
    </xf>
    <xf numFmtId="1" fontId="20" fillId="0" borderId="15" xfId="4" applyNumberFormat="1" applyFont="1" applyBorder="1" applyAlignment="1">
      <alignment horizontal="center" vertical="center"/>
    </xf>
    <xf numFmtId="0" fontId="14" fillId="0" borderId="14" xfId="4" applyBorder="1" applyAlignment="1">
      <alignment horizontal="center" vertical="center"/>
    </xf>
    <xf numFmtId="1" fontId="20" fillId="0" borderId="14" xfId="4" applyNumberFormat="1" applyFont="1" applyBorder="1" applyAlignment="1">
      <alignment horizontal="center" vertical="center"/>
    </xf>
    <xf numFmtId="9" fontId="14" fillId="0" borderId="14" xfId="4" applyNumberFormat="1" applyBorder="1" applyAlignment="1">
      <alignment horizontal="center" vertical="center"/>
    </xf>
    <xf numFmtId="9" fontId="15" fillId="0" borderId="0" xfId="4" applyNumberFormat="1" applyFont="1" applyAlignment="1">
      <alignment horizontal="center" vertical="center"/>
    </xf>
    <xf numFmtId="9" fontId="16" fillId="0" borderId="0" xfId="5" applyNumberFormat="1" applyAlignment="1">
      <alignment horizontal="left" vertical="center" indent="5"/>
    </xf>
    <xf numFmtId="0" fontId="14" fillId="2" borderId="0" xfId="4" applyFill="1"/>
    <xf numFmtId="0" fontId="21" fillId="2" borderId="0" xfId="4" applyFont="1" applyFill="1" applyAlignment="1">
      <alignment vertical="top"/>
    </xf>
    <xf numFmtId="3" fontId="19" fillId="2" borderId="15" xfId="4" applyNumberFormat="1" applyFont="1" applyFill="1" applyBorder="1" applyAlignment="1">
      <alignment horizontal="center" vertical="center"/>
    </xf>
    <xf numFmtId="3" fontId="19" fillId="2" borderId="14" xfId="4" applyNumberFormat="1" applyFont="1" applyFill="1" applyBorder="1" applyAlignment="1">
      <alignment horizontal="center" vertical="center"/>
    </xf>
    <xf numFmtId="9" fontId="14" fillId="2" borderId="14" xfId="4" applyNumberFormat="1" applyFill="1" applyBorder="1" applyAlignment="1">
      <alignment horizontal="center" vertical="center"/>
    </xf>
    <xf numFmtId="0" fontId="27" fillId="2" borderId="0" xfId="4" applyFont="1" applyFill="1"/>
    <xf numFmtId="0" fontId="1" fillId="0" borderId="1" xfId="0" applyFont="1" applyBorder="1"/>
    <xf numFmtId="0" fontId="28" fillId="2" borderId="1" xfId="4" applyFont="1" applyFill="1" applyBorder="1" applyAlignment="1">
      <alignment horizontal="center" vertical="top"/>
    </xf>
    <xf numFmtId="170" fontId="0" fillId="0" borderId="1" xfId="0" applyNumberFormat="1" applyBorder="1"/>
    <xf numFmtId="0" fontId="29" fillId="2" borderId="0" xfId="4" applyFont="1" applyFill="1" applyAlignment="1">
      <alignment horizontal="center"/>
    </xf>
    <xf numFmtId="0" fontId="26" fillId="0" borderId="0" xfId="0" applyFont="1"/>
    <xf numFmtId="3" fontId="14" fillId="0" borderId="0" xfId="4" applyNumberFormat="1"/>
    <xf numFmtId="0" fontId="1" fillId="12" borderId="16" xfId="0" applyFont="1" applyFill="1" applyBorder="1"/>
    <xf numFmtId="0" fontId="0" fillId="0" borderId="0" xfId="0" applyAlignment="1">
      <alignment horizontal="left" indent="1"/>
    </xf>
    <xf numFmtId="166" fontId="0" fillId="0" borderId="0" xfId="0" applyNumberFormat="1" applyAlignment="1">
      <alignment horizontal="left" indent="2"/>
    </xf>
    <xf numFmtId="0" fontId="14" fillId="2" borderId="0" xfId="4" applyFill="1" applyAlignment="1">
      <alignment vertical="center"/>
    </xf>
    <xf numFmtId="0" fontId="32" fillId="2" borderId="0" xfId="4" applyFont="1" applyFill="1"/>
    <xf numFmtId="0" fontId="1" fillId="0" borderId="16" xfId="0" applyFont="1" applyBorder="1"/>
    <xf numFmtId="10" fontId="30" fillId="10" borderId="1" xfId="4" applyNumberFormat="1" applyFont="1" applyFill="1" applyBorder="1" applyAlignment="1">
      <alignment horizontal="center" vertical="center"/>
    </xf>
    <xf numFmtId="0" fontId="33" fillId="2" borderId="0" xfId="4" applyFont="1" applyFill="1" applyAlignment="1">
      <alignment horizontal="center"/>
    </xf>
    <xf numFmtId="9" fontId="14" fillId="2" borderId="15" xfId="4" applyNumberFormat="1" applyFill="1" applyBorder="1" applyAlignment="1">
      <alignment horizontal="center" vertical="center"/>
    </xf>
    <xf numFmtId="1" fontId="30" fillId="2" borderId="0" xfId="4" applyNumberFormat="1" applyFont="1" applyFill="1" applyAlignment="1">
      <alignment vertical="center"/>
    </xf>
    <xf numFmtId="170" fontId="30" fillId="2" borderId="0" xfId="4" applyNumberFormat="1" applyFont="1" applyFill="1" applyAlignment="1">
      <alignment vertical="center"/>
    </xf>
    <xf numFmtId="10" fontId="30" fillId="2" borderId="0" xfId="4" applyNumberFormat="1" applyFont="1" applyFill="1" applyAlignment="1">
      <alignment vertical="center"/>
    </xf>
    <xf numFmtId="0" fontId="31" fillId="2" borderId="0" xfId="4" applyFont="1" applyFill="1" applyAlignment="1">
      <alignment vertical="center"/>
    </xf>
    <xf numFmtId="1" fontId="18" fillId="2" borderId="0" xfId="4" applyNumberFormat="1" applyFont="1" applyFill="1" applyAlignment="1">
      <alignment horizontal="center" vertical="center"/>
    </xf>
    <xf numFmtId="169" fontId="17" fillId="2" borderId="0" xfId="4" applyNumberFormat="1" applyFont="1" applyFill="1" applyAlignment="1">
      <alignment horizontal="center" vertical="center"/>
    </xf>
    <xf numFmtId="0" fontId="28" fillId="2" borderId="1" xfId="4" applyFont="1" applyFill="1" applyBorder="1" applyAlignment="1">
      <alignment horizontal="center" vertical="center"/>
    </xf>
    <xf numFmtId="2" fontId="30" fillId="2" borderId="0" xfId="4" applyNumberFormat="1" applyFont="1" applyFill="1" applyAlignment="1">
      <alignment vertical="center"/>
    </xf>
    <xf numFmtId="1" fontId="30" fillId="5" borderId="1" xfId="4" applyNumberFormat="1" applyFont="1" applyFill="1" applyBorder="1" applyAlignment="1">
      <alignment horizontal="center" vertical="center"/>
    </xf>
    <xf numFmtId="170" fontId="30" fillId="5" borderId="1" xfId="4" applyNumberFormat="1" applyFont="1" applyFill="1" applyBorder="1" applyAlignment="1">
      <alignment horizontal="center" vertical="center"/>
    </xf>
    <xf numFmtId="14" fontId="14" fillId="0" borderId="0" xfId="4" applyNumberFormat="1"/>
    <xf numFmtId="2" fontId="31" fillId="11" borderId="1" xfId="4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27" fillId="0" borderId="0" xfId="4" applyFont="1"/>
    <xf numFmtId="9" fontId="0" fillId="0" borderId="0" xfId="0" applyNumberFormat="1" applyAlignment="1">
      <alignment horizontal="center" wrapText="1"/>
    </xf>
    <xf numFmtId="2" fontId="0" fillId="0" borderId="0" xfId="2" applyNumberFormat="1" applyFont="1" applyFill="1" applyBorder="1" applyAlignment="1">
      <alignment horizontal="center" wrapText="1"/>
    </xf>
    <xf numFmtId="168" fontId="0" fillId="0" borderId="0" xfId="0" applyNumberFormat="1" applyAlignment="1">
      <alignment horizontal="center" wrapText="1"/>
    </xf>
    <xf numFmtId="9" fontId="0" fillId="0" borderId="0" xfId="1" applyFont="1" applyFill="1" applyBorder="1" applyAlignment="1">
      <alignment horizontal="center" wrapText="1"/>
    </xf>
    <xf numFmtId="0" fontId="6" fillId="0" borderId="0" xfId="0" applyFont="1" applyAlignment="1">
      <alignment horizontal="center" vertical="top" wrapText="1"/>
    </xf>
    <xf numFmtId="170" fontId="0" fillId="0" borderId="0" xfId="0" applyNumberFormat="1"/>
    <xf numFmtId="0" fontId="6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10" fontId="0" fillId="0" borderId="0" xfId="0" applyNumberForma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0" fontId="1" fillId="0" borderId="0" xfId="0" applyNumberFormat="1" applyFont="1" applyAlignment="1">
      <alignment horizontal="center" vertical="center" wrapText="1"/>
    </xf>
    <xf numFmtId="0" fontId="15" fillId="2" borderId="0" xfId="4" applyFont="1" applyFill="1" applyAlignment="1">
      <alignment horizontal="center"/>
    </xf>
    <xf numFmtId="0" fontId="36" fillId="2" borderId="0" xfId="4" applyFont="1" applyFill="1" applyAlignment="1">
      <alignment horizontal="center"/>
    </xf>
    <xf numFmtId="1" fontId="18" fillId="0" borderId="15" xfId="4" applyNumberFormat="1" applyFont="1" applyBorder="1" applyAlignment="1">
      <alignment horizontal="center" vertical="center"/>
    </xf>
    <xf numFmtId="3" fontId="19" fillId="0" borderId="14" xfId="4" applyNumberFormat="1" applyFont="1" applyBorder="1" applyAlignment="1">
      <alignment horizontal="center" vertical="center"/>
    </xf>
    <xf numFmtId="3" fontId="19" fillId="0" borderId="15" xfId="4" applyNumberFormat="1" applyFont="1" applyBorder="1" applyAlignment="1">
      <alignment horizontal="center" vertical="center"/>
    </xf>
    <xf numFmtId="0" fontId="37" fillId="0" borderId="0" xfId="4" applyFont="1"/>
    <xf numFmtId="2" fontId="38" fillId="0" borderId="0" xfId="4" applyNumberFormat="1" applyFont="1" applyAlignment="1">
      <alignment horizontal="center" vertical="center"/>
    </xf>
    <xf numFmtId="2" fontId="38" fillId="2" borderId="0" xfId="4" applyNumberFormat="1" applyFont="1" applyFill="1" applyAlignment="1">
      <alignment horizontal="center" vertical="center"/>
    </xf>
    <xf numFmtId="0" fontId="14" fillId="0" borderId="0" xfId="4" applyAlignment="1">
      <alignment horizontal="center" vertical="center"/>
    </xf>
    <xf numFmtId="0" fontId="14" fillId="2" borderId="0" xfId="4" applyFill="1" applyAlignment="1">
      <alignment horizontal="center" vertical="center"/>
    </xf>
    <xf numFmtId="0" fontId="39" fillId="0" borderId="0" xfId="4" applyFont="1" applyAlignment="1">
      <alignment vertical="center"/>
    </xf>
    <xf numFmtId="0" fontId="33" fillId="2" borderId="0" xfId="4" applyFont="1" applyFill="1" applyAlignment="1">
      <alignment horizontal="left" vertical="center"/>
    </xf>
    <xf numFmtId="0" fontId="0" fillId="15" borderId="0" xfId="0" applyFill="1"/>
    <xf numFmtId="0" fontId="0" fillId="17" borderId="0" xfId="0" applyFill="1"/>
    <xf numFmtId="0" fontId="42" fillId="2" borderId="0" xfId="4" applyFont="1" applyFill="1" applyAlignment="1">
      <alignment horizontal="center"/>
    </xf>
    <xf numFmtId="2" fontId="38" fillId="2" borderId="0" xfId="4" applyNumberFormat="1" applyFont="1" applyFill="1" applyAlignment="1">
      <alignment vertical="center"/>
    </xf>
    <xf numFmtId="0" fontId="14" fillId="2" borderId="0" xfId="4" applyFill="1" applyAlignment="1">
      <alignment horizontal="center"/>
    </xf>
    <xf numFmtId="0" fontId="27" fillId="2" borderId="0" xfId="4" applyFont="1" applyFill="1" applyAlignment="1">
      <alignment vertical="center"/>
    </xf>
    <xf numFmtId="0" fontId="35" fillId="2" borderId="0" xfId="4" applyFont="1" applyFill="1" applyAlignment="1">
      <alignment vertical="center"/>
    </xf>
    <xf numFmtId="0" fontId="36" fillId="0" borderId="0" xfId="4" applyFont="1" applyAlignment="1">
      <alignment horizontal="center"/>
    </xf>
    <xf numFmtId="0" fontId="15" fillId="0" borderId="0" xfId="4" applyFont="1" applyAlignment="1">
      <alignment horizontal="center"/>
    </xf>
    <xf numFmtId="2" fontId="44" fillId="2" borderId="1" xfId="4" applyNumberFormat="1" applyFont="1" applyFill="1" applyBorder="1" applyAlignment="1">
      <alignment horizontal="center" vertical="center"/>
    </xf>
    <xf numFmtId="0" fontId="43" fillId="11" borderId="1" xfId="4" applyFont="1" applyFill="1" applyBorder="1" applyAlignment="1">
      <alignment horizontal="center" vertical="center"/>
    </xf>
    <xf numFmtId="0" fontId="47" fillId="18" borderId="1" xfId="4" applyFont="1" applyFill="1" applyBorder="1" applyAlignment="1">
      <alignment horizontal="center" vertical="center"/>
    </xf>
    <xf numFmtId="0" fontId="27" fillId="2" borderId="0" xfId="4" applyFont="1" applyFill="1" applyAlignment="1">
      <alignment horizontal="center" vertical="center"/>
    </xf>
    <xf numFmtId="0" fontId="45" fillId="14" borderId="1" xfId="4" applyFont="1" applyFill="1" applyBorder="1" applyAlignment="1">
      <alignment horizontal="center" vertical="center"/>
    </xf>
    <xf numFmtId="0" fontId="42" fillId="2" borderId="0" xfId="4" applyFont="1" applyFill="1" applyAlignment="1">
      <alignment horizontal="center" vertical="center"/>
    </xf>
    <xf numFmtId="2" fontId="40" fillId="2" borderId="0" xfId="4" applyNumberFormat="1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" fillId="8" borderId="0" xfId="0" applyFont="1" applyFill="1" applyAlignment="1">
      <alignment horizontal="center" vertical="center" wrapText="1"/>
    </xf>
    <xf numFmtId="171" fontId="1" fillId="0" borderId="11" xfId="0" applyNumberFormat="1" applyFont="1" applyBorder="1" applyAlignment="1">
      <alignment horizontal="center" vertical="center"/>
    </xf>
    <xf numFmtId="171" fontId="0" fillId="0" borderId="1" xfId="0" applyNumberFormat="1" applyBorder="1" applyAlignment="1">
      <alignment horizontal="center" wrapText="1"/>
    </xf>
    <xf numFmtId="171" fontId="0" fillId="0" borderId="0" xfId="0" applyNumberFormat="1" applyAlignment="1">
      <alignment horizontal="center" wrapText="1"/>
    </xf>
    <xf numFmtId="0" fontId="40" fillId="2" borderId="0" xfId="4" applyFont="1" applyFill="1"/>
    <xf numFmtId="0" fontId="41" fillId="2" borderId="0" xfId="4" applyFont="1" applyFill="1"/>
    <xf numFmtId="10" fontId="37" fillId="0" borderId="0" xfId="4" applyNumberFormat="1" applyFont="1"/>
    <xf numFmtId="2" fontId="37" fillId="0" borderId="0" xfId="4" applyNumberFormat="1" applyFont="1"/>
    <xf numFmtId="0" fontId="37" fillId="0" borderId="0" xfId="4" applyFont="1" applyAlignment="1">
      <alignment vertical="center"/>
    </xf>
    <xf numFmtId="0" fontId="33" fillId="2" borderId="0" xfId="4" applyFont="1" applyFill="1" applyAlignment="1">
      <alignment vertical="center" wrapText="1"/>
    </xf>
    <xf numFmtId="2" fontId="39" fillId="2" borderId="1" xfId="4" applyNumberFormat="1" applyFont="1" applyFill="1" applyBorder="1" applyAlignment="1">
      <alignment vertical="center"/>
    </xf>
    <xf numFmtId="2" fontId="39" fillId="2" borderId="0" xfId="4" applyNumberFormat="1" applyFont="1" applyFill="1" applyAlignment="1">
      <alignment vertical="center"/>
    </xf>
    <xf numFmtId="0" fontId="48" fillId="0" borderId="0" xfId="4" applyFont="1" applyAlignment="1">
      <alignment horizontal="center" vertical="center"/>
    </xf>
    <xf numFmtId="0" fontId="33" fillId="0" borderId="0" xfId="4" applyFont="1" applyAlignment="1">
      <alignment vertical="center"/>
    </xf>
    <xf numFmtId="2" fontId="39" fillId="0" borderId="0" xfId="4" applyNumberFormat="1" applyFont="1" applyAlignment="1">
      <alignment vertical="center"/>
    </xf>
    <xf numFmtId="0" fontId="33" fillId="0" borderId="0" xfId="4" applyFont="1" applyAlignment="1">
      <alignment wrapText="1"/>
    </xf>
    <xf numFmtId="0" fontId="39" fillId="2" borderId="0" xfId="4" applyFont="1" applyFill="1" applyAlignment="1">
      <alignment horizontal="center" vertical="center" wrapText="1"/>
    </xf>
    <xf numFmtId="0" fontId="39" fillId="2" borderId="0" xfId="4" applyFont="1" applyFill="1" applyAlignment="1">
      <alignment horizontal="center" wrapText="1"/>
    </xf>
    <xf numFmtId="2" fontId="38" fillId="0" borderId="0" xfId="4" applyNumberFormat="1" applyFont="1" applyAlignment="1">
      <alignment vertical="center"/>
    </xf>
    <xf numFmtId="2" fontId="32" fillId="0" borderId="0" xfId="4" applyNumberFormat="1" applyFont="1" applyAlignment="1">
      <alignment vertical="center"/>
    </xf>
    <xf numFmtId="1" fontId="32" fillId="0" borderId="0" xfId="4" applyNumberFormat="1" applyFont="1" applyAlignment="1">
      <alignment vertical="center"/>
    </xf>
    <xf numFmtId="0" fontId="46" fillId="14" borderId="1" xfId="4" applyFont="1" applyFill="1" applyBorder="1" applyAlignment="1">
      <alignment horizontal="left" vertical="center" wrapText="1"/>
    </xf>
    <xf numFmtId="0" fontId="49" fillId="11" borderId="1" xfId="4" applyFont="1" applyFill="1" applyBorder="1" applyAlignment="1">
      <alignment horizontal="left" wrapText="1"/>
    </xf>
    <xf numFmtId="0" fontId="39" fillId="11" borderId="1" xfId="4" applyFont="1" applyFill="1" applyBorder="1" applyAlignment="1">
      <alignment horizontal="center" vertical="center"/>
    </xf>
    <xf numFmtId="0" fontId="46" fillId="14" borderId="1" xfId="4" applyFont="1" applyFill="1" applyBorder="1" applyAlignment="1">
      <alignment horizontal="center" vertical="center"/>
    </xf>
    <xf numFmtId="165" fontId="30" fillId="10" borderId="1" xfId="10" applyFont="1" applyFill="1" applyBorder="1" applyAlignment="1">
      <alignment horizontal="center" vertical="center"/>
    </xf>
    <xf numFmtId="165" fontId="31" fillId="11" borderId="1" xfId="10" applyFont="1" applyFill="1" applyBorder="1" applyAlignment="1">
      <alignment horizontal="center" vertical="center"/>
    </xf>
    <xf numFmtId="1" fontId="30" fillId="5" borderId="1" xfId="10" applyNumberFormat="1" applyFont="1" applyFill="1" applyBorder="1" applyAlignment="1">
      <alignment horizontal="center" vertical="center"/>
    </xf>
    <xf numFmtId="170" fontId="30" fillId="5" borderId="1" xfId="10" applyNumberFormat="1" applyFont="1" applyFill="1" applyBorder="1" applyAlignment="1">
      <alignment horizontal="center" vertical="center"/>
    </xf>
    <xf numFmtId="10" fontId="30" fillId="10" borderId="1" xfId="10" applyNumberFormat="1" applyFont="1" applyFill="1" applyBorder="1" applyAlignment="1">
      <alignment horizontal="center" vertical="center"/>
    </xf>
    <xf numFmtId="9" fontId="15" fillId="2" borderId="0" xfId="4" applyNumberFormat="1" applyFont="1" applyFill="1" applyAlignment="1">
      <alignment horizontal="center" vertical="center"/>
    </xf>
    <xf numFmtId="0" fontId="14" fillId="19" borderId="0" xfId="4" applyFill="1"/>
    <xf numFmtId="49" fontId="34" fillId="19" borderId="0" xfId="9" applyNumberFormat="1" applyFont="1" applyFill="1" applyBorder="1" applyAlignment="1">
      <alignment horizontal="left" vertical="top"/>
    </xf>
    <xf numFmtId="0" fontId="27" fillId="19" borderId="0" xfId="4" applyFont="1" applyFill="1"/>
    <xf numFmtId="0" fontId="24" fillId="19" borderId="0" xfId="9" applyFill="1" applyBorder="1" applyAlignment="1">
      <alignment horizontal="left" vertical="center" indent="3"/>
    </xf>
    <xf numFmtId="0" fontId="23" fillId="19" borderId="0" xfId="8" applyFill="1">
      <alignment horizontal="left" vertical="center" indent="2"/>
    </xf>
    <xf numFmtId="0" fontId="14" fillId="19" borderId="0" xfId="4" applyFill="1" applyAlignment="1">
      <alignment vertical="center"/>
    </xf>
    <xf numFmtId="0" fontId="21" fillId="19" borderId="0" xfId="4" applyFont="1" applyFill="1" applyAlignment="1">
      <alignment vertical="top"/>
    </xf>
    <xf numFmtId="0" fontId="14" fillId="19" borderId="0" xfId="4" applyFill="1" applyAlignment="1">
      <alignment horizontal="center" vertical="center"/>
    </xf>
    <xf numFmtId="1" fontId="20" fillId="19" borderId="0" xfId="4" applyNumberFormat="1" applyFont="1" applyFill="1" applyAlignment="1">
      <alignment horizontal="center" vertical="center"/>
    </xf>
    <xf numFmtId="3" fontId="19" fillId="19" borderId="0" xfId="4" applyNumberFormat="1" applyFont="1" applyFill="1" applyAlignment="1">
      <alignment horizontal="center" vertical="center"/>
    </xf>
    <xf numFmtId="9" fontId="14" fillId="19" borderId="0" xfId="4" applyNumberFormat="1" applyFill="1" applyAlignment="1">
      <alignment horizontal="center" vertical="center"/>
    </xf>
    <xf numFmtId="0" fontId="0" fillId="19" borderId="0" xfId="0" applyFill="1"/>
    <xf numFmtId="165" fontId="30" fillId="10" borderId="17" xfId="10" applyFont="1" applyFill="1" applyBorder="1" applyAlignment="1">
      <alignment horizontal="center" vertical="center"/>
    </xf>
    <xf numFmtId="165" fontId="30" fillId="10" borderId="13" xfId="10" applyFont="1" applyFill="1" applyBorder="1" applyAlignment="1">
      <alignment horizontal="center" vertical="center"/>
    </xf>
    <xf numFmtId="0" fontId="47" fillId="18" borderId="13" xfId="4" applyFont="1" applyFill="1" applyBorder="1" applyAlignment="1">
      <alignment horizontal="center"/>
    </xf>
    <xf numFmtId="0" fontId="28" fillId="11" borderId="1" xfId="4" applyFont="1" applyFill="1" applyBorder="1" applyAlignment="1">
      <alignment horizontal="center"/>
    </xf>
    <xf numFmtId="0" fontId="47" fillId="14" borderId="17" xfId="4" applyFont="1" applyFill="1" applyBorder="1" applyAlignment="1">
      <alignment horizontal="center"/>
    </xf>
    <xf numFmtId="0" fontId="0" fillId="0" borderId="0" xfId="0" applyNumberFormat="1"/>
    <xf numFmtId="0" fontId="0" fillId="16" borderId="0" xfId="0" applyFont="1" applyFill="1"/>
    <xf numFmtId="0" fontId="51" fillId="14" borderId="1" xfId="4" applyFont="1" applyFill="1" applyBorder="1" applyAlignment="1">
      <alignment horizontal="center" vertical="center"/>
    </xf>
    <xf numFmtId="0" fontId="51" fillId="20" borderId="1" xfId="4" applyFont="1" applyFill="1" applyBorder="1" applyAlignment="1">
      <alignment horizontal="center" vertical="center"/>
    </xf>
    <xf numFmtId="165" fontId="51" fillId="13" borderId="1" xfId="10" applyFont="1" applyFill="1" applyBorder="1" applyAlignment="1">
      <alignment horizontal="center" vertical="center"/>
    </xf>
    <xf numFmtId="0" fontId="50" fillId="2" borderId="1" xfId="4" applyFont="1" applyFill="1" applyBorder="1" applyAlignment="1">
      <alignment horizontal="center" vertical="center"/>
    </xf>
    <xf numFmtId="171" fontId="50" fillId="2" borderId="1" xfId="4" applyNumberFormat="1" applyFont="1" applyFill="1" applyBorder="1" applyAlignment="1">
      <alignment horizontal="center" vertical="center"/>
    </xf>
    <xf numFmtId="3" fontId="50" fillId="2" borderId="1" xfId="4" applyNumberFormat="1" applyFont="1" applyFill="1" applyBorder="1" applyAlignment="1">
      <alignment horizontal="center" vertical="center"/>
    </xf>
    <xf numFmtId="1" fontId="52" fillId="5" borderId="1" xfId="4" applyNumberFormat="1" applyFont="1" applyFill="1" applyBorder="1" applyAlignment="1">
      <alignment horizontal="center" vertical="center"/>
    </xf>
    <xf numFmtId="10" fontId="52" fillId="10" borderId="1" xfId="4" applyNumberFormat="1" applyFont="1" applyFill="1" applyBorder="1" applyAlignment="1">
      <alignment horizontal="center" vertical="center"/>
    </xf>
    <xf numFmtId="2" fontId="52" fillId="11" borderId="1" xfId="4" applyNumberFormat="1" applyFont="1" applyFill="1" applyBorder="1" applyAlignment="1">
      <alignment horizontal="center" vertical="center"/>
    </xf>
    <xf numFmtId="0" fontId="41" fillId="0" borderId="0" xfId="4" applyFont="1"/>
    <xf numFmtId="0" fontId="40" fillId="0" borderId="0" xfId="4" applyFont="1" applyAlignment="1">
      <alignment horizontal="left"/>
    </xf>
    <xf numFmtId="10" fontId="30" fillId="10" borderId="1" xfId="4" applyNumberFormat="1" applyFont="1" applyFill="1" applyBorder="1" applyAlignment="1" applyProtection="1">
      <alignment horizontal="center" vertical="center"/>
    </xf>
    <xf numFmtId="9" fontId="30" fillId="2" borderId="0" xfId="4" applyNumberFormat="1" applyFont="1" applyFill="1" applyAlignment="1">
      <alignment vertical="center"/>
    </xf>
    <xf numFmtId="171" fontId="40" fillId="2" borderId="1" xfId="10" applyNumberFormat="1" applyFont="1" applyFill="1" applyBorder="1" applyAlignment="1">
      <alignment horizontal="center"/>
    </xf>
    <xf numFmtId="171" fontId="28" fillId="2" borderId="1" xfId="10" applyNumberFormat="1" applyFont="1" applyFill="1" applyBorder="1" applyAlignment="1">
      <alignment horizontal="center"/>
    </xf>
    <xf numFmtId="0" fontId="46" fillId="13" borderId="1" xfId="4" applyFont="1" applyFill="1" applyBorder="1" applyAlignment="1">
      <alignment horizontal="left" vertical="center" wrapText="1"/>
    </xf>
    <xf numFmtId="0" fontId="47" fillId="21" borderId="1" xfId="4" applyFont="1" applyFill="1" applyBorder="1" applyAlignment="1">
      <alignment horizontal="center"/>
    </xf>
    <xf numFmtId="0" fontId="45" fillId="21" borderId="1" xfId="4" applyFont="1" applyFill="1" applyBorder="1" applyAlignment="1">
      <alignment horizontal="center" vertical="center"/>
    </xf>
    <xf numFmtId="0" fontId="53" fillId="0" borderId="0" xfId="4" applyFont="1" applyAlignment="1">
      <alignment horizontal="left" vertical="center"/>
    </xf>
    <xf numFmtId="0" fontId="54" fillId="19" borderId="0" xfId="4" applyFont="1" applyFill="1"/>
    <xf numFmtId="0" fontId="46" fillId="21" borderId="1" xfId="4" applyFont="1" applyFill="1" applyBorder="1" applyAlignment="1">
      <alignment horizontal="left" wrapText="1"/>
    </xf>
    <xf numFmtId="0" fontId="10" fillId="0" borderId="0" xfId="0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2" fontId="10" fillId="0" borderId="2" xfId="0" applyNumberFormat="1" applyFont="1" applyBorder="1" applyAlignment="1">
      <alignment horizontal="center"/>
    </xf>
    <xf numFmtId="2" fontId="10" fillId="0" borderId="0" xfId="0" applyNumberFormat="1" applyFont="1" applyAlignment="1">
      <alignment horizontal="center"/>
    </xf>
    <xf numFmtId="2" fontId="10" fillId="0" borderId="3" xfId="0" applyNumberFormat="1" applyFont="1" applyBorder="1" applyAlignment="1">
      <alignment horizontal="center"/>
    </xf>
    <xf numFmtId="2" fontId="0" fillId="0" borderId="0" xfId="0" applyNumberFormat="1" applyAlignment="1"/>
    <xf numFmtId="2" fontId="10" fillId="0" borderId="0" xfId="0" applyNumberFormat="1" applyFont="1" applyAlignment="1">
      <alignment horizontal="center" wrapText="1"/>
    </xf>
    <xf numFmtId="2" fontId="10" fillId="0" borderId="3" xfId="0" applyNumberFormat="1" applyFont="1" applyBorder="1" applyAlignment="1">
      <alignment horizontal="center" wrapText="1"/>
    </xf>
    <xf numFmtId="2" fontId="10" fillId="0" borderId="0" xfId="0" applyNumberFormat="1" applyFont="1" applyAlignment="1">
      <alignment horizontal="center" vertical="center"/>
    </xf>
    <xf numFmtId="0" fontId="10" fillId="8" borderId="1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67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11" fillId="0" borderId="5" xfId="3" applyFont="1" applyFill="1" applyBorder="1" applyAlignment="1">
      <alignment horizontal="center"/>
    </xf>
  </cellXfs>
  <cellStyles count="11">
    <cellStyle name="Calculation 2" xfId="5" xr:uid="{836B8DB7-132B-4072-B9B2-DA478E90F9B0}"/>
    <cellStyle name="Comma" xfId="10" builtinId="3"/>
    <cellStyle name="Currency" xfId="2" builtinId="4"/>
    <cellStyle name="Heading 1 2" xfId="7" xr:uid="{D3539C6F-BF1B-434B-B368-AB4AD4C94176}"/>
    <cellStyle name="Heading 2 2" xfId="6" xr:uid="{57B8A9D7-435E-4BD0-B50B-4528C73D1825}"/>
    <cellStyle name="Neutral" xfId="3" builtinId="28"/>
    <cellStyle name="Normal" xfId="0" builtinId="0"/>
    <cellStyle name="Normal 2" xfId="4" xr:uid="{27CA9954-6E16-4BE0-AFAD-7FB41648CC78}"/>
    <cellStyle name="Percent" xfId="1" builtinId="5"/>
    <cellStyle name="Subtitle" xfId="8" xr:uid="{1641257E-3040-4C95-8CBF-869BB010E1CD}"/>
    <cellStyle name="Title 2" xfId="9" xr:uid="{B8FA951B-0B2B-4F31-83C1-887DBF2833F9}"/>
  </cellStyles>
  <dxfs count="30">
    <dxf>
      <fill>
        <patternFill>
          <bgColor rgb="FFFFC000"/>
        </patternFill>
      </fill>
    </dxf>
    <dxf>
      <font>
        <color theme="1"/>
      </font>
    </dxf>
    <dxf>
      <fill>
        <patternFill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BF1E6"/>
      <color rgb="FFCCEC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9" Type="http://schemas.microsoft.com/office/2006/relationships/vbaProject" Target="vbaProject.bin"/><Relationship Id="rId21" Type="http://schemas.openxmlformats.org/officeDocument/2006/relationships/sheetMetadata" Target="metadata.xml"/><Relationship Id="rId34" Type="http://schemas.openxmlformats.org/officeDocument/2006/relationships/customXml" Target="../customXml/item1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ID" sz="1400" b="1">
                <a:latin typeface="+mj-lt"/>
              </a:rPr>
              <a:t>Physical v eAngbao Pickup (2015-2050)</a:t>
            </a:r>
          </a:p>
        </c:rich>
      </c:tx>
      <c:layout>
        <c:manualLayout>
          <c:xMode val="edge"/>
          <c:yMode val="edge"/>
          <c:x val="0.11981988160225424"/>
          <c:y val="3.82514181695029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55858430853535"/>
          <c:y val="0.18150749876806341"/>
          <c:w val="0.83342061731413652"/>
          <c:h val="0.57458972613841275"/>
        </c:manualLayout>
      </c:layout>
      <c:lineChart>
        <c:grouping val="standard"/>
        <c:varyColors val="0"/>
        <c:ser>
          <c:idx val="0"/>
          <c:order val="0"/>
          <c:tx>
            <c:v>Physical Angbao</c:v>
          </c:tx>
          <c:spPr>
            <a:ln w="34925" cap="rnd">
              <a:solidFill>
                <a:schemeClr val="accent2">
                  <a:alpha val="99000"/>
                </a:schemeClr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'Hongbao demand'!$B$30:$B$65</c:f>
              <c:numCache>
                <c:formatCode>yyyy</c:formatCode>
                <c:ptCount val="29"/>
                <c:pt idx="0">
                  <c:v>44562</c:v>
                </c:pt>
                <c:pt idx="1">
                  <c:v>44927</c:v>
                </c:pt>
                <c:pt idx="2">
                  <c:v>45292</c:v>
                </c:pt>
                <c:pt idx="3">
                  <c:v>45658</c:v>
                </c:pt>
                <c:pt idx="4">
                  <c:v>46023</c:v>
                </c:pt>
                <c:pt idx="5">
                  <c:v>46388</c:v>
                </c:pt>
                <c:pt idx="6">
                  <c:v>46753</c:v>
                </c:pt>
                <c:pt idx="7">
                  <c:v>47119</c:v>
                </c:pt>
                <c:pt idx="8">
                  <c:v>47484</c:v>
                </c:pt>
                <c:pt idx="9">
                  <c:v>47849</c:v>
                </c:pt>
                <c:pt idx="10">
                  <c:v>48214</c:v>
                </c:pt>
                <c:pt idx="11">
                  <c:v>48580</c:v>
                </c:pt>
                <c:pt idx="12">
                  <c:v>48945</c:v>
                </c:pt>
                <c:pt idx="13">
                  <c:v>49310</c:v>
                </c:pt>
                <c:pt idx="14">
                  <c:v>49675</c:v>
                </c:pt>
                <c:pt idx="15">
                  <c:v>50041</c:v>
                </c:pt>
                <c:pt idx="16">
                  <c:v>50406</c:v>
                </c:pt>
                <c:pt idx="17">
                  <c:v>50771</c:v>
                </c:pt>
                <c:pt idx="18">
                  <c:v>51136</c:v>
                </c:pt>
                <c:pt idx="19">
                  <c:v>51502</c:v>
                </c:pt>
                <c:pt idx="20">
                  <c:v>51867</c:v>
                </c:pt>
                <c:pt idx="21">
                  <c:v>52232</c:v>
                </c:pt>
                <c:pt idx="22">
                  <c:v>52597</c:v>
                </c:pt>
                <c:pt idx="23">
                  <c:v>52963</c:v>
                </c:pt>
                <c:pt idx="24">
                  <c:v>53328</c:v>
                </c:pt>
                <c:pt idx="25">
                  <c:v>53693</c:v>
                </c:pt>
                <c:pt idx="26">
                  <c:v>54058</c:v>
                </c:pt>
                <c:pt idx="27">
                  <c:v>54424</c:v>
                </c:pt>
                <c:pt idx="28">
                  <c:v>54789</c:v>
                </c:pt>
              </c:numCache>
            </c:numRef>
          </c:cat>
          <c:val>
            <c:numRef>
              <c:f>'Hongbao demand'!$H$30:$H$65</c:f>
              <c:numCache>
                <c:formatCode>0.00%</c:formatCode>
                <c:ptCount val="29"/>
                <c:pt idx="0">
                  <c:v>0.69833729609374995</c:v>
                </c:pt>
                <c:pt idx="1">
                  <c:v>0.66342043128906247</c:v>
                </c:pt>
                <c:pt idx="2">
                  <c:v>0.6302494097246093</c:v>
                </c:pt>
                <c:pt idx="3">
                  <c:v>0.5987369392383789</c:v>
                </c:pt>
                <c:pt idx="4">
                  <c:v>0.56880009227645989</c:v>
                </c:pt>
                <c:pt idx="5">
                  <c:v>0.54036008766263688</c:v>
                </c:pt>
                <c:pt idx="6">
                  <c:v>0.51334208327950503</c:v>
                </c:pt>
                <c:pt idx="7">
                  <c:v>0.48767497911552982</c:v>
                </c:pt>
                <c:pt idx="8">
                  <c:v>0.46329123015975332</c:v>
                </c:pt>
                <c:pt idx="9">
                  <c:v>0.44012666865176564</c:v>
                </c:pt>
                <c:pt idx="10">
                  <c:v>0.41812033521917735</c:v>
                </c:pt>
                <c:pt idx="11">
                  <c:v>0.39721431845821842</c:v>
                </c:pt>
                <c:pt idx="12">
                  <c:v>0.37735360253530753</c:v>
                </c:pt>
                <c:pt idx="13">
                  <c:v>0.35848592240854216</c:v>
                </c:pt>
                <c:pt idx="14">
                  <c:v>0.34056162628811509</c:v>
                </c:pt>
                <c:pt idx="15">
                  <c:v>0.32353354497370929</c:v>
                </c:pt>
                <c:pt idx="16">
                  <c:v>0.30735686772502385</c:v>
                </c:pt>
                <c:pt idx="17">
                  <c:v>0.29198902433877266</c:v>
                </c:pt>
                <c:pt idx="18">
                  <c:v>0.27738957312183399</c:v>
                </c:pt>
                <c:pt idx="19">
                  <c:v>0.26352009446574232</c:v>
                </c:pt>
                <c:pt idx="20">
                  <c:v>0.2503440897424552</c:v>
                </c:pt>
                <c:pt idx="21">
                  <c:v>0.23782688525533241</c:v>
                </c:pt>
                <c:pt idx="22">
                  <c:v>0.2259355409925658</c:v>
                </c:pt>
                <c:pt idx="23">
                  <c:v>0.21463876394293749</c:v>
                </c:pt>
                <c:pt idx="24">
                  <c:v>0.20390682574579064</c:v>
                </c:pt>
                <c:pt idx="25">
                  <c:v>0.19371148445850112</c:v>
                </c:pt>
                <c:pt idx="26">
                  <c:v>0.18402591023557605</c:v>
                </c:pt>
                <c:pt idx="27">
                  <c:v>0.17482461472379726</c:v>
                </c:pt>
                <c:pt idx="28">
                  <c:v>0.16608338398760736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E-494A-B813-4DF4D298FD1E}"/>
            </c:ext>
          </c:extLst>
        </c:ser>
        <c:ser>
          <c:idx val="1"/>
          <c:order val="1"/>
          <c:tx>
            <c:v>eAngbao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'Hongbao demand'!$B$30:$B$65</c:f>
              <c:numCache>
                <c:formatCode>yyyy</c:formatCode>
                <c:ptCount val="29"/>
                <c:pt idx="0">
                  <c:v>44562</c:v>
                </c:pt>
                <c:pt idx="1">
                  <c:v>44927</c:v>
                </c:pt>
                <c:pt idx="2">
                  <c:v>45292</c:v>
                </c:pt>
                <c:pt idx="3">
                  <c:v>45658</c:v>
                </c:pt>
                <c:pt idx="4">
                  <c:v>46023</c:v>
                </c:pt>
                <c:pt idx="5">
                  <c:v>46388</c:v>
                </c:pt>
                <c:pt idx="6">
                  <c:v>46753</c:v>
                </c:pt>
                <c:pt idx="7">
                  <c:v>47119</c:v>
                </c:pt>
                <c:pt idx="8">
                  <c:v>47484</c:v>
                </c:pt>
                <c:pt idx="9">
                  <c:v>47849</c:v>
                </c:pt>
                <c:pt idx="10">
                  <c:v>48214</c:v>
                </c:pt>
                <c:pt idx="11">
                  <c:v>48580</c:v>
                </c:pt>
                <c:pt idx="12">
                  <c:v>48945</c:v>
                </c:pt>
                <c:pt idx="13">
                  <c:v>49310</c:v>
                </c:pt>
                <c:pt idx="14">
                  <c:v>49675</c:v>
                </c:pt>
                <c:pt idx="15">
                  <c:v>50041</c:v>
                </c:pt>
                <c:pt idx="16">
                  <c:v>50406</c:v>
                </c:pt>
                <c:pt idx="17">
                  <c:v>50771</c:v>
                </c:pt>
                <c:pt idx="18">
                  <c:v>51136</c:v>
                </c:pt>
                <c:pt idx="19">
                  <c:v>51502</c:v>
                </c:pt>
                <c:pt idx="20">
                  <c:v>51867</c:v>
                </c:pt>
                <c:pt idx="21">
                  <c:v>52232</c:v>
                </c:pt>
                <c:pt idx="22">
                  <c:v>52597</c:v>
                </c:pt>
                <c:pt idx="23">
                  <c:v>52963</c:v>
                </c:pt>
                <c:pt idx="24">
                  <c:v>53328</c:v>
                </c:pt>
                <c:pt idx="25">
                  <c:v>53693</c:v>
                </c:pt>
                <c:pt idx="26">
                  <c:v>54058</c:v>
                </c:pt>
                <c:pt idx="27">
                  <c:v>54424</c:v>
                </c:pt>
                <c:pt idx="28">
                  <c:v>54789</c:v>
                </c:pt>
              </c:numCache>
            </c:numRef>
          </c:cat>
          <c:val>
            <c:numRef>
              <c:f>'Hongbao demand'!$I$30:$I$65</c:f>
              <c:numCache>
                <c:formatCode>0.00%</c:formatCode>
                <c:ptCount val="29"/>
                <c:pt idx="0">
                  <c:v>0.30166270390625005</c:v>
                </c:pt>
                <c:pt idx="1">
                  <c:v>0.33657956871093753</c:v>
                </c:pt>
                <c:pt idx="2">
                  <c:v>0.3697505902753907</c:v>
                </c:pt>
                <c:pt idx="3">
                  <c:v>0.4012630607616211</c:v>
                </c:pt>
                <c:pt idx="4">
                  <c:v>0.43119990772354011</c:v>
                </c:pt>
                <c:pt idx="5">
                  <c:v>0.45963991233736312</c:v>
                </c:pt>
                <c:pt idx="6">
                  <c:v>0.48665791672049497</c:v>
                </c:pt>
                <c:pt idx="7">
                  <c:v>0.51232502088447018</c:v>
                </c:pt>
                <c:pt idx="8">
                  <c:v>0.53670876984024662</c:v>
                </c:pt>
                <c:pt idx="9">
                  <c:v>0.55987333134823436</c:v>
                </c:pt>
                <c:pt idx="10">
                  <c:v>0.58187966478082265</c:v>
                </c:pt>
                <c:pt idx="11">
                  <c:v>0.60278568154178158</c:v>
                </c:pt>
                <c:pt idx="12">
                  <c:v>0.62264639746469252</c:v>
                </c:pt>
                <c:pt idx="13">
                  <c:v>0.64151407759145784</c:v>
                </c:pt>
                <c:pt idx="14">
                  <c:v>0.65943837371188496</c:v>
                </c:pt>
                <c:pt idx="15">
                  <c:v>0.67646645502629066</c:v>
                </c:pt>
                <c:pt idx="16">
                  <c:v>0.6926431322749762</c:v>
                </c:pt>
                <c:pt idx="17">
                  <c:v>0.70801097566122739</c:v>
                </c:pt>
                <c:pt idx="18">
                  <c:v>0.72261042687816601</c:v>
                </c:pt>
                <c:pt idx="19">
                  <c:v>0.73647990553425768</c:v>
                </c:pt>
                <c:pt idx="20">
                  <c:v>0.74965591025754486</c:v>
                </c:pt>
                <c:pt idx="21">
                  <c:v>0.76217311474466753</c:v>
                </c:pt>
                <c:pt idx="22">
                  <c:v>0.77406445900743415</c:v>
                </c:pt>
                <c:pt idx="23">
                  <c:v>0.78536123605706254</c:v>
                </c:pt>
                <c:pt idx="24">
                  <c:v>0.79609317425420933</c:v>
                </c:pt>
                <c:pt idx="25">
                  <c:v>0.80628851554149894</c:v>
                </c:pt>
                <c:pt idx="26">
                  <c:v>0.81597408976442398</c:v>
                </c:pt>
                <c:pt idx="27">
                  <c:v>0.82517538527620271</c:v>
                </c:pt>
                <c:pt idx="28">
                  <c:v>0.83391661601239264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1E-494A-B813-4DF4D298F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4302432"/>
        <c:axId val="1414300768"/>
      </c:lineChart>
      <c:dateAx>
        <c:axId val="1414302432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414300768"/>
        <c:crosses val="autoZero"/>
        <c:auto val="1"/>
        <c:lblOffset val="100"/>
        <c:baseTimeUnit val="years"/>
      </c:dateAx>
      <c:valAx>
        <c:axId val="14143007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414302432"/>
        <c:crosses val="autoZero"/>
        <c:crossBetween val="between"/>
      </c:valAx>
      <c:spPr>
        <a:noFill/>
        <a:ln w="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ID" sz="1400" b="1">
                <a:latin typeface="+mj-lt"/>
              </a:rPr>
              <a:t>Agg Angbao</a:t>
            </a:r>
            <a:r>
              <a:rPr lang="en-ID" sz="1400" b="1" baseline="0">
                <a:latin typeface="+mj-lt"/>
              </a:rPr>
              <a:t> Spend Over Time</a:t>
            </a:r>
            <a:endParaRPr lang="en-ID" sz="1400" b="1">
              <a:latin typeface="+mj-lt"/>
            </a:endParaRPr>
          </a:p>
        </c:rich>
      </c:tx>
      <c:layout>
        <c:manualLayout>
          <c:xMode val="edge"/>
          <c:yMode val="edge"/>
          <c:x val="0.24752010241064276"/>
          <c:y val="3.01869020404707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755858430853535"/>
          <c:y val="0.18150749876806341"/>
          <c:w val="0.83342061731413652"/>
          <c:h val="0.57458972613841275"/>
        </c:manualLayout>
      </c:layout>
      <c:areaChart>
        <c:grouping val="stacked"/>
        <c:varyColors val="0"/>
        <c:ser>
          <c:idx val="0"/>
          <c:order val="0"/>
          <c:tx>
            <c:strRef>
              <c:f>'Hongbao demand'!$J$3</c:f>
              <c:strCache>
                <c:ptCount val="1"/>
                <c:pt idx="0">
                  <c:v>Agg e-Hongbao Spend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/>
              <a:lightRig rig="threePt" dir="t"/>
            </a:scene3d>
          </c:spPr>
          <c:cat>
            <c:numRef>
              <c:f>'Hongbao demand'!$B$4:$B$65</c:f>
              <c:numCache>
                <c:formatCode>yyyy</c:formatCode>
                <c:ptCount val="29"/>
                <c:pt idx="0">
                  <c:v>44562</c:v>
                </c:pt>
                <c:pt idx="1">
                  <c:v>44927</c:v>
                </c:pt>
                <c:pt idx="2">
                  <c:v>45292</c:v>
                </c:pt>
                <c:pt idx="3">
                  <c:v>45658</c:v>
                </c:pt>
                <c:pt idx="4">
                  <c:v>46023</c:v>
                </c:pt>
                <c:pt idx="5">
                  <c:v>46388</c:v>
                </c:pt>
                <c:pt idx="6">
                  <c:v>46753</c:v>
                </c:pt>
                <c:pt idx="7">
                  <c:v>47119</c:v>
                </c:pt>
                <c:pt idx="8">
                  <c:v>47484</c:v>
                </c:pt>
                <c:pt idx="9">
                  <c:v>47849</c:v>
                </c:pt>
                <c:pt idx="10">
                  <c:v>48214</c:v>
                </c:pt>
                <c:pt idx="11">
                  <c:v>48580</c:v>
                </c:pt>
                <c:pt idx="12">
                  <c:v>48945</c:v>
                </c:pt>
                <c:pt idx="13">
                  <c:v>49310</c:v>
                </c:pt>
                <c:pt idx="14">
                  <c:v>49675</c:v>
                </c:pt>
                <c:pt idx="15">
                  <c:v>50041</c:v>
                </c:pt>
                <c:pt idx="16">
                  <c:v>50406</c:v>
                </c:pt>
                <c:pt idx="17">
                  <c:v>50771</c:v>
                </c:pt>
                <c:pt idx="18">
                  <c:v>51136</c:v>
                </c:pt>
                <c:pt idx="19">
                  <c:v>51502</c:v>
                </c:pt>
                <c:pt idx="20">
                  <c:v>51867</c:v>
                </c:pt>
                <c:pt idx="21">
                  <c:v>52232</c:v>
                </c:pt>
                <c:pt idx="22">
                  <c:v>52597</c:v>
                </c:pt>
                <c:pt idx="23">
                  <c:v>52963</c:v>
                </c:pt>
                <c:pt idx="24">
                  <c:v>53328</c:v>
                </c:pt>
                <c:pt idx="25">
                  <c:v>53693</c:v>
                </c:pt>
                <c:pt idx="26">
                  <c:v>54058</c:v>
                </c:pt>
                <c:pt idx="27">
                  <c:v>54424</c:v>
                </c:pt>
                <c:pt idx="28">
                  <c:v>54789</c:v>
                </c:pt>
              </c:numCache>
            </c:numRef>
          </c:cat>
          <c:val>
            <c:numRef>
              <c:f>'Hongbao demand'!$J$4:$J$65</c:f>
              <c:numCache>
                <c:formatCode>"$"#,##0.00</c:formatCode>
                <c:ptCount val="29"/>
                <c:pt idx="0">
                  <c:v>453819876.11649191</c:v>
                </c:pt>
                <c:pt idx="1">
                  <c:v>515986052.51302397</c:v>
                </c:pt>
                <c:pt idx="2">
                  <c:v>577425389.38638592</c:v>
                </c:pt>
                <c:pt idx="3">
                  <c:v>638126738.75294662</c:v>
                </c:pt>
                <c:pt idx="4">
                  <c:v>698081884.52624679</c:v>
                </c:pt>
                <c:pt idx="5">
                  <c:v>757285277.19723952</c:v>
                </c:pt>
                <c:pt idx="6">
                  <c:v>815733787.716766</c:v>
                </c:pt>
                <c:pt idx="7">
                  <c:v>873426479.32333875</c:v>
                </c:pt>
                <c:pt idx="8">
                  <c:v>930364396.13699794</c:v>
                </c:pt>
                <c:pt idx="9">
                  <c:v>986550367.41306269</c:v>
                </c:pt>
                <c:pt idx="10">
                  <c:v>1041988826.4183012</c:v>
                </c:pt>
                <c:pt idx="11">
                  <c:v>1096685642.95665</c:v>
                </c:pt>
                <c:pt idx="12">
                  <c:v>1150647968.632328</c:v>
                </c:pt>
                <c:pt idx="13">
                  <c:v>1203884093.9953005</c:v>
                </c:pt>
                <c:pt idx="14">
                  <c:v>1256403316.7676923</c:v>
                </c:pt>
                <c:pt idx="15">
                  <c:v>1308215820.4001977</c:v>
                </c:pt>
                <c:pt idx="16">
                  <c:v>1359332562.2549181</c:v>
                </c:pt>
                <c:pt idx="17">
                  <c:v>1409765170.7555943</c:v>
                </c:pt>
                <c:pt idx="18">
                  <c:v>1459525850.888037</c:v>
                </c:pt>
                <c:pt idx="19">
                  <c:v>1508627297.472862</c:v>
                </c:pt>
                <c:pt idx="20">
                  <c:v>1557082615.6695437</c:v>
                </c:pt>
                <c:pt idx="21">
                  <c:v>1604905248.2054777</c:v>
                </c:pt>
                <c:pt idx="22">
                  <c:v>1652108908.8562903</c:v>
                </c:pt>
                <c:pt idx="23">
                  <c:v>1698707521.7341981</c:v>
                </c:pt>
                <c:pt idx="24">
                  <c:v>1744715165.9699075</c:v>
                </c:pt>
                <c:pt idx="25">
                  <c:v>1790146025.4004879</c:v>
                </c:pt>
                <c:pt idx="26">
                  <c:v>1835014342.9009058</c:v>
                </c:pt>
                <c:pt idx="27">
                  <c:v>1879334379.0206454</c:v>
                </c:pt>
                <c:pt idx="28">
                  <c:v>1923120374.6090662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9C-4248-925A-80669D2FD1CF}"/>
            </c:ext>
          </c:extLst>
        </c:ser>
        <c:ser>
          <c:idx val="1"/>
          <c:order val="1"/>
          <c:tx>
            <c:strRef>
              <c:f>'Hongbao demand'!$K$3</c:f>
              <c:strCache>
                <c:ptCount val="1"/>
                <c:pt idx="0">
                  <c:v>Agg Physical Hongbao Spend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/>
              <a:lightRig rig="threePt" dir="t"/>
            </a:scene3d>
          </c:spPr>
          <c:cat>
            <c:numRef>
              <c:f>'Hongbao demand'!$B$4:$B$65</c:f>
              <c:numCache>
                <c:formatCode>yyyy</c:formatCode>
                <c:ptCount val="29"/>
                <c:pt idx="0">
                  <c:v>44562</c:v>
                </c:pt>
                <c:pt idx="1">
                  <c:v>44927</c:v>
                </c:pt>
                <c:pt idx="2">
                  <c:v>45292</c:v>
                </c:pt>
                <c:pt idx="3">
                  <c:v>45658</c:v>
                </c:pt>
                <c:pt idx="4">
                  <c:v>46023</c:v>
                </c:pt>
                <c:pt idx="5">
                  <c:v>46388</c:v>
                </c:pt>
                <c:pt idx="6">
                  <c:v>46753</c:v>
                </c:pt>
                <c:pt idx="7">
                  <c:v>47119</c:v>
                </c:pt>
                <c:pt idx="8">
                  <c:v>47484</c:v>
                </c:pt>
                <c:pt idx="9">
                  <c:v>47849</c:v>
                </c:pt>
                <c:pt idx="10">
                  <c:v>48214</c:v>
                </c:pt>
                <c:pt idx="11">
                  <c:v>48580</c:v>
                </c:pt>
                <c:pt idx="12">
                  <c:v>48945</c:v>
                </c:pt>
                <c:pt idx="13">
                  <c:v>49310</c:v>
                </c:pt>
                <c:pt idx="14">
                  <c:v>49675</c:v>
                </c:pt>
                <c:pt idx="15">
                  <c:v>50041</c:v>
                </c:pt>
                <c:pt idx="16">
                  <c:v>50406</c:v>
                </c:pt>
                <c:pt idx="17">
                  <c:v>50771</c:v>
                </c:pt>
                <c:pt idx="18">
                  <c:v>51136</c:v>
                </c:pt>
                <c:pt idx="19">
                  <c:v>51502</c:v>
                </c:pt>
                <c:pt idx="20">
                  <c:v>51867</c:v>
                </c:pt>
                <c:pt idx="21">
                  <c:v>52232</c:v>
                </c:pt>
                <c:pt idx="22">
                  <c:v>52597</c:v>
                </c:pt>
                <c:pt idx="23">
                  <c:v>52963</c:v>
                </c:pt>
                <c:pt idx="24">
                  <c:v>53328</c:v>
                </c:pt>
                <c:pt idx="25">
                  <c:v>53693</c:v>
                </c:pt>
                <c:pt idx="26">
                  <c:v>54058</c:v>
                </c:pt>
                <c:pt idx="27">
                  <c:v>54424</c:v>
                </c:pt>
                <c:pt idx="28">
                  <c:v>54789</c:v>
                </c:pt>
              </c:numCache>
            </c:numRef>
          </c:cat>
          <c:val>
            <c:numRef>
              <c:f>'Hongbao demand'!$K$4:$K$65</c:f>
              <c:numCache>
                <c:formatCode>"$"#,##0.00</c:formatCode>
                <c:ptCount val="29"/>
                <c:pt idx="0">
                  <c:v>1050575165.8954927</c:v>
                </c:pt>
                <c:pt idx="1">
                  <c:v>1017042391.5164024</c:v>
                </c:pt>
                <c:pt idx="2">
                  <c:v>984236456.66048241</c:v>
                </c:pt>
                <c:pt idx="3">
                  <c:v>952168509.31136346</c:v>
                </c:pt>
                <c:pt idx="4">
                  <c:v>920846765.55550528</c:v>
                </c:pt>
                <c:pt idx="5">
                  <c:v>890276774.90195429</c:v>
                </c:pt>
                <c:pt idx="6">
                  <c:v>860461666.3998698</c:v>
                </c:pt>
                <c:pt idx="7">
                  <c:v>831402376.8107388</c:v>
                </c:pt>
                <c:pt idx="8">
                  <c:v>803097862.01452136</c:v>
                </c:pt>
                <c:pt idx="9">
                  <c:v>775545292.75589859</c:v>
                </c:pt>
                <c:pt idx="10">
                  <c:v>748740235.76810205</c:v>
                </c:pt>
                <c:pt idx="11">
                  <c:v>722676821.24719501</c:v>
                </c:pt>
                <c:pt idx="12">
                  <c:v>697347897.58895874</c:v>
                </c:pt>
                <c:pt idx="13">
                  <c:v>672745174.24342823</c:v>
                </c:pt>
                <c:pt idx="14">
                  <c:v>648859353.48847818</c:v>
                </c:pt>
                <c:pt idx="15">
                  <c:v>625680251.87341475</c:v>
                </c:pt>
                <c:pt idx="16">
                  <c:v>603196912.03613615</c:v>
                </c:pt>
                <c:pt idx="17">
                  <c:v>581397705.55290198</c:v>
                </c:pt>
                <c:pt idx="18">
                  <c:v>560270427.43790102</c:v>
                </c:pt>
                <c:pt idx="19">
                  <c:v>539802382.87051773</c:v>
                </c:pt>
                <c:pt idx="20">
                  <c:v>519980466.69127798</c:v>
                </c:pt>
                <c:pt idx="21">
                  <c:v>500791236.17278624</c:v>
                </c:pt>
                <c:pt idx="22">
                  <c:v>482220977.53941536</c:v>
                </c:pt>
                <c:pt idx="23">
                  <c:v>464255766.67894936</c:v>
                </c:pt>
                <c:pt idx="24">
                  <c:v>446881524.46068168</c:v>
                </c:pt>
                <c:pt idx="25">
                  <c:v>430084067.04754305</c:v>
                </c:pt>
                <c:pt idx="26">
                  <c:v>413849151.56456685</c:v>
                </c:pt>
                <c:pt idx="27">
                  <c:v>398162517.46226954</c:v>
                </c:pt>
                <c:pt idx="28">
                  <c:v>383009923.89129043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9C-4248-925A-80669D2FD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4302432"/>
        <c:axId val="1414300768"/>
      </c:areaChart>
      <c:dateAx>
        <c:axId val="1414302432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414300768"/>
        <c:crosses val="autoZero"/>
        <c:auto val="1"/>
        <c:lblOffset val="100"/>
        <c:baseTimeUnit val="years"/>
      </c:dateAx>
      <c:valAx>
        <c:axId val="1414300768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414302432"/>
        <c:crosses val="autoZero"/>
        <c:crossBetween val="midCat"/>
      </c:valAx>
      <c:spPr>
        <a:noFill/>
        <a:ln w="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baseline="0">
                <a:ln>
                  <a:noFill/>
                </a:ln>
                <a:solidFill>
                  <a:schemeClr val="tx2"/>
                </a:solidFill>
                <a:effectLst/>
                <a:latin typeface="+mj-lt"/>
                <a:ea typeface="+mn-ea"/>
                <a:cs typeface="+mn-cs"/>
              </a:defRPr>
            </a:pPr>
            <a:r>
              <a:rPr lang="en-ID" b="1">
                <a:ln w="0">
                  <a:noFill/>
                </a:ln>
                <a:solidFill>
                  <a:schemeClr val="tx2"/>
                </a:solidFill>
                <a:effectLst/>
              </a:rPr>
              <a:t>Angbao Spend</a:t>
            </a:r>
            <a:r>
              <a:rPr lang="en-ID" b="1" baseline="0">
                <a:ln w="0">
                  <a:noFill/>
                </a:ln>
                <a:solidFill>
                  <a:schemeClr val="tx2"/>
                </a:solidFill>
                <a:effectLst/>
              </a:rPr>
              <a:t> Per Couple</a:t>
            </a:r>
            <a:endParaRPr lang="en-ID" b="1">
              <a:ln w="0">
                <a:noFill/>
              </a:ln>
              <a:solidFill>
                <a:schemeClr val="tx2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baseline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71910860721914E-2"/>
          <c:y val="0.1574021442756115"/>
          <c:w val="0.89052272010108147"/>
          <c:h val="0.560442277570831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'Hongbao demand'!$N$69</c:f>
              <c:strCache>
                <c:ptCount val="1"/>
                <c:pt idx="0">
                  <c:v>No. of Family Members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j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'Hongbao demand'!$M$70:$M$76</c:f>
              <c:strCache>
                <c:ptCount val="7"/>
                <c:pt idx="0">
                  <c:v>Parents/inlaws</c:v>
                </c:pt>
                <c:pt idx="1">
                  <c:v>Grandparents</c:v>
                </c:pt>
                <c:pt idx="2">
                  <c:v>Siblings/inlaws</c:v>
                </c:pt>
                <c:pt idx="3">
                  <c:v>Children</c:v>
                </c:pt>
                <c:pt idx="4">
                  <c:v>Grandchildren</c:v>
                </c:pt>
                <c:pt idx="5">
                  <c:v>Nieces/Nephews</c:v>
                </c:pt>
                <c:pt idx="6">
                  <c:v>Friends' children</c:v>
                </c:pt>
              </c:strCache>
            </c:strRef>
          </c:cat>
          <c:val>
            <c:numRef>
              <c:f>'Hongbao demand'!$N$70:$N$76</c:f>
              <c:numCache>
                <c:formatCode>General</c:formatCode>
                <c:ptCount val="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8-489E-AD22-6428D5ECE70F}"/>
            </c:ext>
          </c:extLst>
        </c:ser>
        <c:ser>
          <c:idx val="2"/>
          <c:order val="1"/>
          <c:tx>
            <c:strRef>
              <c:f>'Hongbao demand'!$P$69</c:f>
              <c:strCache>
                <c:ptCount val="1"/>
                <c:pt idx="0">
                  <c:v>Total $ spent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j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'Hongbao demand'!$M$70:$M$76</c:f>
              <c:strCache>
                <c:ptCount val="7"/>
                <c:pt idx="0">
                  <c:v>Parents/inlaws</c:v>
                </c:pt>
                <c:pt idx="1">
                  <c:v>Grandparents</c:v>
                </c:pt>
                <c:pt idx="2">
                  <c:v>Siblings/inlaws</c:v>
                </c:pt>
                <c:pt idx="3">
                  <c:v>Children</c:v>
                </c:pt>
                <c:pt idx="4">
                  <c:v>Grandchildren</c:v>
                </c:pt>
                <c:pt idx="5">
                  <c:v>Nieces/Nephews</c:v>
                </c:pt>
                <c:pt idx="6">
                  <c:v>Friends' children</c:v>
                </c:pt>
              </c:strCache>
            </c:strRef>
          </c:cat>
          <c:val>
            <c:numRef>
              <c:f>'Hongbao demand'!$P$70:$P$76</c:f>
              <c:numCache>
                <c:formatCode>General</c:formatCode>
                <c:ptCount val="7"/>
                <c:pt idx="0">
                  <c:v>840</c:v>
                </c:pt>
                <c:pt idx="1">
                  <c:v>128</c:v>
                </c:pt>
                <c:pt idx="2">
                  <c:v>90</c:v>
                </c:pt>
                <c:pt idx="3">
                  <c:v>120</c:v>
                </c:pt>
                <c:pt idx="4">
                  <c:v>88</c:v>
                </c:pt>
                <c:pt idx="5">
                  <c:v>0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38-489E-AD22-6428D5ECE70F}"/>
            </c:ext>
          </c:extLst>
        </c:ser>
        <c:ser>
          <c:idx val="3"/>
          <c:order val="2"/>
          <c:tx>
            <c:strRef>
              <c:f>'Hongbao demand'!$Q$69</c:f>
              <c:strCache>
                <c:ptCount val="1"/>
                <c:pt idx="0">
                  <c:v>Number of $2 notes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j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'Hongbao demand'!$M$70:$M$76</c:f>
              <c:strCache>
                <c:ptCount val="7"/>
                <c:pt idx="0">
                  <c:v>Parents/inlaws</c:v>
                </c:pt>
                <c:pt idx="1">
                  <c:v>Grandparents</c:v>
                </c:pt>
                <c:pt idx="2">
                  <c:v>Siblings/inlaws</c:v>
                </c:pt>
                <c:pt idx="3">
                  <c:v>Children</c:v>
                </c:pt>
                <c:pt idx="4">
                  <c:v>Grandchildren</c:v>
                </c:pt>
                <c:pt idx="5">
                  <c:v>Nieces/Nephews</c:v>
                </c:pt>
                <c:pt idx="6">
                  <c:v>Friends' children</c:v>
                </c:pt>
              </c:strCache>
            </c:strRef>
          </c:cat>
          <c:val>
            <c:numRef>
              <c:f>'Hongbao demand'!$Q$70:$Q$76</c:f>
              <c:numCache>
                <c:formatCode>General</c:formatCode>
                <c:ptCount val="7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38-489E-AD22-6428D5ECE7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14301600"/>
        <c:axId val="1414294528"/>
      </c:barChart>
      <c:catAx>
        <c:axId val="141430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baseline="0">
                <a:ln w="0"/>
                <a:solidFill>
                  <a:schemeClr val="tx1"/>
                </a:solidFill>
                <a:effectLst/>
                <a:latin typeface="+mj-lt"/>
                <a:ea typeface="+mn-ea"/>
                <a:cs typeface="+mn-cs"/>
              </a:defRPr>
            </a:pPr>
            <a:endParaRPr lang="en-US"/>
          </a:p>
        </c:txPr>
        <c:crossAx val="1414294528"/>
        <c:crosses val="autoZero"/>
        <c:auto val="1"/>
        <c:lblAlgn val="ctr"/>
        <c:lblOffset val="100"/>
        <c:noMultiLvlLbl val="0"/>
      </c:catAx>
      <c:valAx>
        <c:axId val="141429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j-lt"/>
                <a:ea typeface="+mn-ea"/>
                <a:cs typeface="+mn-cs"/>
              </a:defRPr>
            </a:pPr>
            <a:endParaRPr lang="en-US"/>
          </a:p>
        </c:txPr>
        <c:crossAx val="141430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prstDash val="solid"/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  <a:latin typeface="+mj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Demand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'Money Market'!$H$23</c:f>
              <c:numCache>
                <c:formatCode>0.00</c:formatCode>
                <c:ptCount val="1"/>
                <c:pt idx="0">
                  <c:v>703.80205770942257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8B-4264-84A1-1B8D63A72560}"/>
            </c:ext>
          </c:extLst>
        </c:ser>
        <c:ser>
          <c:idx val="1"/>
          <c:order val="1"/>
          <c:tx>
            <c:v>Supply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'Money Market'!$H$27</c:f>
              <c:numCache>
                <c:formatCode>0.00</c:formatCode>
                <c:ptCount val="1"/>
                <c:pt idx="0">
                  <c:v>886.1416234515425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8B-4264-84A1-1B8D63A72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65535"/>
        <c:axId val="603388831"/>
      </c:barChart>
      <c:catAx>
        <c:axId val="603365535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603388831"/>
        <c:crosses val="autoZero"/>
        <c:auto val="0"/>
        <c:lblAlgn val="ctr"/>
        <c:lblOffset val="100"/>
        <c:noMultiLvlLbl val="0"/>
      </c:catAx>
      <c:valAx>
        <c:axId val="6033888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n-SG" sz="1600">
                    <a:latin typeface="+mj-lt"/>
                  </a:rPr>
                  <a:t> Monetary</a:t>
                </a:r>
                <a:r>
                  <a:rPr lang="en-SG" sz="1600" baseline="0">
                    <a:latin typeface="+mj-lt"/>
                  </a:rPr>
                  <a:t> Value (in millions)</a:t>
                </a:r>
                <a:endParaRPr lang="en-SG" sz="1600">
                  <a:latin typeface="+mj-lt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6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40702301881897"/>
          <c:y val="3.9632520199192424E-2"/>
          <c:w val="0.66668367997481282"/>
          <c:h val="0.92734037963481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BAD-456F-8E56-34FABAD7B8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BAD-456F-8E56-34FABAD7B869}"/>
              </c:ext>
            </c:extLst>
          </c:dPt>
          <c:dPt>
            <c:idx val="2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BAD-456F-8E56-34FABAD7B8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BAD-456F-8E56-34FABAD7B869}"/>
              </c:ext>
            </c:extLst>
          </c:dPt>
          <c:dLbls>
            <c:dLbl>
              <c:idx val="0"/>
              <c:layout>
                <c:manualLayout>
                  <c:x val="7.9139911654366846E-2"/>
                  <c:y val="7.008787744926138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AD-456F-8E56-34FABAD7B869}"/>
                </c:ext>
              </c:extLst>
            </c:dLbl>
            <c:dLbl>
              <c:idx val="2"/>
              <c:layout>
                <c:manualLayout>
                  <c:x val="-5.930494270468506E-2"/>
                  <c:y val="-1.239079223904966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AD-456F-8E56-34FABAD7B869}"/>
                </c:ext>
              </c:extLst>
            </c:dLbl>
            <c:dLbl>
              <c:idx val="3"/>
              <c:layout>
                <c:manualLayout>
                  <c:x val="1.5254458534664707E-2"/>
                  <c:y val="-3.415106517757220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AD-456F-8E56-34FABAD7B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'Money Market'!$O$22:$O$25</c:f>
              <c:strCache>
                <c:ptCount val="4"/>
                <c:pt idx="0">
                  <c:v>CNY Demand</c:v>
                </c:pt>
                <c:pt idx="1">
                  <c:v>Circulation Replacement</c:v>
                </c:pt>
                <c:pt idx="2">
                  <c:v>Storage Replacement</c:v>
                </c:pt>
                <c:pt idx="3">
                  <c:v>New Money Demand</c:v>
                </c:pt>
              </c:strCache>
            </c:strRef>
          </c:cat>
          <c:val>
            <c:numRef>
              <c:f>'Money Market'!$P$22:$P$25</c:f>
              <c:numCache>
                <c:formatCode>0.00</c:formatCode>
                <c:ptCount val="4"/>
                <c:pt idx="0">
                  <c:v>0</c:v>
                </c:pt>
                <c:pt idx="1">
                  <c:v>675.49583533921634</c:v>
                </c:pt>
                <c:pt idx="2">
                  <c:v>14.233678810953373</c:v>
                </c:pt>
                <c:pt idx="3">
                  <c:v>14.072543559252802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AD-456F-8E56-34FABAD7B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2D4-4C94-A867-AD344B41B3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2D4-4C94-A867-AD344B41B32E}"/>
              </c:ext>
            </c:extLst>
          </c:dPt>
          <c:dPt>
            <c:idx val="2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2D4-4C94-A867-AD344B41B32E}"/>
              </c:ext>
            </c:extLst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bg1"/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92D4-4C94-A867-AD344B41B3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'Supply Costs'!$L$17:$N$17</c:f>
              <c:strCache>
                <c:ptCount val="3"/>
                <c:pt idx="0">
                  <c:v>Cost of Printing</c:v>
                </c:pt>
                <c:pt idx="1">
                  <c:v>Cost of Storing</c:v>
                </c:pt>
                <c:pt idx="2">
                  <c:v>Cost of burning</c:v>
                </c:pt>
              </c:strCache>
            </c:strRef>
          </c:cat>
          <c:val>
            <c:numRef>
              <c:f>'Supply Costs'!$L$18:$N$18</c:f>
              <c:numCache>
                <c:formatCode>"$"#,##0.00</c:formatCode>
                <c:ptCount val="3"/>
                <c:pt idx="0">
                  <c:v>0</c:v>
                </c:pt>
                <c:pt idx="1">
                  <c:v>3.2202024999123027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F80-4CF1-8531-60F92CD4411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[Proto.xlsm]CO_Pivot_Year!PivotTable1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CO_Pivot_Year!$B$3</c:f>
              <c:strCache>
                <c:ptCount val="1"/>
                <c:pt idx="0">
                  <c:v>Total Cost of Destroying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CO_Pivot_Year!$A$4:$A$13</c:f>
              <c:strCache>
                <c:ptCount val="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strCache>
            </c:strRef>
          </c:cat>
          <c:val>
            <c:numRef>
              <c:f>CO_Pivot_Year!$B$4:$B$13</c:f>
              <c:numCache>
                <c:formatCode>General</c:formatCode>
                <c:ptCount val="9"/>
                <c:pt idx="0">
                  <c:v>0</c:v>
                </c:pt>
                <c:pt idx="1">
                  <c:v>161.7001573957663</c:v>
                </c:pt>
                <c:pt idx="2">
                  <c:v>251.73366744949777</c:v>
                </c:pt>
                <c:pt idx="3">
                  <c:v>245.76864810361411</c:v>
                </c:pt>
                <c:pt idx="4">
                  <c:v>240.33474910352606</c:v>
                </c:pt>
                <c:pt idx="5">
                  <c:v>235.27921179839342</c:v>
                </c:pt>
                <c:pt idx="6">
                  <c:v>230.52178457211375</c:v>
                </c:pt>
                <c:pt idx="7">
                  <c:v>226.00505639489663</c:v>
                </c:pt>
                <c:pt idx="8">
                  <c:v>221.6836381613339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C-4108-A5A8-3B80F660BD98}"/>
            </c:ext>
          </c:extLst>
        </c:ser>
        <c:ser>
          <c:idx val="1"/>
          <c:order val="1"/>
          <c:tx>
            <c:strRef>
              <c:f>CO_Pivot_Year!$C$3</c:f>
              <c:strCache>
                <c:ptCount val="1"/>
                <c:pt idx="0">
                  <c:v>Total Cost of Printing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CO_Pivot_Year!$A$4:$A$13</c:f>
              <c:strCache>
                <c:ptCount val="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strCache>
            </c:strRef>
          </c:cat>
          <c:val>
            <c:numRef>
              <c:f>CO_Pivot_Year!$C$4:$C$13</c:f>
              <c:numCache>
                <c:formatCode>General</c:formatCode>
                <c:ptCount val="9"/>
                <c:pt idx="0">
                  <c:v>0</c:v>
                </c:pt>
                <c:pt idx="1">
                  <c:v>215.60020986102171</c:v>
                </c:pt>
                <c:pt idx="2">
                  <c:v>335.64488993266366</c:v>
                </c:pt>
                <c:pt idx="3">
                  <c:v>327.69153080481885</c:v>
                </c:pt>
                <c:pt idx="4">
                  <c:v>320.44633213803479</c:v>
                </c:pt>
                <c:pt idx="5">
                  <c:v>313.70561573119119</c:v>
                </c:pt>
                <c:pt idx="6">
                  <c:v>307.36237942948503</c:v>
                </c:pt>
                <c:pt idx="7">
                  <c:v>301.3400751931955</c:v>
                </c:pt>
                <c:pt idx="8">
                  <c:v>295.57818421511183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7C-4108-A5A8-3B80F660BD98}"/>
            </c:ext>
          </c:extLst>
        </c:ser>
        <c:ser>
          <c:idx val="2"/>
          <c:order val="2"/>
          <c:tx>
            <c:strRef>
              <c:f>CO_Pivot_Year!$D$3</c:f>
              <c:strCache>
                <c:ptCount val="1"/>
                <c:pt idx="0">
                  <c:v>Total Cost of Storing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CO_Pivot_Year!$A$4:$A$13</c:f>
              <c:strCache>
                <c:ptCount val="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strCache>
            </c:strRef>
          </c:cat>
          <c:val>
            <c:numRef>
              <c:f>CO_Pivot_Year!$D$4:$D$13</c:f>
              <c:numCache>
                <c:formatCode>General</c:formatCode>
                <c:ptCount val="9"/>
                <c:pt idx="0">
                  <c:v>34.26815964994924</c:v>
                </c:pt>
                <c:pt idx="1">
                  <c:v>38.064757115128344</c:v>
                </c:pt>
                <c:pt idx="2">
                  <c:v>36.344505620903639</c:v>
                </c:pt>
                <c:pt idx="3">
                  <c:v>35.153885335580604</c:v>
                </c:pt>
                <c:pt idx="4">
                  <c:v>34.226589433586817</c:v>
                </c:pt>
                <c:pt idx="5">
                  <c:v>33.401225032564284</c:v>
                </c:pt>
                <c:pt idx="6">
                  <c:v>32.638266823853485</c:v>
                </c:pt>
                <c:pt idx="7">
                  <c:v>31.922273503494033</c:v>
                </c:pt>
                <c:pt idx="8">
                  <c:v>31.243711525059965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7C-4108-A5A8-3B80F660B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535391"/>
        <c:axId val="1602536639"/>
      </c:lineChart>
      <c:catAx>
        <c:axId val="1602535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602536639"/>
        <c:crosses val="autoZero"/>
        <c:auto val="1"/>
        <c:lblAlgn val="ctr"/>
        <c:lblOffset val="100"/>
        <c:noMultiLvlLbl val="0"/>
      </c:catAx>
      <c:valAx>
        <c:axId val="160253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602535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IN" sz="1600" b="1">
                <a:latin typeface="+mj-lt"/>
              </a:rPr>
              <a:t>Proportion Burned</a:t>
            </a:r>
            <a:r>
              <a:rPr lang="en-IN" sz="1600" b="1" baseline="0">
                <a:latin typeface="+mj-lt"/>
              </a:rPr>
              <a:t> v/s S</a:t>
            </a:r>
            <a:r>
              <a:rPr lang="en-IN" sz="1600" b="1">
                <a:latin typeface="+mj-lt"/>
              </a:rPr>
              <a:t>aved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87-7441-AE8C-0A31A78E72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87-7441-AE8C-0A31A78E7297}"/>
              </c:ext>
            </c:extLst>
          </c:dPt>
          <c:dPt>
            <c:idx val="2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687-7441-AE8C-0A31A78E7297}"/>
              </c:ext>
            </c:extLst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5687-7441-AE8C-0A31A78E72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'Excess Notes'!$E$16:$G$16</c:f>
              <c:strCache>
                <c:ptCount val="3"/>
                <c:pt idx="0">
                  <c:v>Amount saved for CNY</c:v>
                </c:pt>
                <c:pt idx="1">
                  <c:v>Amount burned</c:v>
                </c:pt>
                <c:pt idx="2">
                  <c:v>Regular Storage</c:v>
                </c:pt>
              </c:strCache>
            </c:strRef>
          </c:cat>
          <c:val>
            <c:numRef>
              <c:f>'Excess Notes'!$E$17:$G$17</c:f>
              <c:numCache>
                <c:formatCode>_(* #,##0.00_);_(* \(#,##0.00\);_(* "-"??_);_(@_)</c:formatCode>
                <c:ptCount val="3"/>
                <c:pt idx="0">
                  <c:v>32.202024999123026</c:v>
                </c:pt>
                <c:pt idx="1">
                  <c:v>0</c:v>
                </c:pt>
                <c:pt idx="2">
                  <c:v>150.13754074299692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05-4780-B29F-94B7EF0699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[Proto.xlsm]Excess_Notes_Pivot!PivotTable1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600" b="1"/>
              <a:t>Excess Notes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Excess_Notes_Pivot!$B$4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Excess_Notes_Pivot!$A$5:$A$14</c:f>
              <c:strCache>
                <c:ptCount val="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strCache>
            </c:strRef>
          </c:cat>
          <c:val>
            <c:numRef>
              <c:f>Excess_Notes_Pivot!$B$5:$B$14</c:f>
              <c:numCache>
                <c:formatCode>General</c:formatCode>
                <c:ptCount val="9"/>
                <c:pt idx="0">
                  <c:v>1893.8134367306934</c:v>
                </c:pt>
                <c:pt idx="1">
                  <c:v>1988.2960888480616</c:v>
                </c:pt>
                <c:pt idx="2">
                  <c:v>1925.5559384979711</c:v>
                </c:pt>
                <c:pt idx="3">
                  <c:v>1884.0892655133562</c:v>
                </c:pt>
                <c:pt idx="4">
                  <c:v>1846.4738740139778</c:v>
                </c:pt>
                <c:pt idx="5">
                  <c:v>1811.6346645961598</c:v>
                </c:pt>
                <c:pt idx="6">
                  <c:v>1778.9902757627333</c:v>
                </c:pt>
                <c:pt idx="7">
                  <c:v>1748.120082458342</c:v>
                </c:pt>
                <c:pt idx="8">
                  <c:v>1542.7198428064878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1-46EF-92F4-DDBA1106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4566831"/>
        <c:axId val="1674569327"/>
      </c:lineChart>
      <c:catAx>
        <c:axId val="167456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674569327"/>
        <c:crosses val="autoZero"/>
        <c:auto val="1"/>
        <c:lblAlgn val="ctr"/>
        <c:lblOffset val="100"/>
        <c:noMultiLvlLbl val="0"/>
      </c:catAx>
      <c:valAx>
        <c:axId val="167456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674566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xcess Notes'!A1"/><Relationship Id="rId2" Type="http://schemas.openxmlformats.org/officeDocument/2006/relationships/hyperlink" Target="#'Angbao Trends'!A1"/><Relationship Id="rId1" Type="http://schemas.openxmlformats.org/officeDocument/2006/relationships/hyperlink" Target="#'Supply Costs'!A1"/><Relationship Id="rId5" Type="http://schemas.openxmlformats.org/officeDocument/2006/relationships/image" Target="../media/image1.png"/><Relationship Id="rId4" Type="http://schemas.openxmlformats.org/officeDocument/2006/relationships/hyperlink" Target="#'Money Marke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hyperlink" Target="#'Excess Notes'!A1"/><Relationship Id="rId7" Type="http://schemas.openxmlformats.org/officeDocument/2006/relationships/chart" Target="../charts/chart2.xml"/><Relationship Id="rId2" Type="http://schemas.openxmlformats.org/officeDocument/2006/relationships/hyperlink" Target="#'Angbao Trends'!A1"/><Relationship Id="rId1" Type="http://schemas.openxmlformats.org/officeDocument/2006/relationships/hyperlink" Target="#'Supply Costs'!A1"/><Relationship Id="rId6" Type="http://schemas.openxmlformats.org/officeDocument/2006/relationships/chart" Target="../charts/chart1.xml"/><Relationship Id="rId5" Type="http://schemas.openxmlformats.org/officeDocument/2006/relationships/hyperlink" Target="#Home!A1"/><Relationship Id="rId4" Type="http://schemas.openxmlformats.org/officeDocument/2006/relationships/hyperlink" Target="#'Money Market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Supply Costs'!A1"/><Relationship Id="rId7" Type="http://schemas.openxmlformats.org/officeDocument/2006/relationships/hyperlink" Target="#Home!A1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hyperlink" Target="#'Money Market'!A1"/><Relationship Id="rId5" Type="http://schemas.openxmlformats.org/officeDocument/2006/relationships/hyperlink" Target="#'Excess Notes'!A1"/><Relationship Id="rId4" Type="http://schemas.openxmlformats.org/officeDocument/2006/relationships/hyperlink" Target="#'Angbao Trend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Excess Notes'!A1"/><Relationship Id="rId7" Type="http://schemas.openxmlformats.org/officeDocument/2006/relationships/chart" Target="../charts/chart7.xml"/><Relationship Id="rId2" Type="http://schemas.openxmlformats.org/officeDocument/2006/relationships/hyperlink" Target="#'Angbao Trends'!A1"/><Relationship Id="rId1" Type="http://schemas.openxmlformats.org/officeDocument/2006/relationships/hyperlink" Target="#'Supply Costs'!A1"/><Relationship Id="rId6" Type="http://schemas.openxmlformats.org/officeDocument/2006/relationships/chart" Target="../charts/chart6.xml"/><Relationship Id="rId5" Type="http://schemas.openxmlformats.org/officeDocument/2006/relationships/hyperlink" Target="#Home!A1"/><Relationship Id="rId4" Type="http://schemas.openxmlformats.org/officeDocument/2006/relationships/hyperlink" Target="#'Money Market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Excess Notes'!A1"/><Relationship Id="rId7" Type="http://schemas.openxmlformats.org/officeDocument/2006/relationships/chart" Target="../charts/chart9.xml"/><Relationship Id="rId2" Type="http://schemas.openxmlformats.org/officeDocument/2006/relationships/hyperlink" Target="#'Angbao Trends'!A1"/><Relationship Id="rId1" Type="http://schemas.openxmlformats.org/officeDocument/2006/relationships/hyperlink" Target="#'Supply Costs'!A1"/><Relationship Id="rId6" Type="http://schemas.openxmlformats.org/officeDocument/2006/relationships/hyperlink" Target="#Home!A1"/><Relationship Id="rId5" Type="http://schemas.openxmlformats.org/officeDocument/2006/relationships/chart" Target="../charts/chart8.xml"/><Relationship Id="rId4" Type="http://schemas.openxmlformats.org/officeDocument/2006/relationships/hyperlink" Target="#'Money Marke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1190745</xdr:colOff>
      <xdr:row>10</xdr:row>
      <xdr:rowOff>169265</xdr:rowOff>
    </xdr:from>
    <xdr:to>
      <xdr:col>6</xdr:col>
      <xdr:colOff>1274565</xdr:colOff>
      <xdr:row>12</xdr:row>
      <xdr:rowOff>152345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950613" y="2334949"/>
          <a:ext cx="1933676" cy="384133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Supply</a:t>
          </a:r>
          <a:r>
            <a:rPr lang="en-IN" sz="1800" baseline="0">
              <a:solidFill>
                <a:schemeClr val="bg1"/>
              </a:solidFill>
              <a:latin typeface="+mj-lt"/>
            </a:rPr>
            <a:t> Costs</a:t>
          </a:r>
          <a:endParaRPr lang="en-IN" sz="18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</xdr:col>
      <xdr:colOff>206722</xdr:colOff>
      <xdr:row>10</xdr:row>
      <xdr:rowOff>170105</xdr:rowOff>
    </xdr:from>
    <xdr:to>
      <xdr:col>3</xdr:col>
      <xdr:colOff>1380097</xdr:colOff>
      <xdr:row>12</xdr:row>
      <xdr:rowOff>151504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7196" y="2335789"/>
          <a:ext cx="1985506" cy="382452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Angbao Trends</a:t>
          </a:r>
        </a:p>
      </xdr:txBody>
    </xdr:sp>
    <xdr:clientData/>
  </xdr:twoCellAnchor>
  <xdr:twoCellAnchor>
    <xdr:from>
      <xdr:col>7</xdr:col>
      <xdr:colOff>201425</xdr:colOff>
      <xdr:row>10</xdr:row>
      <xdr:rowOff>170105</xdr:rowOff>
    </xdr:from>
    <xdr:to>
      <xdr:col>9</xdr:col>
      <xdr:colOff>54122</xdr:colOff>
      <xdr:row>12</xdr:row>
      <xdr:rowOff>151504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94780" y="2335789"/>
          <a:ext cx="1908092" cy="382452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Excess Notes</a:t>
          </a:r>
        </a:p>
      </xdr:txBody>
    </xdr:sp>
    <xdr:clientData/>
  </xdr:twoCellAnchor>
  <xdr:twoCellAnchor>
    <xdr:from>
      <xdr:col>4</xdr:col>
      <xdr:colOff>306955</xdr:colOff>
      <xdr:row>10</xdr:row>
      <xdr:rowOff>170105</xdr:rowOff>
    </xdr:from>
    <xdr:to>
      <xdr:col>5</xdr:col>
      <xdr:colOff>880255</xdr:colOff>
      <xdr:row>12</xdr:row>
      <xdr:rowOff>151504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83192" y="2335789"/>
          <a:ext cx="1956931" cy="382452"/>
        </a:xfrm>
        <a:prstGeom prst="round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Money</a:t>
          </a:r>
          <a:r>
            <a:rPr lang="en-IN" sz="1800" baseline="0">
              <a:solidFill>
                <a:schemeClr val="bg1"/>
              </a:solidFill>
              <a:latin typeface="+mj-lt"/>
            </a:rPr>
            <a:t> Market</a:t>
          </a:r>
          <a:endParaRPr lang="en-IN" sz="18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2</xdr:col>
      <xdr:colOff>1401</xdr:colOff>
      <xdr:row>13</xdr:row>
      <xdr:rowOff>60428</xdr:rowOff>
    </xdr:from>
    <xdr:to>
      <xdr:col>3</xdr:col>
      <xdr:colOff>1342581</xdr:colOff>
      <xdr:row>18</xdr:row>
      <xdr:rowOff>149828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92427" y="2827691"/>
          <a:ext cx="1942759" cy="1092032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SG" sz="1100" b="1" baseline="0">
              <a:latin typeface="+mj-lt"/>
            </a:rPr>
            <a:t>Contemporary demand for hongbaos at the micro and macro levels</a:t>
          </a:r>
        </a:p>
        <a:p>
          <a:pPr algn="ctr"/>
          <a:endParaRPr lang="en-SG" sz="1100" b="1" baseline="0">
            <a:latin typeface="+mj-lt"/>
          </a:endParaRPr>
        </a:p>
        <a:p>
          <a:pPr algn="ctr"/>
          <a:r>
            <a:rPr lang="en-SG" sz="1100" b="1" baseline="0">
              <a:latin typeface="+mj-lt"/>
            </a:rPr>
            <a:t>Forecasted demand for physical vs e-hongbaos</a:t>
          </a:r>
          <a:endParaRPr lang="en-SG" sz="1100" b="1">
            <a:latin typeface="+mj-lt"/>
          </a:endParaRPr>
        </a:p>
      </xdr:txBody>
    </xdr:sp>
    <xdr:clientData/>
  </xdr:twoCellAnchor>
  <xdr:twoCellAnchor>
    <xdr:from>
      <xdr:col>4</xdr:col>
      <xdr:colOff>310389</xdr:colOff>
      <xdr:row>13</xdr:row>
      <xdr:rowOff>60428</xdr:rowOff>
    </xdr:from>
    <xdr:to>
      <xdr:col>5</xdr:col>
      <xdr:colOff>843849</xdr:colOff>
      <xdr:row>18</xdr:row>
      <xdr:rowOff>149828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686626" y="2827691"/>
          <a:ext cx="1917091" cy="1092032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SG" sz="1100" b="1">
              <a:latin typeface="+mj-lt"/>
            </a:rPr>
            <a:t>Components making up money demand</a:t>
          </a:r>
          <a:r>
            <a:rPr lang="en-SG" sz="1100" b="1" baseline="0">
              <a:latin typeface="+mj-lt"/>
            </a:rPr>
            <a:t> in a period and their respective sizes</a:t>
          </a:r>
          <a:endParaRPr lang="en-SG" sz="1100" b="1">
            <a:latin typeface="+mj-lt"/>
          </a:endParaRPr>
        </a:p>
      </xdr:txBody>
    </xdr:sp>
    <xdr:clientData/>
  </xdr:twoCellAnchor>
  <xdr:twoCellAnchor>
    <xdr:from>
      <xdr:col>5</xdr:col>
      <xdr:colOff>1195289</xdr:colOff>
      <xdr:row>13</xdr:row>
      <xdr:rowOff>71174</xdr:rowOff>
    </xdr:from>
    <xdr:to>
      <xdr:col>6</xdr:col>
      <xdr:colOff>1256309</xdr:colOff>
      <xdr:row>18</xdr:row>
      <xdr:rowOff>139082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955157" y="2838437"/>
          <a:ext cx="1910876" cy="10705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SG" sz="1100" b="1">
              <a:latin typeface="+mj-lt"/>
            </a:rPr>
            <a:t>Costs associated with</a:t>
          </a:r>
          <a:r>
            <a:rPr lang="en-SG" sz="1100" b="1" baseline="0">
              <a:latin typeface="+mj-lt"/>
            </a:rPr>
            <a:t> printing, destroying and storing CNY notes on a month-to-month basis</a:t>
          </a:r>
          <a:endParaRPr lang="en-SG" sz="1100" b="1">
            <a:latin typeface="+mj-lt"/>
          </a:endParaRPr>
        </a:p>
      </xdr:txBody>
    </xdr:sp>
    <xdr:clientData/>
  </xdr:twoCellAnchor>
  <xdr:twoCellAnchor>
    <xdr:from>
      <xdr:col>7</xdr:col>
      <xdr:colOff>224117</xdr:colOff>
      <xdr:row>13</xdr:row>
      <xdr:rowOff>60305</xdr:rowOff>
    </xdr:from>
    <xdr:to>
      <xdr:col>9</xdr:col>
      <xdr:colOff>56028</xdr:colOff>
      <xdr:row>18</xdr:row>
      <xdr:rowOff>149952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217472" y="2827568"/>
          <a:ext cx="1887306" cy="1092279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SG" sz="1100" b="1" baseline="0">
              <a:latin typeface="+mj-lt"/>
            </a:rPr>
            <a:t>Number of $2 notes in excess of money demand in the economy</a:t>
          </a:r>
          <a:endParaRPr lang="en-SG" sz="1100" b="1">
            <a:latin typeface="+mj-lt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1</xdr:rowOff>
    </xdr:from>
    <xdr:to>
      <xdr:col>10</xdr:col>
      <xdr:colOff>324939</xdr:colOff>
      <xdr:row>9</xdr:row>
      <xdr:rowOff>133314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"/>
          <a:ext cx="9797143" cy="2131386"/>
        </a:xfrm>
        <a:prstGeom prst="rect">
          <a:avLst/>
        </a:prstGeom>
      </xdr:spPr>
    </xdr:pic>
    <xdr:clientData/>
  </xdr:twoCellAnchor>
  <xdr:twoCellAnchor editAs="absolute">
    <xdr:from>
      <xdr:col>4</xdr:col>
      <xdr:colOff>76183</xdr:colOff>
      <xdr:row>21</xdr:row>
      <xdr:rowOff>169890</xdr:rowOff>
    </xdr:from>
    <xdr:to>
      <xdr:col>4</xdr:col>
      <xdr:colOff>1349308</xdr:colOff>
      <xdr:row>23</xdr:row>
      <xdr:rowOff>34792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448774" y="4524374"/>
          <a:ext cx="12636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RESET</a:t>
          </a:r>
        </a:p>
      </xdr:txBody>
    </xdr:sp>
    <xdr:clientData/>
  </xdr:twoCellAnchor>
  <xdr:twoCellAnchor editAs="absolute">
    <xdr:from>
      <xdr:col>4</xdr:col>
      <xdr:colOff>76183</xdr:colOff>
      <xdr:row>23</xdr:row>
      <xdr:rowOff>53819</xdr:rowOff>
    </xdr:from>
    <xdr:to>
      <xdr:col>4</xdr:col>
      <xdr:colOff>1349308</xdr:colOff>
      <xdr:row>24</xdr:row>
      <xdr:rowOff>22630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448774" y="4806621"/>
          <a:ext cx="12636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UPDATE</a:t>
          </a:r>
        </a:p>
      </xdr:txBody>
    </xdr:sp>
    <xdr:clientData/>
  </xdr:twoCellAnchor>
  <xdr:twoCellAnchor editAs="absolute">
    <xdr:from>
      <xdr:col>4</xdr:col>
      <xdr:colOff>60818</xdr:colOff>
      <xdr:row>25</xdr:row>
      <xdr:rowOff>54640</xdr:rowOff>
    </xdr:from>
    <xdr:to>
      <xdr:col>4</xdr:col>
      <xdr:colOff>1355149</xdr:colOff>
      <xdr:row>26</xdr:row>
      <xdr:rowOff>57478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433409" y="5370456"/>
          <a:ext cx="1294331" cy="265555"/>
        </a:xfrm>
        <a:prstGeom prst="roundRect">
          <a:avLst/>
        </a:prstGeom>
        <a:gradFill flip="none" rotWithShape="1">
          <a:gsLst>
            <a:gs pos="0">
              <a:srgbClr val="7030A0">
                <a:shade val="30000"/>
                <a:satMod val="115000"/>
              </a:srgbClr>
            </a:gs>
            <a:gs pos="50000">
              <a:srgbClr val="7030A0">
                <a:shade val="67500"/>
                <a:satMod val="115000"/>
              </a:srgbClr>
            </a:gs>
            <a:gs pos="100000">
              <a:srgbClr val="7030A0">
                <a:shade val="100000"/>
                <a:satMod val="115000"/>
              </a:srgbClr>
            </a:gs>
          </a:gsLst>
          <a:lin ang="16200000" scaled="1"/>
          <a:tileRect/>
        </a:gra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OPTIMISE</a:t>
          </a:r>
        </a:p>
      </xdr:txBody>
    </xdr:sp>
    <xdr:clientData/>
  </xdr:twoCellAnchor>
  <xdr:twoCellAnchor editAs="absolute">
    <xdr:from>
      <xdr:col>4</xdr:col>
      <xdr:colOff>76183</xdr:colOff>
      <xdr:row>24</xdr:row>
      <xdr:rowOff>57950</xdr:rowOff>
    </xdr:from>
    <xdr:to>
      <xdr:col>4</xdr:col>
      <xdr:colOff>1349308</xdr:colOff>
      <xdr:row>25</xdr:row>
      <xdr:rowOff>16370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448774" y="5086111"/>
          <a:ext cx="12636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FILTER</a:t>
          </a:r>
        </a:p>
      </xdr:txBody>
    </xdr:sp>
    <xdr:clientData/>
  </xdr:twoCellAnchor>
  <xdr:twoCellAnchor>
    <xdr:from>
      <xdr:col>7</xdr:col>
      <xdr:colOff>443949</xdr:colOff>
      <xdr:row>20</xdr:row>
      <xdr:rowOff>6626</xdr:rowOff>
    </xdr:from>
    <xdr:to>
      <xdr:col>9</xdr:col>
      <xdr:colOff>225289</xdr:colOff>
      <xdr:row>20</xdr:row>
      <xdr:rowOff>192156</xdr:rowOff>
    </xdr:to>
    <xdr:sp macro="[0]!Toggle_Protect" textlink="$J$21">
      <xdr:nvSpPr>
        <xdr:cNvPr id="10" name="Rectangle 9">
          <a:extLst>
            <a:ext uri="{FF2B5EF4-FFF2-40B4-BE49-F238E27FC236}">
              <a16:creationId xmlns:a16="http://schemas.microsoft.com/office/drawing/2014/main" id="{275125FC-ABFE-48F1-936B-E62B89A37DBE}"/>
            </a:ext>
          </a:extLst>
        </xdr:cNvPr>
        <xdr:cNvSpPr/>
      </xdr:nvSpPr>
      <xdr:spPr>
        <a:xfrm>
          <a:off x="7606749" y="4161183"/>
          <a:ext cx="1490870" cy="185530"/>
        </a:xfrm>
        <a:prstGeom prst="rect">
          <a:avLst/>
        </a:prstGeom>
        <a:solidFill>
          <a:srgbClr val="FBF1E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FBFCBABD-93A1-4353-9578-9A9433E50BE5}" type="TxLink">
            <a:rPr lang="en-US" sz="1000" b="0" i="1" u="sng" strike="noStrike">
              <a:solidFill>
                <a:sysClr val="windowText" lastClr="000000"/>
              </a:solidFill>
              <a:latin typeface="+mj-lt"/>
              <a:cs typeface="Calibri"/>
            </a:rPr>
            <a:pPr algn="ctr"/>
            <a:t>Unprotect Sheets</a:t>
          </a:fld>
          <a:endParaRPr lang="en-IN" sz="900" i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9</xdr:col>
      <xdr:colOff>231912</xdr:colOff>
      <xdr:row>20</xdr:row>
      <xdr:rowOff>6626</xdr:rowOff>
    </xdr:from>
    <xdr:to>
      <xdr:col>11</xdr:col>
      <xdr:colOff>6627</xdr:colOff>
      <xdr:row>20</xdr:row>
      <xdr:rowOff>192156</xdr:rowOff>
    </xdr:to>
    <xdr:sp macro="[0]!Toggle_Hide" textlink="K21">
      <xdr:nvSpPr>
        <xdr:cNvPr id="16" name="Rectangle 15">
          <a:extLst>
            <a:ext uri="{FF2B5EF4-FFF2-40B4-BE49-F238E27FC236}">
              <a16:creationId xmlns:a16="http://schemas.microsoft.com/office/drawing/2014/main" id="{3BD0ACD4-D237-4549-8927-4768F5861E69}"/>
            </a:ext>
          </a:extLst>
        </xdr:cNvPr>
        <xdr:cNvSpPr/>
      </xdr:nvSpPr>
      <xdr:spPr>
        <a:xfrm>
          <a:off x="9104242" y="4161183"/>
          <a:ext cx="967411" cy="185530"/>
        </a:xfrm>
        <a:prstGeom prst="rect">
          <a:avLst/>
        </a:prstGeom>
        <a:solidFill>
          <a:srgbClr val="FBF1E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38667CC7-C03D-442C-B575-AFF2CEBB200E}" type="TxLink">
            <a:rPr lang="en-US" sz="1000" b="0" i="1" u="sng" strike="noStrike">
              <a:solidFill>
                <a:sysClr val="windowText" lastClr="000000"/>
              </a:solidFill>
              <a:latin typeface="+mj-lt"/>
              <a:cs typeface="Calibri"/>
            </a:rPr>
            <a:pPr algn="ctr"/>
            <a:t>Unhide Sheets</a:t>
          </a:fld>
          <a:endParaRPr lang="en-IN" sz="600" i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267486</xdr:colOff>
      <xdr:row>10</xdr:row>
      <xdr:rowOff>105527</xdr:rowOff>
    </xdr:from>
    <xdr:to>
      <xdr:col>9</xdr:col>
      <xdr:colOff>74783</xdr:colOff>
      <xdr:row>11</xdr:row>
      <xdr:rowOff>211471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041351" y="2431972"/>
          <a:ext cx="1924778" cy="387884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Supply Costs</a:t>
          </a:r>
        </a:p>
      </xdr:txBody>
    </xdr:sp>
    <xdr:clientData/>
  </xdr:twoCellAnchor>
  <xdr:twoCellAnchor editAs="absolute">
    <xdr:from>
      <xdr:col>3</xdr:col>
      <xdr:colOff>1451365</xdr:colOff>
      <xdr:row>10</xdr:row>
      <xdr:rowOff>105527</xdr:rowOff>
    </xdr:from>
    <xdr:to>
      <xdr:col>5</xdr:col>
      <xdr:colOff>188680</xdr:colOff>
      <xdr:row>11</xdr:row>
      <xdr:rowOff>211471</xdr:rowOff>
    </xdr:to>
    <xdr:sp macro="" textlink="">
      <xdr:nvSpPr>
        <xdr:cNvPr id="2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414980" y="2431972"/>
          <a:ext cx="1953835" cy="387884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Angbao Trends</a:t>
          </a:r>
        </a:p>
      </xdr:txBody>
    </xdr:sp>
    <xdr:clientData/>
  </xdr:twoCellAnchor>
  <xdr:twoCellAnchor editAs="absolute">
    <xdr:from>
      <xdr:col>9</xdr:col>
      <xdr:colOff>278485</xdr:colOff>
      <xdr:row>10</xdr:row>
      <xdr:rowOff>105527</xdr:rowOff>
    </xdr:from>
    <xdr:to>
      <xdr:col>11</xdr:col>
      <xdr:colOff>591957</xdr:colOff>
      <xdr:row>11</xdr:row>
      <xdr:rowOff>211471</xdr:rowOff>
    </xdr:to>
    <xdr:sp macro="" textlink="">
      <xdr:nvSpPr>
        <xdr:cNvPr id="7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166021" y="2431972"/>
          <a:ext cx="2178321" cy="387884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Excess Notes</a:t>
          </a:r>
        </a:p>
      </xdr:txBody>
    </xdr:sp>
    <xdr:clientData/>
  </xdr:twoCellAnchor>
  <xdr:twoCellAnchor editAs="absolute">
    <xdr:from>
      <xdr:col>5</xdr:col>
      <xdr:colOff>392383</xdr:colOff>
      <xdr:row>10</xdr:row>
      <xdr:rowOff>105527</xdr:rowOff>
    </xdr:from>
    <xdr:to>
      <xdr:col>7</xdr:col>
      <xdr:colOff>63783</xdr:colOff>
      <xdr:row>11</xdr:row>
      <xdr:rowOff>211471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568708" y="2431972"/>
          <a:ext cx="2272750" cy="387884"/>
        </a:xfrm>
        <a:prstGeom prst="round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Money</a:t>
          </a:r>
          <a:r>
            <a:rPr lang="en-IN" sz="1800" baseline="0">
              <a:solidFill>
                <a:schemeClr val="bg1"/>
              </a:solidFill>
              <a:latin typeface="+mj-lt"/>
            </a:rPr>
            <a:t> Market</a:t>
          </a:r>
          <a:endParaRPr lang="en-IN" sz="1800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absolute">
    <xdr:from>
      <xdr:col>9</xdr:col>
      <xdr:colOff>430609</xdr:colOff>
      <xdr:row>4</xdr:row>
      <xdr:rowOff>163830</xdr:rowOff>
    </xdr:from>
    <xdr:to>
      <xdr:col>10</xdr:col>
      <xdr:colOff>777626</xdr:colOff>
      <xdr:row>5</xdr:row>
      <xdr:rowOff>212078</xdr:rowOff>
    </xdr:to>
    <xdr:sp macro="[0]!Reset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0318145" y="1119847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RESET</a:t>
          </a:r>
        </a:p>
      </xdr:txBody>
    </xdr:sp>
    <xdr:clientData/>
  </xdr:twoCellAnchor>
  <xdr:twoCellAnchor editAs="absolute">
    <xdr:from>
      <xdr:col>9</xdr:col>
      <xdr:colOff>430609</xdr:colOff>
      <xdr:row>6</xdr:row>
      <xdr:rowOff>68401</xdr:rowOff>
    </xdr:from>
    <xdr:to>
      <xdr:col>10</xdr:col>
      <xdr:colOff>777626</xdr:colOff>
      <xdr:row>7</xdr:row>
      <xdr:rowOff>20373</xdr:rowOff>
    </xdr:to>
    <xdr:sp macro="[0]!Updat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318145" y="1456999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UPDATE</a:t>
          </a:r>
        </a:p>
      </xdr:txBody>
    </xdr:sp>
    <xdr:clientData/>
  </xdr:twoCellAnchor>
  <xdr:twoCellAnchor editAs="absolute">
    <xdr:from>
      <xdr:col>11</xdr:col>
      <xdr:colOff>88120</xdr:colOff>
      <xdr:row>6</xdr:row>
      <xdr:rowOff>54636</xdr:rowOff>
    </xdr:from>
    <xdr:to>
      <xdr:col>13</xdr:col>
      <xdr:colOff>247049</xdr:colOff>
      <xdr:row>7</xdr:row>
      <xdr:rowOff>20373</xdr:rowOff>
    </xdr:to>
    <xdr:sp macro="[0]!Optimis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1836695" y="1447044"/>
          <a:ext cx="2192296" cy="265555"/>
        </a:xfrm>
        <a:prstGeom prst="roundRect">
          <a:avLst/>
        </a:prstGeom>
        <a:gradFill flip="none" rotWithShape="1">
          <a:gsLst>
            <a:gs pos="0">
              <a:srgbClr val="7030A0">
                <a:shade val="30000"/>
                <a:satMod val="115000"/>
              </a:srgbClr>
            </a:gs>
            <a:gs pos="50000">
              <a:srgbClr val="7030A0">
                <a:shade val="67500"/>
                <a:satMod val="115000"/>
              </a:srgbClr>
            </a:gs>
            <a:gs pos="100000">
              <a:srgbClr val="7030A0">
                <a:shade val="100000"/>
                <a:satMod val="115000"/>
              </a:srgbClr>
            </a:gs>
          </a:gsLst>
          <a:lin ang="16200000" scaled="1"/>
          <a:tileRect/>
        </a:gra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OPTIMISE</a:t>
          </a:r>
        </a:p>
      </xdr:txBody>
    </xdr:sp>
    <xdr:clientData/>
  </xdr:twoCellAnchor>
  <xdr:twoCellAnchor editAs="absolute">
    <xdr:from>
      <xdr:col>2</xdr:col>
      <xdr:colOff>770278</xdr:colOff>
      <xdr:row>10</xdr:row>
      <xdr:rowOff>105527</xdr:rowOff>
    </xdr:from>
    <xdr:to>
      <xdr:col>3</xdr:col>
      <xdr:colOff>1247662</xdr:colOff>
      <xdr:row>11</xdr:row>
      <xdr:rowOff>211471</xdr:rowOff>
    </xdr:to>
    <xdr:sp macro="" textlink="">
      <xdr:nvSpPr>
        <xdr:cNvPr id="13" name="Rectangle: Rounded Corner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396583" y="2431972"/>
          <a:ext cx="1818504" cy="387884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Home</a:t>
          </a:r>
        </a:p>
      </xdr:txBody>
    </xdr:sp>
    <xdr:clientData/>
  </xdr:twoCellAnchor>
  <xdr:twoCellAnchor>
    <xdr:from>
      <xdr:col>6</xdr:col>
      <xdr:colOff>259977</xdr:colOff>
      <xdr:row>12</xdr:row>
      <xdr:rowOff>0</xdr:rowOff>
    </xdr:from>
    <xdr:to>
      <xdr:col>10</xdr:col>
      <xdr:colOff>268941</xdr:colOff>
      <xdr:row>35</xdr:row>
      <xdr:rowOff>188258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546848</xdr:colOff>
      <xdr:row>12</xdr:row>
      <xdr:rowOff>0</xdr:rowOff>
    </xdr:from>
    <xdr:to>
      <xdr:col>14</xdr:col>
      <xdr:colOff>797859</xdr:colOff>
      <xdr:row>35</xdr:row>
      <xdr:rowOff>188258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144517</xdr:colOff>
      <xdr:row>12</xdr:row>
      <xdr:rowOff>8966</xdr:rowOff>
    </xdr:from>
    <xdr:to>
      <xdr:col>5</xdr:col>
      <xdr:colOff>683173</xdr:colOff>
      <xdr:row>33</xdr:row>
      <xdr:rowOff>45983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9</xdr:col>
      <xdr:colOff>430609</xdr:colOff>
      <xdr:row>7</xdr:row>
      <xdr:rowOff>94305</xdr:rowOff>
    </xdr:from>
    <xdr:to>
      <xdr:col>10</xdr:col>
      <xdr:colOff>777626</xdr:colOff>
      <xdr:row>8</xdr:row>
      <xdr:rowOff>126580</xdr:rowOff>
    </xdr:to>
    <xdr:sp macro="[0]!_xludf.Filter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318145" y="1794151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FILTER</a:t>
          </a:r>
        </a:p>
      </xdr:txBody>
    </xdr:sp>
    <xdr:clientData/>
  </xdr:twoCellAnchor>
  <xdr:twoCellAnchor>
    <xdr:from>
      <xdr:col>3</xdr:col>
      <xdr:colOff>1694247</xdr:colOff>
      <xdr:row>6</xdr:row>
      <xdr:rowOff>36495</xdr:rowOff>
    </xdr:from>
    <xdr:to>
      <xdr:col>4</xdr:col>
      <xdr:colOff>1393233</xdr:colOff>
      <xdr:row>6</xdr:row>
      <xdr:rowOff>288616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46FDAF5-73F2-4AFC-A08A-75CF3388AC12}"/>
            </a:ext>
          </a:extLst>
        </xdr:cNvPr>
        <xdr:cNvGrpSpPr/>
      </xdr:nvGrpSpPr>
      <xdr:grpSpPr>
        <a:xfrm>
          <a:off x="3711306" y="1417060"/>
          <a:ext cx="1581574" cy="252121"/>
          <a:chOff x="3714908" y="1427825"/>
          <a:chExt cx="1583575" cy="252121"/>
        </a:xfrm>
      </xdr:grpSpPr>
      <xdr:sp macro="[0]!SpinButton_Increase" textlink="">
        <xdr:nvSpPr>
          <xdr:cNvPr id="18" name="Isosceles Triangle 17">
            <a:extLst>
              <a:ext uri="{FF2B5EF4-FFF2-40B4-BE49-F238E27FC236}">
                <a16:creationId xmlns:a16="http://schemas.microsoft.com/office/drawing/2014/main" id="{A7A89BAF-E380-438E-82B5-44F939D059D7}"/>
              </a:ext>
            </a:extLst>
          </xdr:cNvPr>
          <xdr:cNvSpPr/>
        </xdr:nvSpPr>
        <xdr:spPr>
          <a:xfrm>
            <a:off x="5146863" y="1427825"/>
            <a:ext cx="151620" cy="11371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SpinButton_Decrease" textlink="">
        <xdr:nvSpPr>
          <xdr:cNvPr id="19" name="Isosceles Triangle 18">
            <a:extLst>
              <a:ext uri="{FF2B5EF4-FFF2-40B4-BE49-F238E27FC236}">
                <a16:creationId xmlns:a16="http://schemas.microsoft.com/office/drawing/2014/main" id="{FFD3867D-2C92-4840-B0F1-18D531EA8DF6}"/>
              </a:ext>
            </a:extLst>
          </xdr:cNvPr>
          <xdr:cNvSpPr/>
        </xdr:nvSpPr>
        <xdr:spPr>
          <a:xfrm rot="10800000">
            <a:off x="5143053" y="1559599"/>
            <a:ext cx="151620" cy="11752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Year_Increase" textlink="">
        <xdr:nvSpPr>
          <xdr:cNvPr id="20" name="Isosceles Triangle 19">
            <a:extLst>
              <a:ext uri="{FF2B5EF4-FFF2-40B4-BE49-F238E27FC236}">
                <a16:creationId xmlns:a16="http://schemas.microsoft.com/office/drawing/2014/main" id="{96BF200A-7C45-4566-9DD2-2138EAFE5045}"/>
              </a:ext>
            </a:extLst>
          </xdr:cNvPr>
          <xdr:cNvSpPr/>
        </xdr:nvSpPr>
        <xdr:spPr>
          <a:xfrm>
            <a:off x="3718718" y="1432114"/>
            <a:ext cx="153525" cy="11371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Year_Decrease" textlink="">
        <xdr:nvSpPr>
          <xdr:cNvPr id="21" name="Isosceles Triangle 20">
            <a:extLst>
              <a:ext uri="{FF2B5EF4-FFF2-40B4-BE49-F238E27FC236}">
                <a16:creationId xmlns:a16="http://schemas.microsoft.com/office/drawing/2014/main" id="{E9863BC0-DEE9-488C-B196-FEE715D2FB57}"/>
              </a:ext>
            </a:extLst>
          </xdr:cNvPr>
          <xdr:cNvSpPr/>
        </xdr:nvSpPr>
        <xdr:spPr>
          <a:xfrm rot="10800000">
            <a:off x="3714908" y="1560586"/>
            <a:ext cx="153524" cy="119360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422607</xdr:colOff>
      <xdr:row>15</xdr:row>
      <xdr:rowOff>218258</xdr:rowOff>
    </xdr:from>
    <xdr:to>
      <xdr:col>6</xdr:col>
      <xdr:colOff>1240271</xdr:colOff>
      <xdr:row>28</xdr:row>
      <xdr:rowOff>12792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21169</xdr:colOff>
      <xdr:row>15</xdr:row>
      <xdr:rowOff>176078</xdr:rowOff>
    </xdr:from>
    <xdr:to>
      <xdr:col>13</xdr:col>
      <xdr:colOff>1125039</xdr:colOff>
      <xdr:row>30</xdr:row>
      <xdr:rowOff>27487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669129</xdr:colOff>
      <xdr:row>10</xdr:row>
      <xdr:rowOff>130639</xdr:rowOff>
    </xdr:from>
    <xdr:to>
      <xdr:col>10</xdr:col>
      <xdr:colOff>363753</xdr:colOff>
      <xdr:row>12</xdr:row>
      <xdr:rowOff>28394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662531" y="2433637"/>
          <a:ext cx="1900027" cy="383530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Supply</a:t>
          </a:r>
          <a:r>
            <a:rPr lang="en-IN" sz="1800" baseline="0">
              <a:solidFill>
                <a:schemeClr val="bg1"/>
              </a:solidFill>
              <a:latin typeface="+mj-lt"/>
            </a:rPr>
            <a:t> Costs</a:t>
          </a:r>
          <a:endParaRPr lang="en-IN" sz="1800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absolute">
    <xdr:from>
      <xdr:col>4</xdr:col>
      <xdr:colOff>760888</xdr:colOff>
      <xdr:row>10</xdr:row>
      <xdr:rowOff>130639</xdr:rowOff>
    </xdr:from>
    <xdr:to>
      <xdr:col>5</xdr:col>
      <xdr:colOff>1163693</xdr:colOff>
      <xdr:row>12</xdr:row>
      <xdr:rowOff>28394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142138" y="2433637"/>
          <a:ext cx="1791403" cy="38353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Angbao Trends</a:t>
          </a:r>
        </a:p>
      </xdr:txBody>
    </xdr:sp>
    <xdr:clientData/>
  </xdr:twoCellAnchor>
  <xdr:twoCellAnchor editAs="absolute">
    <xdr:from>
      <xdr:col>11</xdr:col>
      <xdr:colOff>172380</xdr:colOff>
      <xdr:row>10</xdr:row>
      <xdr:rowOff>143430</xdr:rowOff>
    </xdr:from>
    <xdr:to>
      <xdr:col>12</xdr:col>
      <xdr:colOff>972320</xdr:colOff>
      <xdr:row>12</xdr:row>
      <xdr:rowOff>27033</xdr:rowOff>
    </xdr:to>
    <xdr:sp macro="" textlink="">
      <xdr:nvSpPr>
        <xdr:cNvPr id="3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742660" y="2434998"/>
          <a:ext cx="2078635" cy="380808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Excess Notes</a:t>
          </a:r>
        </a:p>
      </xdr:txBody>
    </xdr:sp>
    <xdr:clientData/>
  </xdr:twoCellAnchor>
  <xdr:twoCellAnchor editAs="absolute">
    <xdr:from>
      <xdr:col>5</xdr:col>
      <xdr:colOff>1351416</xdr:colOff>
      <xdr:row>10</xdr:row>
      <xdr:rowOff>143169</xdr:rowOff>
    </xdr:from>
    <xdr:to>
      <xdr:col>7</xdr:col>
      <xdr:colOff>475691</xdr:colOff>
      <xdr:row>12</xdr:row>
      <xdr:rowOff>27295</xdr:rowOff>
    </xdr:to>
    <xdr:sp macro="" textlink="">
      <xdr:nvSpPr>
        <xdr:cNvPr id="2" name="Rectangle: Rounded Corner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113644" y="2434737"/>
          <a:ext cx="2368784" cy="381331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Money</a:t>
          </a:r>
          <a:r>
            <a:rPr lang="en-IN" sz="1800" baseline="0">
              <a:solidFill>
                <a:schemeClr val="bg1"/>
              </a:solidFill>
              <a:latin typeface="+mj-lt"/>
            </a:rPr>
            <a:t> Market</a:t>
          </a:r>
          <a:endParaRPr lang="en-IN" sz="1800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absolute">
    <xdr:from>
      <xdr:col>3</xdr:col>
      <xdr:colOff>170362</xdr:colOff>
      <xdr:row>10</xdr:row>
      <xdr:rowOff>130639</xdr:rowOff>
    </xdr:from>
    <xdr:to>
      <xdr:col>4</xdr:col>
      <xdr:colOff>588406</xdr:colOff>
      <xdr:row>12</xdr:row>
      <xdr:rowOff>28394</xdr:rowOff>
    </xdr:to>
    <xdr:sp macro="" textlink="">
      <xdr:nvSpPr>
        <xdr:cNvPr id="10" name="Rectangle: Rounded Corner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170634" y="2433637"/>
          <a:ext cx="1791402" cy="383530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Home</a:t>
          </a:r>
        </a:p>
      </xdr:txBody>
    </xdr:sp>
    <xdr:clientData/>
  </xdr:twoCellAnchor>
  <xdr:twoCellAnchor editAs="absolute">
    <xdr:from>
      <xdr:col>10</xdr:col>
      <xdr:colOff>174980</xdr:colOff>
      <xdr:row>5</xdr:row>
      <xdr:rowOff>17962</xdr:rowOff>
    </xdr:from>
    <xdr:to>
      <xdr:col>11</xdr:col>
      <xdr:colOff>1082360</xdr:colOff>
      <xdr:row>6</xdr:row>
      <xdr:rowOff>54048</xdr:rowOff>
    </xdr:to>
    <xdr:sp macro="[0]!Res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373785" y="1179426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RESET</a:t>
          </a:r>
        </a:p>
      </xdr:txBody>
    </xdr:sp>
    <xdr:clientData/>
  </xdr:twoCellAnchor>
  <xdr:twoCellAnchor editAs="absolute">
    <xdr:from>
      <xdr:col>10</xdr:col>
      <xdr:colOff>174980</xdr:colOff>
      <xdr:row>6</xdr:row>
      <xdr:rowOff>148706</xdr:rowOff>
    </xdr:from>
    <xdr:to>
      <xdr:col>11</xdr:col>
      <xdr:colOff>1082360</xdr:colOff>
      <xdr:row>7</xdr:row>
      <xdr:rowOff>99066</xdr:rowOff>
    </xdr:to>
    <xdr:sp macro="[0]!Upd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9373785" y="1533494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UPDATE</a:t>
          </a:r>
        </a:p>
      </xdr:txBody>
    </xdr:sp>
    <xdr:clientData/>
  </xdr:twoCellAnchor>
  <xdr:twoCellAnchor editAs="absolute">
    <xdr:from>
      <xdr:col>12</xdr:col>
      <xdr:colOff>19834</xdr:colOff>
      <xdr:row>6</xdr:row>
      <xdr:rowOff>131676</xdr:rowOff>
    </xdr:from>
    <xdr:to>
      <xdr:col>13</xdr:col>
      <xdr:colOff>892821</xdr:colOff>
      <xdr:row>7</xdr:row>
      <xdr:rowOff>99066</xdr:rowOff>
    </xdr:to>
    <xdr:sp macro="[0]!Optimise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868809" y="1520274"/>
          <a:ext cx="2237700" cy="268820"/>
        </a:xfrm>
        <a:prstGeom prst="roundRect">
          <a:avLst/>
        </a:prstGeom>
        <a:gradFill flip="none" rotWithShape="1">
          <a:gsLst>
            <a:gs pos="0">
              <a:srgbClr val="7030A0">
                <a:shade val="30000"/>
                <a:satMod val="115000"/>
              </a:srgbClr>
            </a:gs>
            <a:gs pos="50000">
              <a:srgbClr val="7030A0">
                <a:shade val="67500"/>
                <a:satMod val="115000"/>
              </a:srgbClr>
            </a:gs>
            <a:gs pos="100000">
              <a:srgbClr val="7030A0">
                <a:shade val="100000"/>
                <a:satMod val="115000"/>
              </a:srgbClr>
            </a:gs>
          </a:gsLst>
          <a:lin ang="16200000" scaled="1"/>
          <a:tileRect/>
        </a:gra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OPTIMISE</a:t>
          </a:r>
        </a:p>
      </xdr:txBody>
    </xdr:sp>
    <xdr:clientData/>
  </xdr:twoCellAnchor>
  <xdr:twoCellAnchor editAs="absolute">
    <xdr:from>
      <xdr:col>10</xdr:col>
      <xdr:colOff>174980</xdr:colOff>
      <xdr:row>7</xdr:row>
      <xdr:rowOff>204715</xdr:rowOff>
    </xdr:from>
    <xdr:to>
      <xdr:col>11</xdr:col>
      <xdr:colOff>1082360</xdr:colOff>
      <xdr:row>9</xdr:row>
      <xdr:rowOff>28173</xdr:rowOff>
    </xdr:to>
    <xdr:sp macro="[0]!_xludf.Filter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373785" y="1887563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FILTER</a:t>
          </a:r>
        </a:p>
      </xdr:txBody>
    </xdr:sp>
    <xdr:clientData/>
  </xdr:twoCellAnchor>
  <xdr:twoCellAnchor>
    <xdr:from>
      <xdr:col>3</xdr:col>
      <xdr:colOff>1205294</xdr:colOff>
      <xdr:row>6</xdr:row>
      <xdr:rowOff>26093</xdr:rowOff>
    </xdr:from>
    <xdr:to>
      <xdr:col>4</xdr:col>
      <xdr:colOff>1392587</xdr:colOff>
      <xdr:row>6</xdr:row>
      <xdr:rowOff>285751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CE571E7-27A0-49ED-BCE4-A8197680A313}"/>
            </a:ext>
          </a:extLst>
        </xdr:cNvPr>
        <xdr:cNvGrpSpPr/>
      </xdr:nvGrpSpPr>
      <xdr:grpSpPr>
        <a:xfrm>
          <a:off x="2228551" y="1408579"/>
          <a:ext cx="1602436" cy="259658"/>
          <a:chOff x="3714908" y="1427825"/>
          <a:chExt cx="1583575" cy="252121"/>
        </a:xfrm>
      </xdr:grpSpPr>
      <xdr:sp macro="[0]!SpinButton_Increase" textlink="">
        <xdr:nvSpPr>
          <xdr:cNvPr id="21" name="Isosceles Triangle 20">
            <a:extLst>
              <a:ext uri="{FF2B5EF4-FFF2-40B4-BE49-F238E27FC236}">
                <a16:creationId xmlns:a16="http://schemas.microsoft.com/office/drawing/2014/main" id="{08D11C44-42AC-4499-8AA4-D3FB08B58007}"/>
              </a:ext>
            </a:extLst>
          </xdr:cNvPr>
          <xdr:cNvSpPr/>
        </xdr:nvSpPr>
        <xdr:spPr>
          <a:xfrm>
            <a:off x="5146863" y="1427825"/>
            <a:ext cx="151620" cy="11371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SpinButton_Decrease" textlink="">
        <xdr:nvSpPr>
          <xdr:cNvPr id="22" name="Isosceles Triangle 21">
            <a:extLst>
              <a:ext uri="{FF2B5EF4-FFF2-40B4-BE49-F238E27FC236}">
                <a16:creationId xmlns:a16="http://schemas.microsoft.com/office/drawing/2014/main" id="{F26455AA-11B7-4492-A72D-709FC864D11F}"/>
              </a:ext>
            </a:extLst>
          </xdr:cNvPr>
          <xdr:cNvSpPr/>
        </xdr:nvSpPr>
        <xdr:spPr>
          <a:xfrm rot="10800000">
            <a:off x="5143053" y="1559599"/>
            <a:ext cx="151620" cy="11752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Year_Increase" textlink="">
        <xdr:nvSpPr>
          <xdr:cNvPr id="23" name="Isosceles Triangle 22">
            <a:extLst>
              <a:ext uri="{FF2B5EF4-FFF2-40B4-BE49-F238E27FC236}">
                <a16:creationId xmlns:a16="http://schemas.microsoft.com/office/drawing/2014/main" id="{78E4E102-5843-4E71-B731-7F70A98CF72E}"/>
              </a:ext>
            </a:extLst>
          </xdr:cNvPr>
          <xdr:cNvSpPr/>
        </xdr:nvSpPr>
        <xdr:spPr>
          <a:xfrm>
            <a:off x="3718718" y="1432114"/>
            <a:ext cx="153525" cy="11371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Year_Decrease" textlink="">
        <xdr:nvSpPr>
          <xdr:cNvPr id="24" name="Isosceles Triangle 23">
            <a:extLst>
              <a:ext uri="{FF2B5EF4-FFF2-40B4-BE49-F238E27FC236}">
                <a16:creationId xmlns:a16="http://schemas.microsoft.com/office/drawing/2014/main" id="{A2693A7B-EC9A-4C06-A80B-3E68B2A8EC61}"/>
              </a:ext>
            </a:extLst>
          </xdr:cNvPr>
          <xdr:cNvSpPr/>
        </xdr:nvSpPr>
        <xdr:spPr>
          <a:xfrm rot="10800000">
            <a:off x="3714908" y="1560586"/>
            <a:ext cx="153524" cy="119360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1278329</xdr:colOff>
      <xdr:row>10</xdr:row>
      <xdr:rowOff>149405</xdr:rowOff>
    </xdr:from>
    <xdr:to>
      <xdr:col>11</xdr:col>
      <xdr:colOff>1005898</xdr:colOff>
      <xdr:row>12</xdr:row>
      <xdr:rowOff>53502</xdr:rowOff>
    </xdr:to>
    <xdr:sp macro="" textlink="">
      <xdr:nvSpPr>
        <xdr:cNvPr id="2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7754" y="2403984"/>
          <a:ext cx="2090062" cy="39147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Supply Costs</a:t>
          </a:r>
        </a:p>
      </xdr:txBody>
    </xdr:sp>
    <xdr:clientData/>
  </xdr:twoCellAnchor>
  <xdr:twoCellAnchor editAs="absolute">
    <xdr:from>
      <xdr:col>4</xdr:col>
      <xdr:colOff>1051013</xdr:colOff>
      <xdr:row>10</xdr:row>
      <xdr:rowOff>149440</xdr:rowOff>
    </xdr:from>
    <xdr:to>
      <xdr:col>6</xdr:col>
      <xdr:colOff>73927</xdr:colOff>
      <xdr:row>12</xdr:row>
      <xdr:rowOff>53468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436073" y="2404019"/>
          <a:ext cx="1788681" cy="391401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Angbao Trends</a:t>
          </a:r>
        </a:p>
      </xdr:txBody>
    </xdr:sp>
    <xdr:clientData/>
  </xdr:twoCellAnchor>
  <xdr:twoCellAnchor editAs="absolute">
    <xdr:from>
      <xdr:col>11</xdr:col>
      <xdr:colOff>1181165</xdr:colOff>
      <xdr:row>10</xdr:row>
      <xdr:rowOff>149405</xdr:rowOff>
    </xdr:from>
    <xdr:to>
      <xdr:col>13</xdr:col>
      <xdr:colOff>758439</xdr:colOff>
      <xdr:row>12</xdr:row>
      <xdr:rowOff>53502</xdr:rowOff>
    </xdr:to>
    <xdr:sp macro="" textlink="">
      <xdr:nvSpPr>
        <xdr:cNvPr id="11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0090703" y="2403984"/>
          <a:ext cx="2127044" cy="391470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Excess Notes</a:t>
          </a:r>
        </a:p>
      </xdr:txBody>
    </xdr:sp>
    <xdr:clientData/>
  </xdr:twoCellAnchor>
  <xdr:twoCellAnchor editAs="absolute">
    <xdr:from>
      <xdr:col>6</xdr:col>
      <xdr:colOff>247288</xdr:colOff>
      <xdr:row>10</xdr:row>
      <xdr:rowOff>149440</xdr:rowOff>
    </xdr:from>
    <xdr:to>
      <xdr:col>7</xdr:col>
      <xdr:colOff>1087823</xdr:colOff>
      <xdr:row>12</xdr:row>
      <xdr:rowOff>53468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407640" y="2404019"/>
          <a:ext cx="2227228" cy="391401"/>
        </a:xfrm>
        <a:prstGeom prst="round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Money</a:t>
          </a:r>
          <a:r>
            <a:rPr lang="en-IN" sz="1800" baseline="0">
              <a:solidFill>
                <a:schemeClr val="bg1"/>
              </a:solidFill>
              <a:latin typeface="+mj-lt"/>
            </a:rPr>
            <a:t> Market</a:t>
          </a:r>
          <a:endParaRPr lang="en-IN" sz="1800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absolute">
    <xdr:from>
      <xdr:col>9</xdr:col>
      <xdr:colOff>206012</xdr:colOff>
      <xdr:row>5</xdr:row>
      <xdr:rowOff>21404</xdr:rowOff>
    </xdr:from>
    <xdr:to>
      <xdr:col>11</xdr:col>
      <xdr:colOff>1047450</xdr:colOff>
      <xdr:row>6</xdr:row>
      <xdr:rowOff>53680</xdr:rowOff>
    </xdr:to>
    <xdr:sp macro="[0]!Rese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657178" y="1186678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RESET</a:t>
          </a:r>
        </a:p>
      </xdr:txBody>
    </xdr:sp>
    <xdr:clientData/>
  </xdr:twoCellAnchor>
  <xdr:twoCellAnchor editAs="absolute">
    <xdr:from>
      <xdr:col>9</xdr:col>
      <xdr:colOff>206012</xdr:colOff>
      <xdr:row>6</xdr:row>
      <xdr:rowOff>133062</xdr:rowOff>
    </xdr:from>
    <xdr:to>
      <xdr:col>11</xdr:col>
      <xdr:colOff>1047450</xdr:colOff>
      <xdr:row>7</xdr:row>
      <xdr:rowOff>112366</xdr:rowOff>
    </xdr:to>
    <xdr:sp macro="[0]!Updat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8657178" y="1521660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UPDATE</a:t>
          </a:r>
        </a:p>
      </xdr:txBody>
    </xdr:sp>
    <xdr:clientData/>
  </xdr:twoCellAnchor>
  <xdr:twoCellAnchor editAs="absolute">
    <xdr:from>
      <xdr:col>11</xdr:col>
      <xdr:colOff>1240476</xdr:colOff>
      <xdr:row>6</xdr:row>
      <xdr:rowOff>130727</xdr:rowOff>
    </xdr:from>
    <xdr:to>
      <xdr:col>13</xdr:col>
      <xdr:colOff>916962</xdr:colOff>
      <xdr:row>7</xdr:row>
      <xdr:rowOff>112366</xdr:rowOff>
    </xdr:to>
    <xdr:sp macro="[0]!Optimis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0157634" y="1511705"/>
          <a:ext cx="2218636" cy="265555"/>
        </a:xfrm>
        <a:prstGeom prst="roundRect">
          <a:avLst/>
        </a:prstGeom>
        <a:gradFill flip="none" rotWithShape="1">
          <a:gsLst>
            <a:gs pos="0">
              <a:srgbClr val="7030A0">
                <a:shade val="30000"/>
                <a:satMod val="115000"/>
              </a:srgbClr>
            </a:gs>
            <a:gs pos="50000">
              <a:srgbClr val="7030A0">
                <a:shade val="67500"/>
                <a:satMod val="115000"/>
              </a:srgbClr>
            </a:gs>
            <a:gs pos="100000">
              <a:srgbClr val="7030A0">
                <a:shade val="100000"/>
                <a:satMod val="115000"/>
              </a:srgbClr>
            </a:gs>
          </a:gsLst>
          <a:lin ang="16200000" scaled="1"/>
          <a:tileRect/>
        </a:gra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OPTIMISE</a:t>
          </a:r>
        </a:p>
      </xdr:txBody>
    </xdr:sp>
    <xdr:clientData/>
  </xdr:twoCellAnchor>
  <xdr:twoCellAnchor editAs="absolute">
    <xdr:from>
      <xdr:col>3</xdr:col>
      <xdr:colOff>440641</xdr:colOff>
      <xdr:row>10</xdr:row>
      <xdr:rowOff>149440</xdr:rowOff>
    </xdr:from>
    <xdr:to>
      <xdr:col>4</xdr:col>
      <xdr:colOff>860507</xdr:colOff>
      <xdr:row>12</xdr:row>
      <xdr:rowOff>53468</xdr:rowOff>
    </xdr:to>
    <xdr:sp macro="" textlink="">
      <xdr:nvSpPr>
        <xdr:cNvPr id="10" name="Rectangle: Rounded Corner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448533" y="2404019"/>
          <a:ext cx="1804654" cy="391401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Home</a:t>
          </a:r>
        </a:p>
      </xdr:txBody>
    </xdr:sp>
    <xdr:clientData/>
  </xdr:twoCellAnchor>
  <xdr:twoCellAnchor>
    <xdr:from>
      <xdr:col>11</xdr:col>
      <xdr:colOff>286873</xdr:colOff>
      <xdr:row>17</xdr:row>
      <xdr:rowOff>197223</xdr:rowOff>
    </xdr:from>
    <xdr:to>
      <xdr:col>13</xdr:col>
      <xdr:colOff>1102659</xdr:colOff>
      <xdr:row>36</xdr:row>
      <xdr:rowOff>80683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8965</xdr:colOff>
      <xdr:row>15</xdr:row>
      <xdr:rowOff>188259</xdr:rowOff>
    </xdr:from>
    <xdr:to>
      <xdr:col>9</xdr:col>
      <xdr:colOff>4655</xdr:colOff>
      <xdr:row>36</xdr:row>
      <xdr:rowOff>188260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9</xdr:col>
      <xdr:colOff>206012</xdr:colOff>
      <xdr:row>8</xdr:row>
      <xdr:rowOff>8213</xdr:rowOff>
    </xdr:from>
    <xdr:to>
      <xdr:col>11</xdr:col>
      <xdr:colOff>1047450</xdr:colOff>
      <xdr:row>9</xdr:row>
      <xdr:rowOff>73607</xdr:rowOff>
    </xdr:to>
    <xdr:sp macro="[0]!_xludf.Filter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657178" y="1878555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FILTER</a:t>
          </a:r>
        </a:p>
      </xdr:txBody>
    </xdr:sp>
    <xdr:clientData/>
  </xdr:twoCellAnchor>
  <xdr:twoCellAnchor>
    <xdr:from>
      <xdr:col>3</xdr:col>
      <xdr:colOff>1233139</xdr:colOff>
      <xdr:row>6</xdr:row>
      <xdr:rowOff>16597</xdr:rowOff>
    </xdr:from>
    <xdr:to>
      <xdr:col>4</xdr:col>
      <xdr:colOff>1388023</xdr:colOff>
      <xdr:row>6</xdr:row>
      <xdr:rowOff>263506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F91142A9-38A5-4A75-BD3A-6FE1F1650F60}"/>
            </a:ext>
          </a:extLst>
        </xdr:cNvPr>
        <xdr:cNvGrpSpPr/>
      </xdr:nvGrpSpPr>
      <xdr:grpSpPr>
        <a:xfrm>
          <a:off x="2246151" y="1397162"/>
          <a:ext cx="1571307" cy="246909"/>
          <a:chOff x="3716812" y="1427825"/>
          <a:chExt cx="1579767" cy="252122"/>
        </a:xfrm>
      </xdr:grpSpPr>
      <xdr:sp macro="[0]!SpinButton_Increase" textlink="">
        <xdr:nvSpPr>
          <xdr:cNvPr id="25" name="Isosceles Triangle 24">
            <a:extLst>
              <a:ext uri="{FF2B5EF4-FFF2-40B4-BE49-F238E27FC236}">
                <a16:creationId xmlns:a16="http://schemas.microsoft.com/office/drawing/2014/main" id="{98341AB8-69DD-46B6-AA92-5E86308DDDE8}"/>
              </a:ext>
            </a:extLst>
          </xdr:cNvPr>
          <xdr:cNvSpPr/>
        </xdr:nvSpPr>
        <xdr:spPr>
          <a:xfrm>
            <a:off x="5144958" y="1427825"/>
            <a:ext cx="151620" cy="11371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SpinButton_Decrease" textlink="">
        <xdr:nvSpPr>
          <xdr:cNvPr id="26" name="Isosceles Triangle 25">
            <a:extLst>
              <a:ext uri="{FF2B5EF4-FFF2-40B4-BE49-F238E27FC236}">
                <a16:creationId xmlns:a16="http://schemas.microsoft.com/office/drawing/2014/main" id="{11128D41-53EF-4274-8973-CCC3DEFB4D3D}"/>
              </a:ext>
            </a:extLst>
          </xdr:cNvPr>
          <xdr:cNvSpPr/>
        </xdr:nvSpPr>
        <xdr:spPr>
          <a:xfrm rot="10800000">
            <a:off x="5144959" y="1562422"/>
            <a:ext cx="151620" cy="11752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Year_Increase" textlink="">
        <xdr:nvSpPr>
          <xdr:cNvPr id="27" name="Isosceles Triangle 26">
            <a:extLst>
              <a:ext uri="{FF2B5EF4-FFF2-40B4-BE49-F238E27FC236}">
                <a16:creationId xmlns:a16="http://schemas.microsoft.com/office/drawing/2014/main" id="{11132495-DF19-48A0-BE82-1AA6B969A293}"/>
              </a:ext>
            </a:extLst>
          </xdr:cNvPr>
          <xdr:cNvSpPr/>
        </xdr:nvSpPr>
        <xdr:spPr>
          <a:xfrm>
            <a:off x="3716812" y="1427825"/>
            <a:ext cx="153525" cy="11371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Year_Decrease" textlink="">
        <xdr:nvSpPr>
          <xdr:cNvPr id="28" name="Isosceles Triangle 27">
            <a:extLst>
              <a:ext uri="{FF2B5EF4-FFF2-40B4-BE49-F238E27FC236}">
                <a16:creationId xmlns:a16="http://schemas.microsoft.com/office/drawing/2014/main" id="{106B03E8-591D-4787-B1B8-16A5AC96EA09}"/>
              </a:ext>
            </a:extLst>
          </xdr:cNvPr>
          <xdr:cNvSpPr/>
        </xdr:nvSpPr>
        <xdr:spPr>
          <a:xfrm rot="10800000">
            <a:off x="3716814" y="1560586"/>
            <a:ext cx="153524" cy="119360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303145</xdr:colOff>
      <xdr:row>10</xdr:row>
      <xdr:rowOff>171110</xdr:rowOff>
    </xdr:from>
    <xdr:to>
      <xdr:col>7</xdr:col>
      <xdr:colOff>783006</xdr:colOff>
      <xdr:row>12</xdr:row>
      <xdr:rowOff>59612</xdr:rowOff>
    </xdr:to>
    <xdr:sp macro="" textlink="">
      <xdr:nvSpPr>
        <xdr:cNvPr id="17" name="Rectangle: Rounded Corners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7938651" y="2400980"/>
          <a:ext cx="1914697" cy="383988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Supply</a:t>
          </a:r>
          <a:r>
            <a:rPr lang="en-IN" sz="1800" baseline="0">
              <a:solidFill>
                <a:schemeClr val="bg1"/>
              </a:solidFill>
              <a:latin typeface="+mj-lt"/>
            </a:rPr>
            <a:t> Costs</a:t>
          </a:r>
          <a:endParaRPr lang="en-IN" sz="1800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absolute">
    <xdr:from>
      <xdr:col>3</xdr:col>
      <xdr:colOff>1578461</xdr:colOff>
      <xdr:row>10</xdr:row>
      <xdr:rowOff>169205</xdr:rowOff>
    </xdr:from>
    <xdr:to>
      <xdr:col>4</xdr:col>
      <xdr:colOff>1579038</xdr:colOff>
      <xdr:row>12</xdr:row>
      <xdr:rowOff>72947</xdr:rowOff>
    </xdr:to>
    <xdr:sp macro="" textlink="">
      <xdr:nvSpPr>
        <xdr:cNvPr id="18" name="Rectangle: Rounded Corners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307322" y="2401041"/>
          <a:ext cx="1773399" cy="385414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Angbao Trends</a:t>
          </a:r>
        </a:p>
      </xdr:txBody>
    </xdr:sp>
    <xdr:clientData/>
  </xdr:twoCellAnchor>
  <xdr:twoCellAnchor editAs="absolute">
    <xdr:from>
      <xdr:col>7</xdr:col>
      <xdr:colOff>992843</xdr:colOff>
      <xdr:row>10</xdr:row>
      <xdr:rowOff>169205</xdr:rowOff>
    </xdr:from>
    <xdr:to>
      <xdr:col>9</xdr:col>
      <xdr:colOff>275659</xdr:colOff>
      <xdr:row>12</xdr:row>
      <xdr:rowOff>72947</xdr:rowOff>
    </xdr:to>
    <xdr:sp macro="" textlink="">
      <xdr:nvSpPr>
        <xdr:cNvPr id="19" name="Rectangle: Rounded Corner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9844504" y="2401041"/>
          <a:ext cx="1933980" cy="385414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Excess Notes</a:t>
          </a:r>
        </a:p>
      </xdr:txBody>
    </xdr:sp>
    <xdr:clientData/>
  </xdr:twoCellAnchor>
  <xdr:twoCellAnchor editAs="absolute">
    <xdr:from>
      <xdr:col>4</xdr:col>
      <xdr:colOff>1779351</xdr:colOff>
      <xdr:row>10</xdr:row>
      <xdr:rowOff>169205</xdr:rowOff>
    </xdr:from>
    <xdr:to>
      <xdr:col>6</xdr:col>
      <xdr:colOff>95212</xdr:colOff>
      <xdr:row>12</xdr:row>
      <xdr:rowOff>72947</xdr:rowOff>
    </xdr:to>
    <xdr:sp macro="" textlink="">
      <xdr:nvSpPr>
        <xdr:cNvPr id="20" name="Rectangle: Rounded Corners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5301989" y="2401041"/>
          <a:ext cx="2232399" cy="385414"/>
        </a:xfrm>
        <a:prstGeom prst="round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Money</a:t>
          </a:r>
          <a:r>
            <a:rPr lang="en-IN" sz="1800" baseline="0">
              <a:solidFill>
                <a:schemeClr val="bg1"/>
              </a:solidFill>
              <a:latin typeface="+mj-lt"/>
            </a:rPr>
            <a:t> Market</a:t>
          </a:r>
          <a:endParaRPr lang="en-IN" sz="1800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absolute">
    <xdr:from>
      <xdr:col>9</xdr:col>
      <xdr:colOff>318115</xdr:colOff>
      <xdr:row>4</xdr:row>
      <xdr:rowOff>152400</xdr:rowOff>
    </xdr:from>
    <xdr:to>
      <xdr:col>11</xdr:col>
      <xdr:colOff>465986</xdr:colOff>
      <xdr:row>5</xdr:row>
      <xdr:rowOff>206363</xdr:rowOff>
    </xdr:to>
    <xdr:sp macro="[0]!Rese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1811415" y="1112227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RESET</a:t>
          </a:r>
        </a:p>
      </xdr:txBody>
    </xdr:sp>
    <xdr:clientData/>
  </xdr:twoCellAnchor>
  <xdr:twoCellAnchor editAs="absolute">
    <xdr:from>
      <xdr:col>8</xdr:col>
      <xdr:colOff>139044</xdr:colOff>
      <xdr:row>13</xdr:row>
      <xdr:rowOff>74293</xdr:rowOff>
    </xdr:from>
    <xdr:to>
      <xdr:col>13</xdr:col>
      <xdr:colOff>394239</xdr:colOff>
      <xdr:row>35</xdr:row>
      <xdr:rowOff>74292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318115</xdr:colOff>
      <xdr:row>6</xdr:row>
      <xdr:rowOff>76698</xdr:rowOff>
    </xdr:from>
    <xdr:to>
      <xdr:col>11</xdr:col>
      <xdr:colOff>465986</xdr:colOff>
      <xdr:row>7</xdr:row>
      <xdr:rowOff>73309</xdr:rowOff>
    </xdr:to>
    <xdr:sp macro="[0]!Updat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811415" y="1461486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UPDATE</a:t>
          </a:r>
        </a:p>
      </xdr:txBody>
    </xdr:sp>
    <xdr:clientData/>
  </xdr:twoCellAnchor>
  <xdr:twoCellAnchor editAs="absolute">
    <xdr:from>
      <xdr:col>12</xdr:col>
      <xdr:colOff>184662</xdr:colOff>
      <xdr:row>6</xdr:row>
      <xdr:rowOff>59668</xdr:rowOff>
    </xdr:from>
    <xdr:to>
      <xdr:col>16</xdr:col>
      <xdr:colOff>70587</xdr:colOff>
      <xdr:row>7</xdr:row>
      <xdr:rowOff>73309</xdr:rowOff>
    </xdr:to>
    <xdr:sp macro="[0]!Optimis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3406823" y="1448266"/>
          <a:ext cx="2185991" cy="268820"/>
        </a:xfrm>
        <a:prstGeom prst="roundRect">
          <a:avLst/>
        </a:prstGeom>
        <a:gradFill flip="none" rotWithShape="1">
          <a:gsLst>
            <a:gs pos="0">
              <a:srgbClr val="7030A0">
                <a:shade val="30000"/>
                <a:satMod val="115000"/>
              </a:srgbClr>
            </a:gs>
            <a:gs pos="50000">
              <a:srgbClr val="7030A0">
                <a:shade val="67500"/>
                <a:satMod val="115000"/>
              </a:srgbClr>
            </a:gs>
            <a:gs pos="100000">
              <a:srgbClr val="7030A0">
                <a:shade val="100000"/>
                <a:satMod val="115000"/>
              </a:srgbClr>
            </a:gs>
          </a:gsLst>
          <a:lin ang="16200000" scaled="1"/>
          <a:tileRect/>
        </a:gra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OPTIMISE</a:t>
          </a:r>
        </a:p>
      </xdr:txBody>
    </xdr:sp>
    <xdr:clientData/>
  </xdr:twoCellAnchor>
  <xdr:twoCellAnchor editAs="absolute">
    <xdr:from>
      <xdr:col>2</xdr:col>
      <xdr:colOff>877730</xdr:colOff>
      <xdr:row>10</xdr:row>
      <xdr:rowOff>173986</xdr:rowOff>
    </xdr:from>
    <xdr:to>
      <xdr:col>3</xdr:col>
      <xdr:colOff>1353383</xdr:colOff>
      <xdr:row>12</xdr:row>
      <xdr:rowOff>56736</xdr:rowOff>
    </xdr:to>
    <xdr:sp macro="" textlink="">
      <xdr:nvSpPr>
        <xdr:cNvPr id="2" name="Rectangle: Rounded Corners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73384" y="2405822"/>
          <a:ext cx="1812670" cy="375852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solidFill>
                <a:schemeClr val="bg1"/>
              </a:solidFill>
              <a:latin typeface="+mj-lt"/>
            </a:rPr>
            <a:t>Home</a:t>
          </a:r>
        </a:p>
      </xdr:txBody>
    </xdr:sp>
    <xdr:clientData/>
  </xdr:twoCellAnchor>
  <xdr:twoCellAnchor>
    <xdr:from>
      <xdr:col>2</xdr:col>
      <xdr:colOff>1134</xdr:colOff>
      <xdr:row>18</xdr:row>
      <xdr:rowOff>116542</xdr:rowOff>
    </xdr:from>
    <xdr:to>
      <xdr:col>7</xdr:col>
      <xdr:colOff>783006</xdr:colOff>
      <xdr:row>34</xdr:row>
      <xdr:rowOff>177389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9</xdr:col>
      <xdr:colOff>318115</xdr:colOff>
      <xdr:row>7</xdr:row>
      <xdr:rowOff>153740</xdr:rowOff>
    </xdr:from>
    <xdr:to>
      <xdr:col>11</xdr:col>
      <xdr:colOff>465986</xdr:colOff>
      <xdr:row>9</xdr:row>
      <xdr:rowOff>21771</xdr:rowOff>
    </xdr:to>
    <xdr:sp macro="[0]!_xludf.Filter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11811415" y="1795612"/>
          <a:ext cx="1296000" cy="255600"/>
        </a:xfrm>
        <a:prstGeom prst="roundRect">
          <a:avLst/>
        </a:prstGeom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n>
                <a:noFill/>
              </a:ln>
            </a:rPr>
            <a:t>FILTER</a:t>
          </a:r>
        </a:p>
      </xdr:txBody>
    </xdr:sp>
    <xdr:clientData/>
  </xdr:twoCellAnchor>
  <xdr:twoCellAnchor>
    <xdr:from>
      <xdr:col>3</xdr:col>
      <xdr:colOff>1625298</xdr:colOff>
      <xdr:row>6</xdr:row>
      <xdr:rowOff>2759</xdr:rowOff>
    </xdr:from>
    <xdr:to>
      <xdr:col>4</xdr:col>
      <xdr:colOff>2387908</xdr:colOff>
      <xdr:row>6</xdr:row>
      <xdr:rowOff>240143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F88C31B-EAEF-4873-98A3-19E17A3950C7}"/>
            </a:ext>
          </a:extLst>
        </xdr:cNvPr>
        <xdr:cNvGrpSpPr/>
      </xdr:nvGrpSpPr>
      <xdr:grpSpPr>
        <a:xfrm>
          <a:off x="3400310" y="1383324"/>
          <a:ext cx="2591410" cy="237384"/>
          <a:chOff x="3716812" y="1427825"/>
          <a:chExt cx="2603905" cy="252122"/>
        </a:xfrm>
      </xdr:grpSpPr>
      <xdr:sp macro="[0]!SpinButton_Increase" textlink="">
        <xdr:nvSpPr>
          <xdr:cNvPr id="24" name="Isosceles Triangle 23">
            <a:extLst>
              <a:ext uri="{FF2B5EF4-FFF2-40B4-BE49-F238E27FC236}">
                <a16:creationId xmlns:a16="http://schemas.microsoft.com/office/drawing/2014/main" id="{BBE4EE9A-F8EF-44C9-8FEF-4C05B664A2E5}"/>
              </a:ext>
            </a:extLst>
          </xdr:cNvPr>
          <xdr:cNvSpPr/>
        </xdr:nvSpPr>
        <xdr:spPr>
          <a:xfrm>
            <a:off x="6169096" y="1427825"/>
            <a:ext cx="151620" cy="11371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SpinButton_Decrease" textlink="">
        <xdr:nvSpPr>
          <xdr:cNvPr id="25" name="Isosceles Triangle 24">
            <a:extLst>
              <a:ext uri="{FF2B5EF4-FFF2-40B4-BE49-F238E27FC236}">
                <a16:creationId xmlns:a16="http://schemas.microsoft.com/office/drawing/2014/main" id="{07DB23CB-26E1-4BA0-A610-DE3689770F64}"/>
              </a:ext>
            </a:extLst>
          </xdr:cNvPr>
          <xdr:cNvSpPr/>
        </xdr:nvSpPr>
        <xdr:spPr>
          <a:xfrm rot="10800000">
            <a:off x="6169097" y="1562422"/>
            <a:ext cx="151620" cy="11752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Year_Increase" textlink="">
        <xdr:nvSpPr>
          <xdr:cNvPr id="26" name="Isosceles Triangle 25">
            <a:extLst>
              <a:ext uri="{FF2B5EF4-FFF2-40B4-BE49-F238E27FC236}">
                <a16:creationId xmlns:a16="http://schemas.microsoft.com/office/drawing/2014/main" id="{D4B908B5-2B3B-42FF-846E-3FE16359690C}"/>
              </a:ext>
            </a:extLst>
          </xdr:cNvPr>
          <xdr:cNvSpPr/>
        </xdr:nvSpPr>
        <xdr:spPr>
          <a:xfrm>
            <a:off x="3716812" y="1427825"/>
            <a:ext cx="153525" cy="113715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[0]!Year_Decrease" textlink="">
        <xdr:nvSpPr>
          <xdr:cNvPr id="27" name="Isosceles Triangle 26">
            <a:extLst>
              <a:ext uri="{FF2B5EF4-FFF2-40B4-BE49-F238E27FC236}">
                <a16:creationId xmlns:a16="http://schemas.microsoft.com/office/drawing/2014/main" id="{7C33FAC6-3AD7-4A32-BD1C-CA9D3C0EFE55}"/>
              </a:ext>
            </a:extLst>
          </xdr:cNvPr>
          <xdr:cNvSpPr/>
        </xdr:nvSpPr>
        <xdr:spPr>
          <a:xfrm rot="10800000">
            <a:off x="3716814" y="1560586"/>
            <a:ext cx="153524" cy="119360"/>
          </a:xfrm>
          <a:prstGeom prst="triangle">
            <a:avLst/>
          </a:prstGeom>
          <a:solidFill>
            <a:sysClr val="window" lastClr="FFFF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Bharat Gangwani" refreshedDate="44651.566288425929" createdVersion="7" refreshedVersion="7" minRefreshableVersion="3" recordCount="504" xr:uid="{A9618EAA-A8AF-48C0-A231-D6DAF24BA4DA}">
  <cacheSource type="worksheet">
    <worksheetSource ref="A6:T510" sheet="Model-Data"/>
  </cacheSource>
  <cacheFields count="22">
    <cacheField name="Year" numFmtId="166">
      <sharedItems containsSemiMixedTypes="0" containsNonDate="0" containsDate="1" containsString="0" minDate="1989-01-01T00:00:00" maxDate="2030-12-02T00:00:00" count="504">
        <d v="1989-01-01T00:00:00"/>
        <d v="1989-02-01T00:00:00"/>
        <d v="1989-03-01T00:00:00"/>
        <d v="1989-04-01T00:00:00"/>
        <d v="1989-05-01T00:00:00"/>
        <d v="1989-06-01T00:00:00"/>
        <d v="1989-07-01T00:00:00"/>
        <d v="1989-08-01T00:00:00"/>
        <d v="1989-09-01T00:00:00"/>
        <d v="1989-10-01T00:00:00"/>
        <d v="1989-11-01T00:00:00"/>
        <d v="1989-12-01T00:00:00"/>
        <d v="1990-01-01T00:00:00"/>
        <d v="1990-02-01T00:00:00"/>
        <d v="1990-03-01T00:00:00"/>
        <d v="1990-04-01T00:00:00"/>
        <d v="1990-05-01T00:00:00"/>
        <d v="1990-06-01T00:00:00"/>
        <d v="1990-07-01T00:00:00"/>
        <d v="1990-08-01T00:00:00"/>
        <d v="1990-09-01T00:00:00"/>
        <d v="1990-10-01T00:00:00"/>
        <d v="1990-11-01T00:00:00"/>
        <d v="1990-12-01T00:00:00"/>
        <d v="1991-01-01T00:00:00"/>
        <d v="1991-02-01T00:00:00"/>
        <d v="1991-03-01T00:00:00"/>
        <d v="1991-04-01T00:00:00"/>
        <d v="1991-05-01T00:00:00"/>
        <d v="1991-06-01T00:00:00"/>
        <d v="1991-07-01T00:00:00"/>
        <d v="1991-08-01T00:00:00"/>
        <d v="1991-09-01T00:00:00"/>
        <d v="1991-10-01T00:00:00"/>
        <d v="1991-11-01T00:00:00"/>
        <d v="1991-12-01T00:00:00"/>
        <d v="1992-01-01T00:00:00"/>
        <d v="1992-02-01T00:00:00"/>
        <d v="1992-03-01T00:00:00"/>
        <d v="1992-04-01T00:00:00"/>
        <d v="1992-05-01T00:00:00"/>
        <d v="1992-06-01T00:00:00"/>
        <d v="1992-07-01T00:00:00"/>
        <d v="1992-08-01T00:00:00"/>
        <d v="1992-09-01T00:00:00"/>
        <d v="1992-10-01T00:00:00"/>
        <d v="1992-11-01T00:00:00"/>
        <d v="1992-12-01T00:00:00"/>
        <d v="1993-01-01T00:00:00"/>
        <d v="1993-02-01T00:00:00"/>
        <d v="1993-03-01T00:00:00"/>
        <d v="1993-04-01T00:00:00"/>
        <d v="1993-05-01T00:00:00"/>
        <d v="1993-06-01T00:00:00"/>
        <d v="1993-07-01T00:00:00"/>
        <d v="1993-08-01T00:00:00"/>
        <d v="1993-09-01T00:00:00"/>
        <d v="1993-10-01T00:00:00"/>
        <d v="1993-11-01T00:00:00"/>
        <d v="1993-12-01T00:00:00"/>
        <d v="1994-01-01T00:00:00"/>
        <d v="1994-02-01T00:00:00"/>
        <d v="1994-03-01T00:00:00"/>
        <d v="1994-04-01T00:00:00"/>
        <d v="1994-05-01T00:00:00"/>
        <d v="1994-06-01T00:00:00"/>
        <d v="1994-07-01T00:00:00"/>
        <d v="1994-08-01T00:00:00"/>
        <d v="1994-09-01T00:00:00"/>
        <d v="1994-10-01T00:00:00"/>
        <d v="1994-11-01T00:00:00"/>
        <d v="1994-12-01T00:00:00"/>
        <d v="1995-01-01T00:00:00"/>
        <d v="1995-02-01T00:00:00"/>
        <d v="1995-03-01T00:00:00"/>
        <d v="1995-04-01T00:00:00"/>
        <d v="1995-05-01T00:00:00"/>
        <d v="1995-06-01T00:00:00"/>
        <d v="1995-07-01T00:00:00"/>
        <d v="1995-08-01T00:00:00"/>
        <d v="1995-09-01T00:00:00"/>
        <d v="1995-10-01T00:00:00"/>
        <d v="1995-11-01T00:00:00"/>
        <d v="1995-12-01T00:00:00"/>
        <d v="1996-01-01T00:00:00"/>
        <d v="1996-02-01T00:00:00"/>
        <d v="1996-03-01T00:00:00"/>
        <d v="1996-04-01T00:00:00"/>
        <d v="1996-05-01T00:00:00"/>
        <d v="1996-06-01T00:00:00"/>
        <d v="1996-07-01T00:00:00"/>
        <d v="1996-08-01T00:00:00"/>
        <d v="1996-09-01T00:00:00"/>
        <d v="1996-10-01T00:00:00"/>
        <d v="1996-11-01T00:00:00"/>
        <d v="1996-12-01T00:00:00"/>
        <d v="1997-01-01T00:00:00"/>
        <d v="1997-02-01T00:00:00"/>
        <d v="1997-03-01T00:00:00"/>
        <d v="1997-04-01T00:00:00"/>
        <d v="1997-05-01T00:00:00"/>
        <d v="1997-06-01T00:00:00"/>
        <d v="1997-07-01T00:00:00"/>
        <d v="1997-08-01T00:00:00"/>
        <d v="1997-09-01T00:00:00"/>
        <d v="1997-10-01T00:00:00"/>
        <d v="1997-11-01T00:00:00"/>
        <d v="1997-12-01T00:00:00"/>
        <d v="1998-01-01T00:00:00"/>
        <d v="1998-02-01T00:00:00"/>
        <d v="1998-03-01T00:00:00"/>
        <d v="1998-04-01T00:00:00"/>
        <d v="1998-05-01T00:00:00"/>
        <d v="1998-06-01T00:00:00"/>
        <d v="1998-07-01T00:00:00"/>
        <d v="1998-08-01T00:00:00"/>
        <d v="1998-09-01T00:00:00"/>
        <d v="1998-10-01T00:00:00"/>
        <d v="1998-11-01T00:00:00"/>
        <d v="1998-12-01T00:00:00"/>
        <d v="1999-01-01T00:00:00"/>
        <d v="1999-02-01T00:00:00"/>
        <d v="1999-03-01T00:00:00"/>
        <d v="1999-04-01T00:00:00"/>
        <d v="1999-05-01T00:00:00"/>
        <d v="1999-06-01T00:00:00"/>
        <d v="1999-07-01T00:00:00"/>
        <d v="1999-08-01T00:00:00"/>
        <d v="1999-09-01T00:00:00"/>
        <d v="1999-10-01T00:00:00"/>
        <d v="1999-11-01T00:00:00"/>
        <d v="1999-12-01T00:00:00"/>
        <d v="2000-01-01T00:00:00"/>
        <d v="2000-02-01T00:00:00"/>
        <d v="2000-03-01T00:00:00"/>
        <d v="2000-04-01T00:00:00"/>
        <d v="2000-05-01T00:00:00"/>
        <d v="2000-06-01T00:00:00"/>
        <d v="2000-07-01T00:00:00"/>
        <d v="2000-08-01T00:00:00"/>
        <d v="2000-09-01T00:00:00"/>
        <d v="2000-10-01T00:00:00"/>
        <d v="2000-11-01T00:00:00"/>
        <d v="2000-12-01T00:00:00"/>
        <d v="2001-01-01T00:00:00"/>
        <d v="2001-02-01T00:00:00"/>
        <d v="2001-03-01T00:00:00"/>
        <d v="2001-04-01T00:00:00"/>
        <d v="2001-05-01T00:00:00"/>
        <d v="2001-06-01T00:00:00"/>
        <d v="2001-07-01T00:00:00"/>
        <d v="2001-08-01T00:00:00"/>
        <d v="2001-09-01T00:00:00"/>
        <d v="2001-10-01T00:00:00"/>
        <d v="2001-11-01T00:00:00"/>
        <d v="2001-12-01T00:00:00"/>
        <d v="2002-01-01T00:00:00"/>
        <d v="2002-02-01T00:00:00"/>
        <d v="2002-03-01T00:00:00"/>
        <d v="2002-04-01T00:00:00"/>
        <d v="2002-05-01T00:00:00"/>
        <d v="2002-06-01T00:00:00"/>
        <d v="2002-07-01T00:00:00"/>
        <d v="2002-08-01T00:00:00"/>
        <d v="2002-09-01T00:00:00"/>
        <d v="2002-10-01T00:00:00"/>
        <d v="2002-11-01T00:00:00"/>
        <d v="2002-12-01T00:00:00"/>
        <d v="2003-01-01T00:00:00"/>
        <d v="2003-02-01T00:00:00"/>
        <d v="2003-03-01T00:00:00"/>
        <d v="2003-04-01T00:00:00"/>
        <d v="2003-05-01T00:00:00"/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  <d v="2028-06-01T00:00:00"/>
        <d v="2028-07-01T00:00:00"/>
        <d v="2028-08-01T00:00:00"/>
        <d v="2028-09-01T00:00:00"/>
        <d v="2028-10-01T00:00:00"/>
        <d v="2028-11-01T00:00:00"/>
        <d v="2028-12-01T00:00:00"/>
        <d v="2029-01-01T00:00:00"/>
        <d v="2029-02-01T00:00:00"/>
        <d v="2029-03-01T00:00:00"/>
        <d v="2029-04-01T00:00:00"/>
        <d v="2029-05-01T00:00:00"/>
        <d v="2029-06-01T00:00:00"/>
        <d v="2029-07-01T00:00:00"/>
        <d v="2029-08-01T00:00:00"/>
        <d v="2029-09-01T00:00:00"/>
        <d v="2029-10-01T00:00:00"/>
        <d v="2029-11-01T00:00:00"/>
        <d v="2029-12-01T00:00:00"/>
        <d v="2030-01-01T00:00:00"/>
        <d v="2030-02-01T00:00:00"/>
        <d v="2030-03-01T00:00:00"/>
        <d v="2030-04-01T00:00:00"/>
        <d v="2030-05-01T00:00:00"/>
        <d v="2030-06-01T00:00:00"/>
        <d v="2030-07-01T00:00:00"/>
        <d v="2030-08-01T00:00:00"/>
        <d v="2030-09-01T00:00:00"/>
        <d v="2030-10-01T00:00:00"/>
        <d v="2030-11-01T00:00:00"/>
        <d v="2030-12-01T00:00:00"/>
      </sharedItems>
      <fieldGroup par="21" base="0">
        <rangePr groupBy="months" startDate="1989-01-01T00:00:00" endDate="2030-12-02T00:00:00"/>
        <groupItems count="14">
          <s v="&lt;1 01 198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 12 2030"/>
        </groupItems>
      </fieldGroup>
    </cacheField>
    <cacheField name="Total Currency" numFmtId="2">
      <sharedItems containsSemiMixedTypes="0" containsString="0" containsNumber="1" minValue="4341.6099999999997" maxValue="68365.408887272395"/>
    </cacheField>
    <cacheField name="Currency in Active Circulation" numFmtId="2">
      <sharedItems containsSemiMixedTypes="0" containsString="0" containsNumber="1" minValue="4237.38" maxValue="62168.595225911879"/>
    </cacheField>
    <cacheField name="Currency Notes in Storage" numFmtId="2">
      <sharedItems containsSemiMixedTypes="0" containsString="0" containsNumber="1" minValue="69.930000000000007" maxValue="6196.8136613605111"/>
    </cacheField>
    <cacheField name="Money Printed (Change in MS)" numFmtId="2">
      <sharedItems containsString="0" containsBlank="1" containsNumber="1" minValue="0" maxValue="1465.62"/>
    </cacheField>
    <cacheField name="Money Demand" numFmtId="2">
      <sharedItems containsString="0" containsBlank="1" containsNumber="1" minValue="-604.69962733833063" maxValue="2195.1662198676859"/>
    </cacheField>
    <cacheField name="Currency Notes in Storage2" numFmtId="2">
      <sharedItems containsString="0" containsBlank="1" containsNumber="1" minValue="0.5827500000000001" maxValue="51.473035273028778"/>
    </cacheField>
    <cacheField name="Currency Notes in Circulation" numFmtId="2">
      <sharedItems containsString="0" containsBlank="1" containsNumber="1" minValue="70.623000000000005" maxValue="1032.8022768934184"/>
    </cacheField>
    <cacheField name="CNY" numFmtId="2">
      <sharedItems containsString="0" containsBlank="1" containsNumber="1" minValue="-149.69194800598268" maxValue="25.393971539618246"/>
    </cacheField>
    <cacheField name="New Money Demand" numFmtId="2">
      <sharedItems containsString="0" containsBlank="1" containsNumber="1" minValue="-1179.9485440049973" maxValue="1580.0674698676858"/>
    </cacheField>
    <cacheField name="GDP" numFmtId="2">
      <sharedItems containsSemiMixedTypes="0" containsString="0" containsNumber="1" minValue="6877.5666666666702" maxValue="53332.912321049313"/>
    </cacheField>
    <cacheField name="Price Level" numFmtId="2">
      <sharedItems containsSemiMixedTypes="0" containsString="0" containsNumber="1" minValue="0.59616000000000002" maxValue="1.1636002510717598"/>
    </cacheField>
    <cacheField name="Interest Rate" numFmtId="10">
      <sharedItems containsSemiMixedTypes="0" containsString="0" containsNumber="1" minValue="9.9999999999999991E-5" maxValue="4.3499999999999997E-3"/>
    </cacheField>
    <cacheField name="Excess Notes" numFmtId="2">
      <sharedItems containsSemiMixedTypes="0" containsString="0" containsNumber="1" minValue="-1344.8462198676857" maxValue="1404.3496273383307"/>
    </cacheField>
    <cacheField name="of Notes saved for next CNY" numFmtId="2">
      <sharedItems containsString="0" containsBlank="1" containsNumber="1" minValue="0" maxValue="185.61732232791712"/>
    </cacheField>
    <cacheField name="Amount left after sieve" numFmtId="2">
      <sharedItems containsSemiMixedTypes="0" containsString="0" containsNumber="1" minValue="-586.81201986768565" maxValue="2757.4960171620837"/>
    </cacheField>
    <cacheField name="Cost of destroying" numFmtId="2">
      <sharedItems containsString="0" containsBlank="1" containsNumber="1" minValue="0" maxValue="413.62440257431257"/>
    </cacheField>
    <cacheField name="Cost of printing" numFmtId="2">
      <sharedItems containsString="0" containsBlank="1" containsNumber="1" minValue="0" maxValue="551.49920343241672"/>
    </cacheField>
    <cacheField name="Cost of storing" numFmtId="2">
      <sharedItems containsString="0" containsBlank="1" containsNumber="1" minValue="0" maxValue="18.561732232791712"/>
    </cacheField>
    <cacheField name="Total Cost" numFmtId="2">
      <sharedItems containsString="0" containsBlank="1" containsNumber="1" minValue="0" maxValue="965.12360600672923"/>
    </cacheField>
    <cacheField name="Quarters" numFmtId="0" databaseField="0">
      <fieldGroup base="0">
        <rangePr groupBy="quarters" startDate="1989-01-01T00:00:00" endDate="2030-12-02T00:00:00"/>
        <groupItems count="6">
          <s v="&lt;1 01 1989"/>
          <s v="Qtr1"/>
          <s v="Qtr2"/>
          <s v="Qtr3"/>
          <s v="Qtr4"/>
          <s v="&gt;2 12 2030"/>
        </groupItems>
      </fieldGroup>
    </cacheField>
    <cacheField name="Years" numFmtId="0" databaseField="0">
      <fieldGroup base="0">
        <rangePr groupBy="years" startDate="1989-01-01T00:00:00" endDate="2030-12-02T00:00:00"/>
        <groupItems count="44">
          <s v="&lt;1 01 1989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2027"/>
          <s v="2028"/>
          <s v="2029"/>
          <s v="2030"/>
          <s v="&gt;2 12 203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harat Gangwani" refreshedDate="44651.566289236114" createdVersion="7" refreshedVersion="7" minRefreshableVersion="3" recordCount="503" xr:uid="{7C273421-9DB9-4F0A-BE1D-D4162B243382}">
  <cacheSource type="worksheet">
    <worksheetSource ref="A6:T509" sheet="Model-Data"/>
  </cacheSource>
  <cacheFields count="22">
    <cacheField name="Year" numFmtId="166">
      <sharedItems containsSemiMixedTypes="0" containsNonDate="0" containsDate="1" containsString="0" minDate="1989-01-01T00:00:00" maxDate="2030-11-02T00:00:00" count="503">
        <d v="1989-01-01T00:00:00"/>
        <d v="1989-02-01T00:00:00"/>
        <d v="1989-03-01T00:00:00"/>
        <d v="1989-04-01T00:00:00"/>
        <d v="1989-05-01T00:00:00"/>
        <d v="1989-06-01T00:00:00"/>
        <d v="1989-07-01T00:00:00"/>
        <d v="1989-08-01T00:00:00"/>
        <d v="1989-09-01T00:00:00"/>
        <d v="1989-10-01T00:00:00"/>
        <d v="1989-11-01T00:00:00"/>
        <d v="1989-12-01T00:00:00"/>
        <d v="1990-01-01T00:00:00"/>
        <d v="1990-02-01T00:00:00"/>
        <d v="1990-03-01T00:00:00"/>
        <d v="1990-04-01T00:00:00"/>
        <d v="1990-05-01T00:00:00"/>
        <d v="1990-06-01T00:00:00"/>
        <d v="1990-07-01T00:00:00"/>
        <d v="1990-08-01T00:00:00"/>
        <d v="1990-09-01T00:00:00"/>
        <d v="1990-10-01T00:00:00"/>
        <d v="1990-11-01T00:00:00"/>
        <d v="1990-12-01T00:00:00"/>
        <d v="1991-01-01T00:00:00"/>
        <d v="1991-02-01T00:00:00"/>
        <d v="1991-03-01T00:00:00"/>
        <d v="1991-04-01T00:00:00"/>
        <d v="1991-05-01T00:00:00"/>
        <d v="1991-06-01T00:00:00"/>
        <d v="1991-07-01T00:00:00"/>
        <d v="1991-08-01T00:00:00"/>
        <d v="1991-09-01T00:00:00"/>
        <d v="1991-10-01T00:00:00"/>
        <d v="1991-11-01T00:00:00"/>
        <d v="1991-12-01T00:00:00"/>
        <d v="1992-01-01T00:00:00"/>
        <d v="1992-02-01T00:00:00"/>
        <d v="1992-03-01T00:00:00"/>
        <d v="1992-04-01T00:00:00"/>
        <d v="1992-05-01T00:00:00"/>
        <d v="1992-06-01T00:00:00"/>
        <d v="1992-07-01T00:00:00"/>
        <d v="1992-08-01T00:00:00"/>
        <d v="1992-09-01T00:00:00"/>
        <d v="1992-10-01T00:00:00"/>
        <d v="1992-11-01T00:00:00"/>
        <d v="1992-12-01T00:00:00"/>
        <d v="1993-01-01T00:00:00"/>
        <d v="1993-02-01T00:00:00"/>
        <d v="1993-03-01T00:00:00"/>
        <d v="1993-04-01T00:00:00"/>
        <d v="1993-05-01T00:00:00"/>
        <d v="1993-06-01T00:00:00"/>
        <d v="1993-07-01T00:00:00"/>
        <d v="1993-08-01T00:00:00"/>
        <d v="1993-09-01T00:00:00"/>
        <d v="1993-10-01T00:00:00"/>
        <d v="1993-11-01T00:00:00"/>
        <d v="1993-12-01T00:00:00"/>
        <d v="1994-01-01T00:00:00"/>
        <d v="1994-02-01T00:00:00"/>
        <d v="1994-03-01T00:00:00"/>
        <d v="1994-04-01T00:00:00"/>
        <d v="1994-05-01T00:00:00"/>
        <d v="1994-06-01T00:00:00"/>
        <d v="1994-07-01T00:00:00"/>
        <d v="1994-08-01T00:00:00"/>
        <d v="1994-09-01T00:00:00"/>
        <d v="1994-10-01T00:00:00"/>
        <d v="1994-11-01T00:00:00"/>
        <d v="1994-12-01T00:00:00"/>
        <d v="1995-01-01T00:00:00"/>
        <d v="1995-02-01T00:00:00"/>
        <d v="1995-03-01T00:00:00"/>
        <d v="1995-04-01T00:00:00"/>
        <d v="1995-05-01T00:00:00"/>
        <d v="1995-06-01T00:00:00"/>
        <d v="1995-07-01T00:00:00"/>
        <d v="1995-08-01T00:00:00"/>
        <d v="1995-09-01T00:00:00"/>
        <d v="1995-10-01T00:00:00"/>
        <d v="1995-11-01T00:00:00"/>
        <d v="1995-12-01T00:00:00"/>
        <d v="1996-01-01T00:00:00"/>
        <d v="1996-02-01T00:00:00"/>
        <d v="1996-03-01T00:00:00"/>
        <d v="1996-04-01T00:00:00"/>
        <d v="1996-05-01T00:00:00"/>
        <d v="1996-06-01T00:00:00"/>
        <d v="1996-07-01T00:00:00"/>
        <d v="1996-08-01T00:00:00"/>
        <d v="1996-09-01T00:00:00"/>
        <d v="1996-10-01T00:00:00"/>
        <d v="1996-11-01T00:00:00"/>
        <d v="1996-12-01T00:00:00"/>
        <d v="1997-01-01T00:00:00"/>
        <d v="1997-02-01T00:00:00"/>
        <d v="1997-03-01T00:00:00"/>
        <d v="1997-04-01T00:00:00"/>
        <d v="1997-05-01T00:00:00"/>
        <d v="1997-06-01T00:00:00"/>
        <d v="1997-07-01T00:00:00"/>
        <d v="1997-08-01T00:00:00"/>
        <d v="1997-09-01T00:00:00"/>
        <d v="1997-10-01T00:00:00"/>
        <d v="1997-11-01T00:00:00"/>
        <d v="1997-12-01T00:00:00"/>
        <d v="1998-01-01T00:00:00"/>
        <d v="1998-02-01T00:00:00"/>
        <d v="1998-03-01T00:00:00"/>
        <d v="1998-04-01T00:00:00"/>
        <d v="1998-05-01T00:00:00"/>
        <d v="1998-06-01T00:00:00"/>
        <d v="1998-07-01T00:00:00"/>
        <d v="1998-08-01T00:00:00"/>
        <d v="1998-09-01T00:00:00"/>
        <d v="1998-10-01T00:00:00"/>
        <d v="1998-11-01T00:00:00"/>
        <d v="1998-12-01T00:00:00"/>
        <d v="1999-01-01T00:00:00"/>
        <d v="1999-02-01T00:00:00"/>
        <d v="1999-03-01T00:00:00"/>
        <d v="1999-04-01T00:00:00"/>
        <d v="1999-05-01T00:00:00"/>
        <d v="1999-06-01T00:00:00"/>
        <d v="1999-07-01T00:00:00"/>
        <d v="1999-08-01T00:00:00"/>
        <d v="1999-09-01T00:00:00"/>
        <d v="1999-10-01T00:00:00"/>
        <d v="1999-11-01T00:00:00"/>
        <d v="1999-12-01T00:00:00"/>
        <d v="2000-01-01T00:00:00"/>
        <d v="2000-02-01T00:00:00"/>
        <d v="2000-03-01T00:00:00"/>
        <d v="2000-04-01T00:00:00"/>
        <d v="2000-05-01T00:00:00"/>
        <d v="2000-06-01T00:00:00"/>
        <d v="2000-07-01T00:00:00"/>
        <d v="2000-08-01T00:00:00"/>
        <d v="2000-09-01T00:00:00"/>
        <d v="2000-10-01T00:00:00"/>
        <d v="2000-11-01T00:00:00"/>
        <d v="2000-12-01T00:00:00"/>
        <d v="2001-01-01T00:00:00"/>
        <d v="2001-02-01T00:00:00"/>
        <d v="2001-03-01T00:00:00"/>
        <d v="2001-04-01T00:00:00"/>
        <d v="2001-05-01T00:00:00"/>
        <d v="2001-06-01T00:00:00"/>
        <d v="2001-07-01T00:00:00"/>
        <d v="2001-08-01T00:00:00"/>
        <d v="2001-09-01T00:00:00"/>
        <d v="2001-10-01T00:00:00"/>
        <d v="2001-11-01T00:00:00"/>
        <d v="2001-12-01T00:00:00"/>
        <d v="2002-01-01T00:00:00"/>
        <d v="2002-02-01T00:00:00"/>
        <d v="2002-03-01T00:00:00"/>
        <d v="2002-04-01T00:00:00"/>
        <d v="2002-05-01T00:00:00"/>
        <d v="2002-06-01T00:00:00"/>
        <d v="2002-07-01T00:00:00"/>
        <d v="2002-08-01T00:00:00"/>
        <d v="2002-09-01T00:00:00"/>
        <d v="2002-10-01T00:00:00"/>
        <d v="2002-11-01T00:00:00"/>
        <d v="2002-12-01T00:00:00"/>
        <d v="2003-01-01T00:00:00"/>
        <d v="2003-02-01T00:00:00"/>
        <d v="2003-03-01T00:00:00"/>
        <d v="2003-04-01T00:00:00"/>
        <d v="2003-05-01T00:00:00"/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  <d v="2028-06-01T00:00:00"/>
        <d v="2028-07-01T00:00:00"/>
        <d v="2028-08-01T00:00:00"/>
        <d v="2028-09-01T00:00:00"/>
        <d v="2028-10-01T00:00:00"/>
        <d v="2028-11-01T00:00:00"/>
        <d v="2028-12-01T00:00:00"/>
        <d v="2029-01-01T00:00:00"/>
        <d v="2029-02-01T00:00:00"/>
        <d v="2029-03-01T00:00:00"/>
        <d v="2029-04-01T00:00:00"/>
        <d v="2029-05-01T00:00:00"/>
        <d v="2029-06-01T00:00:00"/>
        <d v="2029-07-01T00:00:00"/>
        <d v="2029-08-01T00:00:00"/>
        <d v="2029-09-01T00:00:00"/>
        <d v="2029-10-01T00:00:00"/>
        <d v="2029-11-01T00:00:00"/>
        <d v="2029-12-01T00:00:00"/>
        <d v="2030-01-01T00:00:00"/>
        <d v="2030-02-01T00:00:00"/>
        <d v="2030-03-01T00:00:00"/>
        <d v="2030-04-01T00:00:00"/>
        <d v="2030-05-01T00:00:00"/>
        <d v="2030-06-01T00:00:00"/>
        <d v="2030-07-01T00:00:00"/>
        <d v="2030-08-01T00:00:00"/>
        <d v="2030-09-01T00:00:00"/>
        <d v="2030-10-01T00:00:00"/>
        <d v="2030-11-01T00:00:00"/>
      </sharedItems>
      <fieldGroup par="21" base="0">
        <rangePr groupBy="months" startDate="1989-01-01T00:00:00" endDate="2030-11-02T00:00:00"/>
        <groupItems count="14">
          <s v="&lt;1 01 198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 11 2030"/>
        </groupItems>
      </fieldGroup>
    </cacheField>
    <cacheField name="Total Currency" numFmtId="2">
      <sharedItems containsSemiMixedTypes="0" containsString="0" containsNumber="1" minValue="4341.6099999999997" maxValue="68144.90084636856"/>
    </cacheField>
    <cacheField name="Currency in Active Circulation" numFmtId="2">
      <sharedItems containsSemiMixedTypes="0" containsString="0" containsNumber="1" minValue="4237.38" maxValue="61968.136613605107"/>
    </cacheField>
    <cacheField name="Currency Notes in Storage" numFmtId="2">
      <sharedItems containsSemiMixedTypes="0" containsString="0" containsNumber="1" minValue="69.930000000000007" maxValue="6176.764232763453"/>
    </cacheField>
    <cacheField name="Money Printed (Change in MS)" numFmtId="2">
      <sharedItems containsString="0" containsBlank="1" containsNumber="1" minValue="0" maxValue="1465.62"/>
    </cacheField>
    <cacheField name="Money Demand" numFmtId="2">
      <sharedItems containsString="0" containsBlank="1" containsNumber="1" minValue="-604.69962733833063" maxValue="2195.1662198676859"/>
    </cacheField>
    <cacheField name="Currency Notes in Storage2" numFmtId="2">
      <sharedItems containsString="0" containsBlank="1" containsNumber="1" minValue="0.5827500000000001" maxValue="51.30592646946814"/>
    </cacheField>
    <cacheField name="Currency Notes in Circulation" numFmtId="2">
      <sharedItems containsString="0" containsBlank="1" containsNumber="1" minValue="70.623000000000005" maxValue="1029.4607054605754"/>
    </cacheField>
    <cacheField name="CNY" numFmtId="2">
      <sharedItems containsString="0" containsBlank="1" containsNumber="1" minValue="-149.69194800598268" maxValue="25.393971539618246"/>
    </cacheField>
    <cacheField name="New Money Demand" numFmtId="2">
      <sharedItems containsString="0" containsBlank="1" containsNumber="1" minValue="-1179.9485440049973" maxValue="1580.0674698676858"/>
    </cacheField>
    <cacheField name="GDP" numFmtId="2">
      <sharedItems containsSemiMixedTypes="0" containsString="0" containsNumber="1" minValue="6877.5666666666702" maxValue="53332.912321049313"/>
    </cacheField>
    <cacheField name="Price Level" numFmtId="2">
      <sharedItems containsSemiMixedTypes="0" containsString="0" containsNumber="1" minValue="0.59616000000000002" maxValue="1.1624964524507251"/>
    </cacheField>
    <cacheField name="Interest Rate" numFmtId="10">
      <sharedItems containsSemiMixedTypes="0" containsString="0" containsNumber="1" minValue="9.9999999999999991E-5" maxValue="4.3499999999999997E-3"/>
    </cacheField>
    <cacheField name="Excess Notes" numFmtId="2">
      <sharedItems containsSemiMixedTypes="0" containsString="0" containsNumber="1" minValue="-1344.8462198676857" maxValue="1404.3496273383307"/>
    </cacheField>
    <cacheField name="of Notes saved for next CNY" numFmtId="2">
      <sharedItems containsString="0" containsBlank="1" containsNumber="1" minValue="0" maxValue="185.61732232791712"/>
    </cacheField>
    <cacheField name="Amount left after sieve" numFmtId="2">
      <sharedItems containsSemiMixedTypes="0" containsString="0" containsNumber="1" minValue="-586.81201986768565" maxValue="2757.4960171620837"/>
    </cacheField>
    <cacheField name="Cost of destroying" numFmtId="2">
      <sharedItems containsString="0" containsBlank="1" containsNumber="1" minValue="0" maxValue="413.62440257431257"/>
    </cacheField>
    <cacheField name="Cost of printing" numFmtId="2">
      <sharedItems containsString="0" containsBlank="1" containsNumber="1" minValue="0" maxValue="551.49920343241672"/>
    </cacheField>
    <cacheField name="Cost of storing" numFmtId="2">
      <sharedItems containsString="0" containsBlank="1" containsNumber="1" minValue="0" maxValue="18.561732232791712"/>
    </cacheField>
    <cacheField name="Total Cost" numFmtId="2">
      <sharedItems containsString="0" containsBlank="1" containsNumber="1" minValue="0" maxValue="965.12360600672923"/>
    </cacheField>
    <cacheField name="Quarters" numFmtId="0" databaseField="0">
      <fieldGroup base="0">
        <rangePr groupBy="quarters" startDate="1989-01-01T00:00:00" endDate="2030-11-02T00:00:00"/>
        <groupItems count="6">
          <s v="&lt;1 01 1989"/>
          <s v="Qtr1"/>
          <s v="Qtr2"/>
          <s v="Qtr3"/>
          <s v="Qtr4"/>
          <s v="&gt;2 11 2030"/>
        </groupItems>
      </fieldGroup>
    </cacheField>
    <cacheField name="Years" numFmtId="0" databaseField="0">
      <fieldGroup base="0">
        <rangePr groupBy="years" startDate="1989-01-01T00:00:00" endDate="2030-11-02T00:00:00"/>
        <groupItems count="44">
          <s v="&lt;1 01 1989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2027"/>
          <s v="2028"/>
          <s v="2029"/>
          <s v="2030"/>
          <s v="&gt;2 11 2030"/>
        </groupItems>
      </fieldGroup>
    </cacheField>
  </cacheFields>
  <extLst>
    <ext xmlns:x14="http://schemas.microsoft.com/office/spreadsheetml/2009/9/main" uri="{725AE2AE-9491-48be-B2B4-4EB974FC3084}">
      <x14:pivotCacheDefinition pivotCacheId="83784056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n v="4520.04"/>
    <n v="4342.17"/>
    <n v="177.87"/>
    <m/>
    <m/>
    <m/>
    <m/>
    <m/>
    <m/>
    <n v="6877.5666666666702"/>
    <n v="0.59616000000000002"/>
    <n v="2.4916666666666668E-3"/>
    <n v="-53.549999999999358"/>
    <m/>
    <n v="0"/>
    <m/>
    <m/>
    <m/>
    <m/>
  </r>
  <r>
    <x v="1"/>
    <n v="4361.7"/>
    <n v="4237.38"/>
    <n v="124.32"/>
    <n v="0"/>
    <n v="78.202834712015999"/>
    <n v="1.4822500000000001"/>
    <n v="72.369500000000002"/>
    <n v="11.561288641355166"/>
    <n v="-7.2102039293391549"/>
    <n v="6877.5666666666702"/>
    <n v="0.59772999999999998"/>
    <n v="2.5249999999999999E-3"/>
    <n v="-78.202834712015999"/>
    <n v="0"/>
    <n v="0"/>
    <n v="0"/>
    <n v="0"/>
    <n v="0"/>
    <n v="0"/>
  </r>
  <r>
    <x v="2"/>
    <n v="4356.45"/>
    <n v="4252.6400000000003"/>
    <n v="103.81"/>
    <n v="85.88"/>
    <n v="69.142596886209802"/>
    <n v="1.036"/>
    <n v="70.623000000000005"/>
    <n v="0"/>
    <n v="-2.516403113790199"/>
    <n v="6877.5666666666702"/>
    <n v="0.59714"/>
    <n v="2.5416666666666665E-3"/>
    <n v="16.737403113790194"/>
    <n v="0"/>
    <n v="0"/>
    <n v="0"/>
    <n v="0"/>
    <n v="0"/>
    <n v="0"/>
  </r>
  <r>
    <x v="3"/>
    <n v="4341.6099999999997"/>
    <n v="4267.83"/>
    <n v="73.78"/>
    <n v="86.07"/>
    <n v="81.746420627234571"/>
    <n v="0.86508333333333332"/>
    <n v="70.87733333333334"/>
    <n v="0"/>
    <n v="10.004003960567905"/>
    <n v="7372.4"/>
    <n v="0.60057000000000005"/>
    <n v="2.65E-3"/>
    <n v="4.3235793727654226"/>
    <n v="0"/>
    <n v="0"/>
    <n v="0"/>
    <n v="0"/>
    <n v="0"/>
    <n v="0"/>
  </r>
  <r>
    <x v="4"/>
    <n v="4375.1400000000003"/>
    <n v="4262.6499999999996"/>
    <n v="112.49"/>
    <n v="65.95"/>
    <n v="58.57394400230848"/>
    <n v="0.61483333333333334"/>
    <n v="71.130499999999998"/>
    <n v="0"/>
    <n v="-13.171389331024853"/>
    <n v="7372.4"/>
    <n v="0.60482000000000002"/>
    <n v="2.7083333333333334E-3"/>
    <n v="7.3760559976915232"/>
    <n v="0"/>
    <n v="0"/>
    <n v="0"/>
    <n v="0"/>
    <n v="0"/>
    <n v="0"/>
  </r>
  <r>
    <x v="5"/>
    <n v="4388.0200000000004"/>
    <n v="4297.16"/>
    <n v="90.86"/>
    <n v="105.55"/>
    <n v="65.748364106649532"/>
    <n v="0.93741666666666668"/>
    <n v="71.044166666666655"/>
    <n v="0"/>
    <n v="-6.2332192266837891"/>
    <n v="7372.4"/>
    <n v="0.60756999999999994"/>
    <n v="2.7333333333333328E-3"/>
    <n v="39.801635893350465"/>
    <n v="0"/>
    <n v="0"/>
    <n v="0"/>
    <n v="0"/>
    <n v="0"/>
    <n v="0"/>
  </r>
  <r>
    <x v="6"/>
    <n v="4394.04"/>
    <n v="4287.6400000000003"/>
    <n v="106.4"/>
    <n v="62.1"/>
    <n v="83.62842043755262"/>
    <n v="0.75716666666666665"/>
    <n v="71.61933333333333"/>
    <n v="0"/>
    <n v="11.251920437552629"/>
    <n v="7577.9333333333298"/>
    <n v="0.60931000000000002"/>
    <n v="2.7333333333333328E-3"/>
    <n v="-21.528420437552619"/>
    <n v="0"/>
    <n v="0"/>
    <n v="0"/>
    <n v="0"/>
    <n v="0"/>
    <n v="0"/>
  </r>
  <r>
    <x v="7"/>
    <n v="4430.0200000000004"/>
    <n v="4309.6899999999996"/>
    <n v="120.33"/>
    <n v="93.51"/>
    <n v="71.789083726296582"/>
    <n v="0.88666666666666671"/>
    <n v="71.460666666666668"/>
    <n v="0"/>
    <n v="-0.55824960703675686"/>
    <n v="7577.9333333333298"/>
    <n v="0.61004999999999998"/>
    <n v="2.7333333333333328E-3"/>
    <n v="21.720916273703423"/>
    <n v="0"/>
    <n v="0"/>
    <n v="0"/>
    <n v="0"/>
    <n v="0"/>
    <n v="0"/>
  </r>
  <r>
    <x v="8"/>
    <n v="4441.08"/>
    <n v="4367.3"/>
    <n v="73.78"/>
    <n v="129.44"/>
    <n v="72.861064371467407"/>
    <n v="1.00275"/>
    <n v="71.828166666666661"/>
    <n v="0"/>
    <n v="3.0147704800735486E-2"/>
    <n v="7577.9333333333298"/>
    <n v="0.61000999999999994"/>
    <n v="2.7333333333333328E-3"/>
    <n v="56.578935628532591"/>
    <n v="0"/>
    <n v="0"/>
    <n v="0"/>
    <n v="0"/>
    <n v="0"/>
    <n v="0"/>
  </r>
  <r>
    <x v="9"/>
    <n v="4505.55"/>
    <n v="4365.13"/>
    <n v="140.41999999999999"/>
    <n v="70.62"/>
    <n v="82.354014592030737"/>
    <n v="0.61483333333333334"/>
    <n v="72.788333333333341"/>
    <n v="0"/>
    <n v="8.9508479253640534"/>
    <n v="7764.4333333333298"/>
    <n v="0.61309000000000002"/>
    <n v="2.7333333333333328E-3"/>
    <n v="-11.734014592030732"/>
    <n v="0"/>
    <n v="0"/>
    <n v="0"/>
    <n v="0"/>
    <n v="0"/>
    <n v="0"/>
  </r>
  <r>
    <x v="10"/>
    <n v="4533.62"/>
    <n v="4388.58"/>
    <n v="145.04"/>
    <n v="96.2"/>
    <n v="69.317672081696116"/>
    <n v="1.1701666666666666"/>
    <n v="72.752166666666668"/>
    <n v="0"/>
    <n v="-4.6046612516372045"/>
    <n v="7764.4333333333298"/>
    <n v="0.61541000000000001"/>
    <n v="2.7500000000000003E-3"/>
    <n v="26.882327918303886"/>
    <n v="0"/>
    <n v="0"/>
    <n v="0"/>
    <n v="0"/>
    <n v="0"/>
    <n v="0"/>
  </r>
  <r>
    <x v="11"/>
    <n v="4714.92"/>
    <n v="4626.93"/>
    <n v="87.99"/>
    <n v="311.49"/>
    <n v="66.797261141988031"/>
    <n v="1.2086666666666666"/>
    <n v="73.143000000000001"/>
    <n v="0"/>
    <n v="-7.5544055246786499"/>
    <n v="7764.4333333333298"/>
    <n v="0.61616000000000004"/>
    <n v="2.7916666666666667E-3"/>
    <n v="244.69273885801198"/>
    <n v="0"/>
    <n v="0"/>
    <n v="0"/>
    <n v="0"/>
    <n v="0"/>
    <n v="0"/>
  </r>
  <r>
    <x v="12"/>
    <n v="5142.2700000000004"/>
    <n v="4894.75"/>
    <n v="247.52"/>
    <n v="344.94"/>
    <n v="65.188955145278015"/>
    <n v="0.73324999999999996"/>
    <n v="77.115500000000011"/>
    <n v="12.052300320610277"/>
    <n v="-24.712095175332259"/>
    <n v="7841.2333333333299"/>
    <n v="0.61965999999999999"/>
    <n v="2.9583333333333332E-3"/>
    <n v="279.75104485472195"/>
    <n v="55.950208970944395"/>
    <n v="37.796044854721913"/>
    <n v="5.6694067282082869"/>
    <n v="7.5592089709443826"/>
    <n v="5.5950208970944395"/>
    <n v="18.823636596247109"/>
  </r>
  <r>
    <x v="13"/>
    <n v="4761.68"/>
    <n v="4641.7"/>
    <n v="119.98"/>
    <n v="0"/>
    <n v="48.969783919543104"/>
    <n v="2.0626666666666669"/>
    <n v="81.579166666666666"/>
    <n v="0"/>
    <n v="-34.672049413790234"/>
    <n v="7841.2333333333299"/>
    <n v="0.62087000000000003"/>
    <n v="3.1916666666666669E-3"/>
    <n v="-48.969783919543104"/>
    <n v="55.483957229519859"/>
    <n v="0"/>
    <n v="0"/>
    <n v="0"/>
    <n v="5.5483957229519865"/>
    <n v="5.5483957229519865"/>
  </r>
  <r>
    <x v="14"/>
    <n v="4742.08"/>
    <n v="4641.3500000000004"/>
    <n v="100.73"/>
    <n v="77.010000000000005"/>
    <n v="68.460319278493714"/>
    <n v="0.99983333333333335"/>
    <n v="77.361666666666665"/>
    <n v="0"/>
    <n v="-9.901180721506277"/>
    <n v="7841.2333333333299"/>
    <n v="0.61907000000000001"/>
    <n v="3.2750000000000001E-3"/>
    <n v="8.5496807215062915"/>
    <n v="55.021590919273862"/>
    <n v="0"/>
    <n v="0"/>
    <n v="0"/>
    <n v="5.5021590919273864"/>
    <n v="5.5021590919273864"/>
  </r>
  <r>
    <x v="15"/>
    <n v="4791.29"/>
    <n v="4679.43"/>
    <n v="111.86"/>
    <n v="115.44"/>
    <n v="32.849934419699018"/>
    <n v="0.8394166666666667"/>
    <n v="77.355833333333337"/>
    <n v="0"/>
    <n v="-45.345315580300984"/>
    <n v="8017.6666666666697"/>
    <n v="0.62253999999999998"/>
    <n v="3.7083333333333339E-3"/>
    <n v="82.590065580300973"/>
    <n v="54.563077661613242"/>
    <n v="0"/>
    <n v="0"/>
    <n v="0"/>
    <n v="5.4563077661613244"/>
    <n v="5.4563077661613244"/>
  </r>
  <r>
    <x v="16"/>
    <n v="4724.3"/>
    <n v="4608.1000000000004"/>
    <n v="116.2"/>
    <n v="6.66"/>
    <n v="73.285006420421254"/>
    <n v="0.9321666666666667"/>
    <n v="77.990500000000011"/>
    <n v="0"/>
    <n v="-5.6376602462454208"/>
    <n v="8017.6666666666697"/>
    <n v="0.62414999999999998"/>
    <n v="3.7499999999999999E-3"/>
    <n v="-66.625006420421258"/>
    <n v="54.108385347766465"/>
    <n v="0"/>
    <n v="0"/>
    <n v="0"/>
    <n v="5.410838534776647"/>
    <n v="5.410838534776647"/>
  </r>
  <r>
    <x v="17"/>
    <n v="4712.3999999999996"/>
    <n v="4614.3999999999996"/>
    <n v="98"/>
    <n v="83.1"/>
    <n v="39.16718024236426"/>
    <n v="0.96833333333333338"/>
    <n v="76.801666666666677"/>
    <n v="0"/>
    <n v="-38.60281975763575"/>
    <n v="8017.6666666666697"/>
    <n v="0.62500999999999995"/>
    <n v="4.1250000000000002E-3"/>
    <n v="43.932819757635734"/>
    <n v="53.65748213653508"/>
    <n v="0"/>
    <n v="0"/>
    <n v="0"/>
    <n v="5.3657482136535082"/>
    <n v="5.3657482136535082"/>
  </r>
  <r>
    <x v="18"/>
    <n v="4762.03"/>
    <n v="4601.24"/>
    <n v="160.79"/>
    <n v="63.75"/>
    <n v="78.503604002143859"/>
    <n v="0.81666666666666665"/>
    <n v="76.906666666666666"/>
    <n v="0"/>
    <n v="0.78027066881053031"/>
    <n v="8248.5333333333292"/>
    <n v="0.62529999999999997"/>
    <n v="4.2333333333333329E-3"/>
    <n v="-14.753604002143859"/>
    <n v="53.210336452063956"/>
    <n v="0"/>
    <n v="0"/>
    <n v="0"/>
    <n v="5.3210336452063958"/>
    <n v="5.3210336452063958"/>
  </r>
  <r>
    <x v="19"/>
    <n v="4810.1899999999996"/>
    <n v="4677.54"/>
    <n v="132.65"/>
    <n v="152.99"/>
    <n v="69.050209961267001"/>
    <n v="1.3399166666666666"/>
    <n v="76.687333333333328"/>
    <n v="0"/>
    <n v="-8.9770400387329889"/>
    <n v="8248.5333333333292"/>
    <n v="0.62753000000000003"/>
    <n v="4.3166666666666666E-3"/>
    <n v="83.939790038733008"/>
    <n v="52.766916981630089"/>
    <n v="0"/>
    <n v="0"/>
    <n v="0"/>
    <n v="5.2766916981630096"/>
    <n v="5.2766916981630096"/>
  </r>
  <r>
    <x v="20"/>
    <n v="4798.01"/>
    <n v="4699.17"/>
    <n v="98.84"/>
    <n v="99.59"/>
    <n v="74.923800380882668"/>
    <n v="1.1054166666666667"/>
    <n v="77.959000000000003"/>
    <n v="0"/>
    <n v="-4.140616285784005"/>
    <n v="8248.5333333333292"/>
    <n v="0.63180999999999998"/>
    <n v="4.333333333333334E-3"/>
    <n v="24.666199619117336"/>
    <n v="52.327192673449844"/>
    <n v="0"/>
    <n v="0"/>
    <n v="0"/>
    <n v="5.2327192673449847"/>
    <n v="5.2327192673449847"/>
  </r>
  <r>
    <x v="21"/>
    <n v="4820.2700000000004"/>
    <n v="4694.83"/>
    <n v="125.44"/>
    <n v="73.98"/>
    <n v="82.763253704747243"/>
    <n v="0.82366666666666666"/>
    <n v="78.319500000000005"/>
    <n v="0"/>
    <n v="3.6200870380805732"/>
    <n v="8391.1333333333296"/>
    <n v="0.63682000000000005"/>
    <n v="4.333333333333334E-3"/>
    <n v="-8.7832537047472385"/>
    <n v="51.891132734504431"/>
    <n v="0"/>
    <n v="0"/>
    <n v="0"/>
    <n v="5.1891132734504435"/>
    <n v="5.1891132734504435"/>
  </r>
  <r>
    <x v="22"/>
    <n v="4858.63"/>
    <n v="4541.04"/>
    <n v="317.58999999999997"/>
    <n v="0"/>
    <n v="83.960274965412196"/>
    <n v="1.0453333333333332"/>
    <n v="78.247166666666672"/>
    <n v="0"/>
    <n v="4.6677749654121916"/>
    <n v="8391.1333333333296"/>
    <n v="0.63666"/>
    <n v="4.2833333333333326E-3"/>
    <n v="-83.960274965412196"/>
    <n v="51.45870662838356"/>
    <n v="0"/>
    <n v="0"/>
    <n v="0"/>
    <n v="5.1458706628383561"/>
    <n v="5.1458706628383561"/>
  </r>
  <r>
    <x v="23"/>
    <n v="5055.6099999999997"/>
    <n v="4975.95"/>
    <n v="79.66"/>
    <n v="510.59"/>
    <n v="83.471636499574913"/>
    <n v="2.6465833333333331"/>
    <n v="75.683999999999997"/>
    <n v="0"/>
    <n v="5.1410531662415835"/>
    <n v="8391.1333333333296"/>
    <n v="0.63968999999999998"/>
    <n v="4.208333333333333E-3"/>
    <n v="427.11836350042506"/>
    <n v="51.029884073147031"/>
    <n v="9.1833635004250027"/>
    <n v="1.3775045250637503"/>
    <n v="1.8366727000850007"/>
    <n v="5.1029884073147036"/>
    <n v="8.3171656324634551"/>
  </r>
  <r>
    <x v="24"/>
    <n v="5273.17"/>
    <n v="5027.47"/>
    <n v="245.7"/>
    <n v="134.44999999999999"/>
    <n v="123.57655304321139"/>
    <n v="0.66383333333333328"/>
    <n v="82.93249999999999"/>
    <n v="0"/>
    <n v="39.980219709878078"/>
    <n v="8344.1666666666697"/>
    <n v="0.64036000000000004"/>
    <n v="3.7916666666666667E-3"/>
    <n v="10.873446956788598"/>
    <n v="50.60463503920414"/>
    <n v="0"/>
    <n v="0"/>
    <n v="0"/>
    <n v="5.0604635039204142"/>
    <n v="5.0604635039204142"/>
  </r>
  <r>
    <x v="25"/>
    <n v="5250.49"/>
    <n v="5090.3999999999996"/>
    <n v="160.09"/>
    <n v="146.72"/>
    <n v="44.458739595228209"/>
    <n v="2.0474999999999999"/>
    <n v="83.791166666666669"/>
    <n v="-37.945112798568957"/>
    <n v="-3.4348142728695006"/>
    <n v="8344.1666666666697"/>
    <n v="0.64559"/>
    <n v="3.7916666666666667E-3"/>
    <n v="102.26126040477179"/>
    <n v="20.452252080954359"/>
    <n v="0"/>
    <n v="0"/>
    <n v="0"/>
    <n v="2.0452252080954358"/>
    <n v="2.0452252080954358"/>
  </r>
  <r>
    <x v="26"/>
    <n v="5165.3"/>
    <n v="5027.12"/>
    <n v="138.18"/>
    <n v="21.56"/>
    <n v="90.980864983682778"/>
    <n v="1.3340833333333333"/>
    <n v="84.839999999999989"/>
    <n v="0"/>
    <n v="4.8067816503494463"/>
    <n v="8344.1666666666697"/>
    <n v="0.64249000000000001"/>
    <n v="3.7666666666666664E-3"/>
    <n v="-69.420864983682776"/>
    <n v="20.281816646946407"/>
    <n v="0"/>
    <n v="0"/>
    <n v="0"/>
    <n v="2.0281816646946407"/>
    <n v="2.0281816646946407"/>
  </r>
  <r>
    <x v="27"/>
    <n v="5119.38"/>
    <n v="4991.21"/>
    <n v="128.16999999999999"/>
    <n v="47.88"/>
    <n v="92.67551660278184"/>
    <n v="1.1515"/>
    <n v="83.785333333333327"/>
    <n v="0"/>
    <n v="7.7386832694485079"/>
    <n v="8541.3333333333303"/>
    <n v="0.64583000000000002"/>
    <n v="3.7666666666666664E-3"/>
    <n v="-44.795516602781838"/>
    <n v="20.112801508221853"/>
    <n v="0"/>
    <n v="0"/>
    <n v="0"/>
    <n v="2.0112801508221856"/>
    <n v="2.0112801508221856"/>
  </r>
  <r>
    <x v="28"/>
    <n v="5118.54"/>
    <n v="4999.3999999999996"/>
    <n v="119.14"/>
    <n v="91.38"/>
    <n v="81.92264582724674"/>
    <n v="1.0680833333333333"/>
    <n v="83.18683333333334"/>
    <n v="0"/>
    <n v="-2.3322708394199276"/>
    <n v="8541.3333333333303"/>
    <n v="0.64792000000000005"/>
    <n v="3.7750000000000001E-3"/>
    <n v="9.4573541727532557"/>
    <n v="19.945194828986669"/>
    <n v="0"/>
    <n v="0"/>
    <n v="0"/>
    <n v="1.994519482898667"/>
    <n v="1.994519482898667"/>
  </r>
  <r>
    <x v="29"/>
    <n v="5111.96"/>
    <n v="4981.4799999999996"/>
    <n v="130.47999999999999"/>
    <n v="65.400000000000006"/>
    <n v="51.163388431723952"/>
    <n v="0.99283333333333335"/>
    <n v="83.323333333333323"/>
    <n v="0"/>
    <n v="-33.152778234942708"/>
    <n v="8541.3333333333303"/>
    <n v="0.64942999999999995"/>
    <n v="4.0749999999999996E-3"/>
    <n v="14.236611568276054"/>
    <n v="19.778984872078446"/>
    <n v="0"/>
    <n v="0"/>
    <n v="0"/>
    <n v="1.9778984872078447"/>
    <n v="1.9778984872078447"/>
  </r>
  <r>
    <x v="30"/>
    <n v="5035.7299999999996"/>
    <n v="4894.68"/>
    <n v="141.05000000000001"/>
    <n v="0"/>
    <n v="92.328371090289679"/>
    <n v="1.0873333333333333"/>
    <n v="83.024666666666661"/>
    <n v="0"/>
    <n v="8.2163710902896785"/>
    <n v="8848.5"/>
    <n v="0.65028999999999992"/>
    <n v="4.1333333333333335E-3"/>
    <n v="-92.328371090289679"/>
    <n v="19.614159998144462"/>
    <n v="-0.22517109028967042"/>
    <n v="0"/>
    <n v="0"/>
    <n v="1.9614159998144463"/>
    <n v="1.9614159998144463"/>
  </r>
  <r>
    <x v="31"/>
    <n v="5048.96"/>
    <n v="4945.99"/>
    <n v="102.97"/>
    <n v="132.88999999999999"/>
    <n v="84.482888534949836"/>
    <n v="1.1754166666666668"/>
    <n v="81.578000000000003"/>
    <n v="0"/>
    <n v="1.5043007779934998"/>
    <n v="8848.5"/>
    <n v="0.65189999999999992"/>
    <n v="4.1083333333333328E-3"/>
    <n v="48.40711146505015"/>
    <n v="19.450708664826593"/>
    <n v="0"/>
    <n v="0"/>
    <n v="0"/>
    <n v="1.9450708664826593"/>
    <n v="1.9450708664826593"/>
  </r>
  <r>
    <x v="32"/>
    <n v="5025.6499999999996"/>
    <n v="4918.62"/>
    <n v="107.03"/>
    <n v="55.06"/>
    <n v="87.809213474302567"/>
    <n v="0.85808333333333331"/>
    <n v="82.433166666666665"/>
    <n v="0"/>
    <n v="4.517963474302567"/>
    <n v="8848.5"/>
    <n v="0.65153000000000005"/>
    <n v="4.0666666666666663E-3"/>
    <n v="-32.749213474302564"/>
    <n v="19.288619425953037"/>
    <n v="0"/>
    <n v="0"/>
    <n v="0"/>
    <n v="1.9288619425953037"/>
    <n v="1.9288619425953037"/>
  </r>
  <r>
    <x v="33"/>
    <n v="5045.95"/>
    <n v="4931.92"/>
    <n v="114.03"/>
    <n v="95.28"/>
    <n v="102.07768800715895"/>
    <n v="0.89191666666666669"/>
    <n v="81.977000000000004"/>
    <n v="0"/>
    <n v="19.208771340492294"/>
    <n v="8938.2000000000007"/>
    <n v="0.65182000000000007"/>
    <n v="3.9250000000000005E-3"/>
    <n v="-6.7976880071589534"/>
    <n v="19.127880930736762"/>
    <n v="0"/>
    <n v="0"/>
    <n v="0"/>
    <n v="1.9127880930736763"/>
    <n v="1.9127880930736763"/>
  </r>
  <r>
    <x v="34"/>
    <n v="5140.66"/>
    <n v="5016.83"/>
    <n v="123.83"/>
    <n v="167.11"/>
    <n v="85.220366680365544"/>
    <n v="0.95025000000000004"/>
    <n v="82.198666666666668"/>
    <n v="0"/>
    <n v="2.0714500136988856"/>
    <n v="8938.2000000000007"/>
    <n v="0.65286"/>
    <n v="3.8999999999999994E-3"/>
    <n v="81.88963331963447"/>
    <n v="18.968481922980622"/>
    <n v="0"/>
    <n v="0"/>
    <n v="0"/>
    <n v="1.8968481922980622"/>
    <n v="1.8968481922980622"/>
  </r>
  <r>
    <x v="35"/>
    <n v="5351.99"/>
    <n v="5247.97"/>
    <n v="104.02"/>
    <n v="314.75"/>
    <n v="171.46807242220723"/>
    <n v="1.0319166666666666"/>
    <n v="83.613833333333332"/>
    <n v="0"/>
    <n v="86.822322422207222"/>
    <n v="8938.2000000000007"/>
    <n v="0.65808000000000011"/>
    <n v="3.1999999999999997E-3"/>
    <n v="143.28192757779277"/>
    <n v="18.810411240289117"/>
    <n v="0"/>
    <n v="0"/>
    <n v="0"/>
    <n v="1.8810411240289118"/>
    <n v="1.8810411240289118"/>
  </r>
  <r>
    <x v="36"/>
    <n v="5804.19"/>
    <n v="5669.51"/>
    <n v="134.68"/>
    <n v="509.01"/>
    <n v="132.79047382224999"/>
    <n v="0.86683333333333334"/>
    <n v="87.466166666666666"/>
    <n v="0"/>
    <n v="44.457473822249995"/>
    <n v="8817.9666666666708"/>
    <n v="0.65808000000000011"/>
    <n v="2.8833333333333332E-3"/>
    <n v="376.21952617775003"/>
    <n v="18.653657813286706"/>
    <n v="0"/>
    <n v="0"/>
    <n v="0"/>
    <n v="1.8653657813286708"/>
    <n v="1.8653657813286708"/>
  </r>
  <r>
    <x v="37"/>
    <n v="5520.9"/>
    <n v="5397.7"/>
    <n v="123.2"/>
    <n v="0"/>
    <n v="147.33580314775645"/>
    <n v="1.1223333333333334"/>
    <n v="94.491833333333332"/>
    <n v="-5.5654928264866719"/>
    <n v="57.28712930757645"/>
    <n v="8817.9666666666708"/>
    <n v="0.65718999999999994"/>
    <n v="2.5833333333333333E-3"/>
    <n v="-147.33580314775645"/>
    <n v="0"/>
    <n v="-78.112803147756438"/>
    <n v="0"/>
    <n v="0"/>
    <n v="0"/>
    <n v="0"/>
  </r>
  <r>
    <x v="38"/>
    <n v="5502.63"/>
    <n v="5323.57"/>
    <n v="179.06"/>
    <n v="15.83"/>
    <n v="170.03540060267719"/>
    <n v="1.0266666666666666"/>
    <n v="89.961666666666659"/>
    <n v="0"/>
    <n v="0.934264121587422"/>
    <n v="8817.9666666666708"/>
    <n v="0.65602999999999989"/>
    <n v="2.5833333333333333E-3"/>
    <n v="-154.20540060267717"/>
    <n v="0"/>
    <n v="-28.381100602677172"/>
    <n v="0"/>
    <n v="0"/>
    <n v="0"/>
    <n v="0"/>
  </r>
  <r>
    <x v="39"/>
    <n v="5520.41"/>
    <n v="5414.92"/>
    <n v="105.49"/>
    <n v="180.08"/>
    <n v="126.25106879690958"/>
    <n v="1.4921666666666666"/>
    <n v="88.726166666666657"/>
    <n v="0"/>
    <n v="7.6516348608990912"/>
    <n v="9001.3333333333303"/>
    <n v="0.66015000000000001"/>
    <n v="2.5833333333333333E-3"/>
    <n v="53.828931203090434"/>
    <n v="0"/>
    <n v="0"/>
    <n v="0"/>
    <n v="0"/>
    <n v="0"/>
    <n v="0"/>
  </r>
  <r>
    <x v="40"/>
    <n v="5511.73"/>
    <n v="5399.52"/>
    <n v="112.21"/>
    <n v="74.849999999999994"/>
    <n v="88.346220542104049"/>
    <n v="0.87908333333333333"/>
    <n v="90.248666666666665"/>
    <n v="0"/>
    <n v="-2.7815294578959464"/>
    <n v="9001.3333333333303"/>
    <n v="0.66356999999999999"/>
    <n v="2.5833333333333333E-3"/>
    <n v="-13.496220542104055"/>
    <n v="0"/>
    <n v="0"/>
    <n v="0"/>
    <n v="0"/>
    <n v="0"/>
    <n v="0"/>
  </r>
  <r>
    <x v="41"/>
    <n v="5513.76"/>
    <n v="5380.41"/>
    <n v="133.35"/>
    <n v="70.88"/>
    <n v="99.640132370129379"/>
    <n v="0.93508333333333327"/>
    <n v="89.992000000000004"/>
    <n v="0"/>
    <n v="8.7130490367960309"/>
    <n v="9001.3333333333303"/>
    <n v="0.66364999999999996"/>
    <n v="2.5416666666666665E-3"/>
    <n v="-28.760132370129384"/>
    <n v="0"/>
    <n v="0"/>
    <n v="0"/>
    <n v="0"/>
    <n v="0"/>
    <n v="0"/>
  </r>
  <r>
    <x v="42"/>
    <n v="5560.59"/>
    <n v="5403.65"/>
    <n v="156.94"/>
    <n v="112.91"/>
    <n v="161.19707347155233"/>
    <n v="1.1112499999999998"/>
    <n v="89.673500000000004"/>
    <n v="0"/>
    <n v="70.412323471552327"/>
    <n v="9440.7999999999993"/>
    <n v="0.66650000000000009"/>
    <n v="2.3416666666666668E-3"/>
    <n v="-48.287073471552333"/>
    <n v="0"/>
    <n v="0"/>
    <n v="0"/>
    <n v="0"/>
    <n v="0"/>
    <n v="0"/>
  </r>
  <r>
    <x v="43"/>
    <n v="5576.55"/>
    <n v="5412.68"/>
    <n v="163.87"/>
    <n v="99.09"/>
    <n v="100.72597350608473"/>
    <n v="1.3078333333333334"/>
    <n v="90.060833333333321"/>
    <n v="0"/>
    <n v="9.3573068394180723"/>
    <n v="9440.7999999999993"/>
    <n v="0.66531999999999991"/>
    <n v="2.3083333333333332E-3"/>
    <n v="-1.6359735060847242"/>
    <n v="0"/>
    <n v="0"/>
    <n v="0"/>
    <n v="0"/>
    <n v="0"/>
    <n v="0"/>
  </r>
  <r>
    <x v="44"/>
    <n v="5604.06"/>
    <n v="5423.81"/>
    <n v="180.25"/>
    <n v="101.34"/>
    <n v="138.09690629960207"/>
    <n v="1.3655833333333334"/>
    <n v="90.211333333333343"/>
    <n v="0"/>
    <n v="46.519989632935399"/>
    <n v="9440.7999999999993"/>
    <n v="0.66576999999999997"/>
    <n v="2.1333333333333334E-3"/>
    <n v="-36.756906299602065"/>
    <n v="0"/>
    <n v="0"/>
    <n v="0"/>
    <n v="0"/>
    <n v="0"/>
    <n v="0"/>
  </r>
  <r>
    <x v="45"/>
    <n v="5629.47"/>
    <n v="5525.1"/>
    <n v="104.37"/>
    <n v="191.69"/>
    <n v="132.66549562937988"/>
    <n v="1.5020833333333334"/>
    <n v="90.396833333333333"/>
    <n v="0"/>
    <n v="40.766578962713218"/>
    <n v="9714.2666666666701"/>
    <n v="0.66742999999999997"/>
    <n v="2.0500000000000002E-3"/>
    <n v="59.024504370620122"/>
    <n v="0"/>
    <n v="0"/>
    <n v="0"/>
    <n v="0"/>
    <n v="0"/>
    <n v="0"/>
  </r>
  <r>
    <x v="46"/>
    <n v="5659.22"/>
    <n v="5546.38"/>
    <n v="112.84"/>
    <n v="113.37"/>
    <n v="91.182424997798023"/>
    <n v="0.86975000000000002"/>
    <n v="92.085000000000008"/>
    <n v="0"/>
    <n v="-1.7723250022019792"/>
    <n v="9714.2666666666701"/>
    <n v="0.66930999999999996"/>
    <n v="2.0500000000000002E-3"/>
    <n v="22.187575002201982"/>
    <n v="0"/>
    <n v="0"/>
    <n v="0"/>
    <n v="0"/>
    <n v="0"/>
    <n v="0"/>
  </r>
  <r>
    <x v="47"/>
    <n v="5887.84"/>
    <n v="5795.44"/>
    <n v="92.4"/>
    <n v="341.5"/>
    <n v="92.862486965385344"/>
    <n v="0.94033333333333335"/>
    <n v="92.439666666666668"/>
    <n v="0"/>
    <n v="-0.51751303461464726"/>
    <n v="9714.2666666666701"/>
    <n v="0.66986000000000001"/>
    <n v="2.0500000000000002E-3"/>
    <n v="248.63751303461464"/>
    <n v="0"/>
    <n v="0"/>
    <n v="0"/>
    <n v="0"/>
    <n v="0"/>
    <n v="0"/>
  </r>
  <r>
    <x v="48"/>
    <n v="6223.49"/>
    <n v="6036.87"/>
    <n v="186.62"/>
    <n v="338.02"/>
    <n v="99.343906517988827"/>
    <n v="0.77"/>
    <n v="96.590666666666664"/>
    <n v="13.748890960870302"/>
    <n v="-11.765651109548129"/>
    <n v="9608.2000000000007"/>
    <n v="0.67500000000000004"/>
    <n v="2.0500000000000002E-3"/>
    <n v="238.67609348201114"/>
    <n v="47.735218696402228"/>
    <n v="0"/>
    <n v="0"/>
    <n v="0"/>
    <n v="4.7735218696402226"/>
    <n v="4.7735218696402226"/>
  </r>
  <r>
    <x v="49"/>
    <n v="5928.37"/>
    <n v="5803.21"/>
    <n v="125.16"/>
    <n v="0"/>
    <n v="105.11018919982523"/>
    <n v="1.5551666666666668"/>
    <n v="100.61449999999999"/>
    <n v="0"/>
    <n v="2.9405225331585649"/>
    <n v="9608.2000000000007"/>
    <n v="0.67183999999999999"/>
    <n v="2.0500000000000002E-3"/>
    <n v="-105.11018919982523"/>
    <n v="47.337425207265547"/>
    <n v="-37.982289199825232"/>
    <n v="0"/>
    <n v="0"/>
    <n v="4.7337425207265547"/>
    <n v="4.7337425207265547"/>
  </r>
  <r>
    <x v="50"/>
    <n v="6004.53"/>
    <n v="5811.75"/>
    <n v="192.78"/>
    <n v="105.26"/>
    <n v="182.86168455225084"/>
    <n v="1.0429999999999999"/>
    <n v="96.720166666666671"/>
    <n v="0"/>
    <n v="47.116228685758919"/>
    <n v="9608.2000000000007"/>
    <n v="0.67347999999999997"/>
    <n v="1.8999999999999998E-3"/>
    <n v="-77.601684552250831"/>
    <n v="46.942946663871666"/>
    <n v="0"/>
    <n v="0"/>
    <n v="0"/>
    <n v="4.694294666387167"/>
    <n v="4.694294666387167"/>
  </r>
  <r>
    <x v="51"/>
    <n v="5992.42"/>
    <n v="5878.25"/>
    <n v="114.17"/>
    <n v="163.36000000000001"/>
    <n v="133.25718844319792"/>
    <n v="1.6065"/>
    <n v="96.862499999999997"/>
    <n v="0"/>
    <n v="34.788188443197924"/>
    <n v="10111"/>
    <n v="0.67546000000000006"/>
    <n v="1.8916666666666667E-3"/>
    <n v="30.102811556802095"/>
    <n v="46.551755441672739"/>
    <n v="0"/>
    <n v="0"/>
    <n v="0"/>
    <n v="4.6551755441672737"/>
    <n v="4.6551755441672737"/>
  </r>
  <r>
    <x v="52"/>
    <n v="6034.28"/>
    <n v="5890.85"/>
    <n v="143.43"/>
    <n v="110.57"/>
    <n v="97.06114185375786"/>
    <n v="0.95141666666666669"/>
    <n v="97.970833333333331"/>
    <n v="0"/>
    <n v="-1.8611081462421273"/>
    <n v="10111"/>
    <n v="0.67732999999999999"/>
    <n v="1.8916666666666667E-3"/>
    <n v="13.508858146242133"/>
    <n v="46.163824146325467"/>
    <n v="0"/>
    <n v="0"/>
    <n v="0"/>
    <n v="4.6163824146325467"/>
    <n v="4.6163824146325467"/>
  </r>
  <r>
    <x v="53"/>
    <n v="6075.23"/>
    <n v="5853.26"/>
    <n v="221.97"/>
    <n v="60.59"/>
    <n v="99.14763168459713"/>
    <n v="1.1952500000000001"/>
    <n v="98.180833333333339"/>
    <n v="0"/>
    <n v="-0.22845164873620458"/>
    <n v="10111"/>
    <n v="0.67756000000000005"/>
    <n v="1.8916666666666667E-3"/>
    <n v="-38.557631684597126"/>
    <n v="45.779125611772756"/>
    <n v="0"/>
    <n v="0"/>
    <n v="0"/>
    <n v="4.5779125611772757"/>
    <n v="4.5779125611772757"/>
  </r>
  <r>
    <x v="54"/>
    <n v="6072.01"/>
    <n v="5912.41"/>
    <n v="159.6"/>
    <n v="156.69999999999999"/>
    <n v="123.66242527753136"/>
    <n v="1.84975"/>
    <n v="97.554333333333332"/>
    <n v="0"/>
    <n v="24.25834194419803"/>
    <n v="10526.8666666667"/>
    <n v="0.68078000000000005"/>
    <n v="1.8916666666666667E-3"/>
    <n v="33.037574722468634"/>
    <n v="45.397632898341314"/>
    <n v="0"/>
    <n v="0"/>
    <n v="0"/>
    <n v="4.5397632898341316"/>
    <n v="4.5397632898341316"/>
  </r>
  <r>
    <x v="55"/>
    <n v="6120.66"/>
    <n v="5898.34"/>
    <n v="222.32"/>
    <n v="84.47"/>
    <n v="100.95133129702505"/>
    <n v="1.3299999999999998"/>
    <n v="98.540166666666664"/>
    <n v="0"/>
    <n v="1.0811646303583857"/>
    <n v="10526.8666666667"/>
    <n v="0.67971000000000004"/>
    <n v="1.8916666666666667E-3"/>
    <n v="-16.481331297025051"/>
    <n v="45.019319290855137"/>
    <n v="0"/>
    <n v="0"/>
    <n v="0"/>
    <n v="4.5019319290855142"/>
    <n v="4.5019319290855142"/>
  </r>
  <r>
    <x v="56"/>
    <n v="6140.12"/>
    <n v="5877.41"/>
    <n v="262.70999999999998"/>
    <n v="77.38"/>
    <n v="96.763998072248242"/>
    <n v="1.8526666666666667"/>
    <n v="98.305666666666667"/>
    <n v="0"/>
    <n v="-3.3943352610850894"/>
    <n v="10526.8666666667"/>
    <n v="0.68007999999999991"/>
    <n v="1.8999999999999998E-3"/>
    <n v="-19.383998072248247"/>
    <n v="44.64415829676468"/>
    <n v="0"/>
    <n v="0"/>
    <n v="0"/>
    <n v="4.4644158296764678"/>
    <n v="4.4644158296764678"/>
  </r>
  <r>
    <x v="57"/>
    <n v="6168.68"/>
    <n v="5915.42"/>
    <n v="253.26"/>
    <n v="135.97"/>
    <n v="132.25813868062571"/>
    <n v="2.1892499999999999"/>
    <n v="97.956833333333336"/>
    <n v="0"/>
    <n v="32.112055347292369"/>
    <n v="10965.4333333333"/>
    <n v="0.68248999999999993"/>
    <n v="1.8833333333333332E-3"/>
    <n v="3.7118613193742931"/>
    <n v="44.272123644291646"/>
    <n v="0"/>
    <n v="0"/>
    <n v="0"/>
    <n v="4.427212364429165"/>
    <n v="4.427212364429165"/>
  </r>
  <r>
    <x v="58"/>
    <n v="6192.55"/>
    <n v="5966.73"/>
    <n v="225.82"/>
    <n v="149.9"/>
    <n v="98.489217391082263"/>
    <n v="2.1105"/>
    <n v="98.590333333333334"/>
    <n v="0"/>
    <n v="-2.2116159422510706"/>
    <n v="10965.4333333333"/>
    <n v="0.68462999999999996"/>
    <n v="1.8833333333333332E-3"/>
    <n v="51.410782608917742"/>
    <n v="43.903189280589217"/>
    <n v="0"/>
    <n v="0"/>
    <n v="0"/>
    <n v="4.3903189280589219"/>
    <n v="4.3903189280589219"/>
  </r>
  <r>
    <x v="59"/>
    <n v="6351.31"/>
    <n v="6259.47"/>
    <n v="91.84"/>
    <n v="392.19"/>
    <n v="98.912637084365855"/>
    <n v="1.8818333333333332"/>
    <n v="99.445499999999996"/>
    <n v="0"/>
    <n v="-2.4146962489674664"/>
    <n v="10965.4333333333"/>
    <n v="0.68697000000000008"/>
    <n v="1.8833333333333332E-3"/>
    <n v="293.27736291563417"/>
    <n v="43.537329369917643"/>
    <n v="0"/>
    <n v="0"/>
    <n v="0"/>
    <n v="4.3537329369917641"/>
    <n v="4.3537329369917641"/>
  </r>
  <r>
    <x v="60"/>
    <n v="6600.3"/>
    <n v="6309.8"/>
    <n v="290.5"/>
    <n v="154.65"/>
    <n v="27.961493757396696"/>
    <n v="0.76533333333333331"/>
    <n v="104.3245"/>
    <n v="0"/>
    <n v="-77.128339575936636"/>
    <n v="10904.1333333333"/>
    <n v="0.69045000000000001"/>
    <n v="2.0833333333333333E-3"/>
    <n v="126.68850624260331"/>
    <n v="43.174518291834993"/>
    <n v="0"/>
    <n v="0"/>
    <n v="0"/>
    <n v="4.3174518291834998"/>
    <n v="4.3174518291834998"/>
  </r>
  <r>
    <x v="61"/>
    <n v="6563.34"/>
    <n v="6338.57"/>
    <n v="224.77"/>
    <n v="133.93"/>
    <n v="33.083663655266193"/>
    <n v="2.4208333333333334"/>
    <n v="105.16333333333334"/>
    <n v="-28.750776624174328"/>
    <n v="-45.749726387226147"/>
    <n v="10904.1333333333"/>
    <n v="0.69269000000000003"/>
    <n v="2.225E-3"/>
    <n v="100.84633634473381"/>
    <n v="20.169267268946765"/>
    <n v="0"/>
    <n v="0"/>
    <n v="0"/>
    <n v="2.0169267268946767"/>
    <n v="2.0169267268946767"/>
  </r>
  <r>
    <x v="62"/>
    <n v="6466.25"/>
    <n v="6302.94"/>
    <n v="163.31"/>
    <n v="70.010000000000005"/>
    <n v="110.77503393498237"/>
    <n v="1.8730833333333334"/>
    <n v="105.64283333333333"/>
    <n v="0"/>
    <n v="3.2591172683157255"/>
    <n v="10904.1333333333"/>
    <n v="0.68921999999999994"/>
    <n v="2.225E-3"/>
    <n v="-40.76503393498237"/>
    <n v="20.001190041705545"/>
    <n v="0"/>
    <n v="0"/>
    <n v="0"/>
    <n v="2.0001190041705548"/>
    <n v="2.0001190041705548"/>
  </r>
  <r>
    <x v="63"/>
    <n v="6473.04"/>
    <n v="6313.79"/>
    <n v="159.25"/>
    <n v="115.9"/>
    <n v="80.912708513852891"/>
    <n v="1.3609166666666668"/>
    <n v="105.04899999999999"/>
    <n v="0"/>
    <n v="-25.497208152813776"/>
    <n v="11155.766666666699"/>
    <n v="0.69440000000000002"/>
    <n v="2.3500000000000001E-3"/>
    <n v="34.987291486147114"/>
    <n v="19.834513458024666"/>
    <n v="0"/>
    <n v="0"/>
    <n v="0"/>
    <n v="1.9834513458024667"/>
    <n v="1.9834513458024667"/>
  </r>
  <r>
    <x v="64"/>
    <n v="6503.56"/>
    <n v="6270.11"/>
    <n v="233.45"/>
    <n v="61.55"/>
    <n v="85.431366503635289"/>
    <n v="1.3270833333333334"/>
    <n v="105.22983333333333"/>
    <n v="0"/>
    <n v="-21.125550163031374"/>
    <n v="11155.766666666699"/>
    <n v="0.69790999999999992"/>
    <n v="2.4166666666666664E-3"/>
    <n v="-23.881366503635292"/>
    <n v="19.669225845874461"/>
    <n v="0"/>
    <n v="0"/>
    <n v="0"/>
    <n v="1.9669225845874463"/>
    <n v="1.9669225845874463"/>
  </r>
  <r>
    <x v="65"/>
    <n v="6490.33"/>
    <n v="6268.64"/>
    <n v="221.69"/>
    <n v="103.03"/>
    <n v="103.41575140015662"/>
    <n v="1.9454166666666666"/>
    <n v="104.50183333333332"/>
    <n v="0"/>
    <n v="-3.0314985998433714"/>
    <n v="11155.766666666699"/>
    <n v="0.70123999999999997"/>
    <n v="2.4166666666666664E-3"/>
    <n v="-0.38575140015662157"/>
    <n v="19.505315630492174"/>
    <n v="0"/>
    <n v="0"/>
    <n v="0"/>
    <n v="1.9505315630492175"/>
    <n v="1.9505315630492175"/>
  </r>
  <r>
    <x v="66"/>
    <n v="6468.07"/>
    <n v="6309.52"/>
    <n v="158.55000000000001"/>
    <n v="145.36000000000001"/>
    <n v="139.61882862020875"/>
    <n v="1.8474166666666667"/>
    <n v="104.47733333333333"/>
    <n v="0"/>
    <n v="33.294078620208751"/>
    <n v="11768.766666666699"/>
    <n v="0.70259000000000005"/>
    <n v="2.4166666666666664E-3"/>
    <n v="5.7411713797912682"/>
    <n v="19.342771333571406"/>
    <n v="0"/>
    <n v="0"/>
    <n v="0"/>
    <n v="1.9342771333571407"/>
    <n v="1.9342771333571407"/>
  </r>
  <r>
    <x v="67"/>
    <n v="6459.11"/>
    <n v="6279.42"/>
    <n v="179.69"/>
    <n v="75.06"/>
    <n v="54.63022136187751"/>
    <n v="1.32125"/>
    <n v="105.15866666666668"/>
    <n v="0"/>
    <n v="-51.849695304789172"/>
    <n v="11768.766666666699"/>
    <n v="0.70349000000000006"/>
    <n v="2.6166666666666669E-3"/>
    <n v="20.429778638122492"/>
    <n v="19.18158157245831"/>
    <n v="0"/>
    <n v="0"/>
    <n v="0"/>
    <n v="1.9181581572458311"/>
    <n v="1.9181581572458311"/>
  </r>
  <r>
    <x v="68"/>
    <n v="6489"/>
    <n v="6345.15"/>
    <n v="143.85"/>
    <n v="170.39"/>
    <n v="105.91302473930995"/>
    <n v="1.4974166666666666"/>
    <n v="104.657"/>
    <n v="0"/>
    <n v="-0.24139192735671677"/>
    <n v="11768.766666666699"/>
    <n v="0.70376000000000005"/>
    <n v="2.6166666666666669E-3"/>
    <n v="64.47697526069004"/>
    <n v="19.021735059354491"/>
    <n v="0"/>
    <n v="0"/>
    <n v="0"/>
    <n v="1.9021735059354492"/>
    <n v="1.9021735059354492"/>
  </r>
  <r>
    <x v="69"/>
    <n v="6516.23"/>
    <n v="6374.41"/>
    <n v="141.82"/>
    <n v="135.01"/>
    <n v="114.76419924485238"/>
    <n v="1.19875"/>
    <n v="105.7525"/>
    <n v="0"/>
    <n v="7.8129492448523772"/>
    <n v="11955.5333333333"/>
    <n v="0.70616000000000001"/>
    <n v="2.6166666666666669E-3"/>
    <n v="20.245800755147613"/>
    <n v="18.863220600526535"/>
    <n v="0"/>
    <n v="0"/>
    <n v="0"/>
    <n v="1.8863220600526536"/>
    <n v="1.8863220600526536"/>
  </r>
  <r>
    <x v="70"/>
    <n v="6544.44"/>
    <n v="6335.56"/>
    <n v="208.88"/>
    <n v="67.39"/>
    <n v="17.710973909026634"/>
    <n v="1.1818333333333333"/>
    <n v="106.24016666666667"/>
    <n v="0"/>
    <n v="-89.711026090973363"/>
    <n v="11955.5333333333"/>
    <n v="0.7087699999999999"/>
    <n v="3.0166666666666671E-3"/>
    <n v="49.679026090973366"/>
    <n v="18.706027095522145"/>
    <n v="0"/>
    <n v="0"/>
    <n v="0"/>
    <n v="1.8706027095522146"/>
    <n v="1.8706027095522146"/>
  </r>
  <r>
    <x v="71"/>
    <n v="6664.14"/>
    <n v="6594.21"/>
    <n v="69.930000000000007"/>
    <n v="364.24"/>
    <n v="109.04595888426805"/>
    <n v="1.7406666666666666"/>
    <n v="105.59266666666667"/>
    <n v="0"/>
    <n v="1.7126255509347081"/>
    <n v="11955.5333333333"/>
    <n v="0.70672000000000001"/>
    <n v="3.0166666666666671E-3"/>
    <n v="255.19404111573198"/>
    <n v="18.550143536392795"/>
    <n v="0"/>
    <n v="0"/>
    <n v="0"/>
    <n v="1.8550143536392796"/>
    <n v="1.8550143536392796"/>
  </r>
  <r>
    <x v="72"/>
    <n v="7471.38"/>
    <n v="7219.24"/>
    <n v="252.14"/>
    <n v="734.93"/>
    <n v="81.861812453672073"/>
    <n v="0.5827500000000001"/>
    <n v="109.90349999999999"/>
    <n v="-3.3983148543882677"/>
    <n v="-25.226122691939665"/>
    <n v="11477.3"/>
    <n v="0.70825999999999989"/>
    <n v="3.0166666666666671E-3"/>
    <n v="653.06818754632786"/>
    <n v="130.61363750926557"/>
    <n v="183.28418754632787"/>
    <n v="27.492628131949179"/>
    <n v="36.656837509265578"/>
    <n v="13.061363750926558"/>
    <n v="77.210829392141321"/>
  </r>
  <r>
    <x v="73"/>
    <n v="6926.15"/>
    <n v="6699.14"/>
    <n v="227.01"/>
    <n v="0"/>
    <n v="121.82349125186852"/>
    <n v="2.1011666666666664"/>
    <n v="120.32066666666667"/>
    <n v="0"/>
    <n v="-0.59834208146481915"/>
    <n v="11477.3"/>
    <n v="0.70899000000000001"/>
    <n v="3.0166666666666671E-3"/>
    <n v="-121.82349125186852"/>
    <n v="129.52519053002169"/>
    <n v="0"/>
    <n v="0"/>
    <n v="0"/>
    <n v="12.95251905300217"/>
    <n v="12.95251905300217"/>
  </r>
  <r>
    <x v="74"/>
    <n v="6799.24"/>
    <n v="6615.21"/>
    <n v="184.03"/>
    <n v="27.72"/>
    <n v="115.32815856944303"/>
    <n v="1.8917499999999998"/>
    <n v="111.65233333333335"/>
    <n v="0"/>
    <n v="1.784075236109691"/>
    <n v="11477.3"/>
    <n v="0.70680999999999994"/>
    <n v="3.0166666666666671E-3"/>
    <n v="-87.608158569443034"/>
    <n v="128.44581394227151"/>
    <n v="0"/>
    <n v="0"/>
    <n v="0"/>
    <n v="12.844581394227152"/>
    <n v="12.844581394227152"/>
  </r>
  <r>
    <x v="75"/>
    <n v="6828.64"/>
    <n v="6716.22"/>
    <n v="112.42"/>
    <n v="211.26"/>
    <n v="134.3110781923524"/>
    <n v="1.5335833333333333"/>
    <n v="110.2535"/>
    <n v="0"/>
    <n v="22.523994859019055"/>
    <n v="11982.8666666667"/>
    <n v="0.71022000000000007"/>
    <n v="3.0166666666666671E-3"/>
    <n v="76.948921807647594"/>
    <n v="127.37543215941925"/>
    <n v="0"/>
    <n v="0"/>
    <n v="0"/>
    <n v="12.737543215941926"/>
    <n v="12.737543215941926"/>
  </r>
  <r>
    <x v="76"/>
    <n v="6836.55"/>
    <n v="6623.96"/>
    <n v="212.59"/>
    <n v="19.68"/>
    <n v="110.58062407200539"/>
    <n v="0.9368333333333333"/>
    <n v="111.937"/>
    <n v="0"/>
    <n v="-2.2932092613279473"/>
    <n v="11982.8666666667"/>
    <n v="0.71296000000000004"/>
    <n v="3.0166666666666671E-3"/>
    <n v="-90.9006240720054"/>
    <n v="126.31397022475743"/>
    <n v="0"/>
    <n v="0"/>
    <n v="0"/>
    <n v="12.631397022475744"/>
    <n v="12.631397022475744"/>
  </r>
  <r>
    <x v="77"/>
    <n v="6793.01"/>
    <n v="6664.98"/>
    <n v="128.03"/>
    <n v="151.41999999999999"/>
    <n v="140.28111944056903"/>
    <n v="1.7715833333333333"/>
    <n v="110.39933333333333"/>
    <n v="0"/>
    <n v="28.110202773902365"/>
    <n v="11982.8666666667"/>
    <n v="0.71400999999999992"/>
    <n v="2.8750000000000004E-3"/>
    <n v="11.138880559430959"/>
    <n v="125.26135380621778"/>
    <n v="0"/>
    <n v="0"/>
    <n v="0"/>
    <n v="12.526135380621779"/>
    <n v="12.526135380621779"/>
  </r>
  <r>
    <x v="78"/>
    <n v="6786.22"/>
    <n v="6647.27"/>
    <n v="138.94999999999999"/>
    <n v="93.37"/>
    <n v="150.98568549569944"/>
    <n v="1.0669166666666667"/>
    <n v="111.083"/>
    <n v="0"/>
    <n v="38.835768829032787"/>
    <n v="12739.0666666667"/>
    <n v="0.71287999999999996"/>
    <n v="2.8750000000000004E-3"/>
    <n v="-57.615685495699438"/>
    <n v="124.21750919116597"/>
    <n v="0"/>
    <n v="0"/>
    <n v="0"/>
    <n v="12.421750919116597"/>
    <n v="12.421750919116597"/>
  </r>
  <r>
    <x v="79"/>
    <n v="6823.46"/>
    <n v="6660.36"/>
    <n v="163.1"/>
    <n v="123.88"/>
    <n v="119.11985869521801"/>
    <n v="1.1579166666666665"/>
    <n v="110.78783333333334"/>
    <n v="0"/>
    <n v="7.1741086952180151"/>
    <n v="12739.0666666667"/>
    <n v="0.71308000000000005"/>
    <n v="2.8416666666666664E-3"/>
    <n v="4.7601413047819818"/>
    <n v="123.18236328123959"/>
    <n v="0"/>
    <n v="0"/>
    <n v="0"/>
    <n v="12.318236328123959"/>
    <n v="12.318236328123959"/>
  </r>
  <r>
    <x v="80"/>
    <n v="6851.32"/>
    <n v="6707.89"/>
    <n v="143.43"/>
    <n v="158.54"/>
    <n v="112.32970703673593"/>
    <n v="1.3591666666666666"/>
    <n v="111.006"/>
    <n v="0"/>
    <n v="-3.5459629930742413E-2"/>
    <n v="12739.0666666667"/>
    <n v="0.71311999999999998"/>
    <n v="2.8416666666666664E-3"/>
    <n v="46.210292963264067"/>
    <n v="122.15584358722927"/>
    <n v="0"/>
    <n v="0"/>
    <n v="0"/>
    <n v="12.215584358722928"/>
    <n v="12.215584358722928"/>
  </r>
  <r>
    <x v="81"/>
    <n v="6880.3"/>
    <n v="6631.1"/>
    <n v="249.2"/>
    <n v="35.01"/>
    <n v="118.79423415307782"/>
    <n v="1.1952500000000001"/>
    <n v="111.79816666666667"/>
    <n v="0"/>
    <n v="5.8008174864111508"/>
    <n v="12870.166666666701"/>
    <n v="0.71389999999999998"/>
    <n v="2.8416666666666664E-3"/>
    <n v="-83.784234153077819"/>
    <n v="121.13787822400236"/>
    <n v="0"/>
    <n v="0"/>
    <n v="0"/>
    <n v="12.113787822400237"/>
    <n v="12.113787822400237"/>
  </r>
  <r>
    <x v="82"/>
    <n v="6915.16"/>
    <n v="6688.71"/>
    <n v="226.45"/>
    <n v="168.13"/>
    <n v="111.30309648223799"/>
    <n v="2.0766666666666667"/>
    <n v="110.51833333333335"/>
    <n v="0"/>
    <n v="-1.2919035177620206"/>
    <n v="12870.166666666701"/>
    <n v="0.71534999999999993"/>
    <n v="2.8416666666666664E-3"/>
    <n v="56.826903517762005"/>
    <n v="120.12839590546901"/>
    <n v="0"/>
    <n v="0"/>
    <n v="0"/>
    <n v="12.012839590546902"/>
    <n v="12.012839590546902"/>
  </r>
  <r>
    <x v="83"/>
    <n v="7037.73"/>
    <n v="6934.55"/>
    <n v="103.18"/>
    <n v="357.32"/>
    <n v="115.74750958889867"/>
    <n v="1.8870833333333332"/>
    <n v="111.4785"/>
    <n v="0"/>
    <n v="2.3819262555653351"/>
    <n v="12870.166666666701"/>
    <n v="0.71266999999999991"/>
    <n v="2.8416666666666664E-3"/>
    <n v="241.57249041110134"/>
    <n v="119.12732593959009"/>
    <n v="0"/>
    <n v="0"/>
    <n v="0"/>
    <n v="11.91273259395901"/>
    <n v="11.91273259395901"/>
  </r>
  <r>
    <x v="84"/>
    <n v="7123.06"/>
    <n v="6814.36"/>
    <n v="308.7"/>
    <n v="0"/>
    <n v="112.20842298558038"/>
    <n v="0.85983333333333334"/>
    <n v="115.57583333333334"/>
    <n v="0"/>
    <n v="-4.227243681086275"/>
    <n v="12820.233333333301"/>
    <n v="0.71463999999999994"/>
    <n v="2.8416666666666664E-3"/>
    <n v="-112.20842298558038"/>
    <n v="118.13459822342683"/>
    <n v="0"/>
    <n v="0"/>
    <n v="0"/>
    <n v="11.813459822342685"/>
    <n v="11.813459822342685"/>
  </r>
  <r>
    <x v="85"/>
    <n v="7388.43"/>
    <n v="7187.25"/>
    <n v="201.18"/>
    <n v="486.46"/>
    <n v="8.5952442471057093"/>
    <n v="2.5724999999999998"/>
    <n v="113.57266666666666"/>
    <n v="-102.33369976153308"/>
    <n v="-5.2162226580278759"/>
    <n v="12820.233333333301"/>
    <n v="0.72049999999999992"/>
    <n v="2.8416666666666664E-3"/>
    <n v="477.86475575289427"/>
    <n v="95.572951150578859"/>
    <n v="0"/>
    <n v="0"/>
    <n v="0"/>
    <n v="9.5572951150578866"/>
    <n v="9.5572951150578866"/>
  </r>
  <r>
    <x v="86"/>
    <n v="7117.6"/>
    <n v="6633.13"/>
    <n v="484.47"/>
    <n v="0"/>
    <n v="124.24777406783835"/>
    <n v="1.6765000000000001"/>
    <n v="119.78749999999999"/>
    <n v="0"/>
    <n v="2.7837740678383454"/>
    <n v="12820.233333333301"/>
    <n v="0.71735000000000004"/>
    <n v="2.8416666666666664E-3"/>
    <n v="-124.24777406783835"/>
    <n v="94.776509890990695"/>
    <n v="0"/>
    <n v="0"/>
    <n v="0"/>
    <n v="9.4776509890990699"/>
    <n v="9.4776509890990699"/>
  </r>
  <r>
    <x v="87"/>
    <n v="7213.92"/>
    <n v="6662.32"/>
    <n v="551.6"/>
    <n v="139.74"/>
    <n v="123.56861311511715"/>
    <n v="4.0372500000000002"/>
    <n v="110.55216666666666"/>
    <n v="0"/>
    <n v="8.9791964484504749"/>
    <n v="13015.8"/>
    <n v="0.71813000000000005"/>
    <n v="2.8416666666666664E-3"/>
    <n v="16.171386884882864"/>
    <n v="93.986705641899107"/>
    <n v="0"/>
    <n v="0"/>
    <n v="0"/>
    <n v="9.3986705641899118"/>
    <n v="9.3986705641899118"/>
  </r>
  <r>
    <x v="88"/>
    <n v="7213.57"/>
    <n v="7004.27"/>
    <n v="209.3"/>
    <n v="452.99"/>
    <n v="112.56904143622573"/>
    <n v="4.5966666666666667"/>
    <n v="111.03866666666666"/>
    <n v="0"/>
    <n v="-3.0662918971075848"/>
    <n v="13015.8"/>
    <n v="0.72156000000000009"/>
    <n v="2.8416666666666664E-3"/>
    <n v="340.42095856377426"/>
    <n v="93.203483094883282"/>
    <n v="0"/>
    <n v="0"/>
    <n v="0"/>
    <n v="9.3203483094883293"/>
    <n v="9.3203483094883293"/>
  </r>
  <r>
    <x v="89"/>
    <n v="7098.28"/>
    <n v="6972.14"/>
    <n v="126.14"/>
    <n v="84.61"/>
    <n v="117.84048263562669"/>
    <n v="1.7441666666666669"/>
    <n v="116.73783333333334"/>
    <n v="0"/>
    <n v="-0.64151736437332152"/>
    <n v="13015.8"/>
    <n v="0.72227999999999992"/>
    <n v="2.8416666666666664E-3"/>
    <n v="-33.230482635626686"/>
    <n v="92.426787402425916"/>
    <n v="0"/>
    <n v="0"/>
    <n v="0"/>
    <n v="9.2426787402425923"/>
    <n v="9.2426787402425923"/>
  </r>
  <r>
    <x v="90"/>
    <n v="7115.57"/>
    <n v="6907.11"/>
    <n v="208.46"/>
    <n v="51.17"/>
    <n v="130.11919282312948"/>
    <n v="1.0511666666666666"/>
    <n v="116.20233333333334"/>
    <n v="0"/>
    <n v="12.86569282312948"/>
    <n v="13277.8666666667"/>
    <n v="0.72230000000000005"/>
    <n v="2.8416666666666664E-3"/>
    <n v="-78.949192823129479"/>
    <n v="91.656564174072372"/>
    <n v="0"/>
    <n v="0"/>
    <n v="0"/>
    <n v="9.1656564174072379"/>
    <n v="9.1656564174072379"/>
  </r>
  <r>
    <x v="91"/>
    <n v="7101.08"/>
    <n v="6960.8"/>
    <n v="140.28"/>
    <n v="168.81"/>
    <n v="115.94712082469229"/>
    <n v="1.7371666666666667"/>
    <n v="115.1185"/>
    <n v="0"/>
    <n v="-0.90854584197437838"/>
    <n v="13277.8666666667"/>
    <n v="0.72331000000000001"/>
    <n v="2.8416666666666664E-3"/>
    <n v="52.862879175307711"/>
    <n v="90.892759472621762"/>
    <n v="0"/>
    <n v="0"/>
    <n v="0"/>
    <n v="9.0892759472621769"/>
    <n v="9.0892759472621769"/>
  </r>
  <r>
    <x v="92"/>
    <n v="7068.67"/>
    <n v="6914.6"/>
    <n v="154.07"/>
    <n v="69.81"/>
    <n v="116.88575882581759"/>
    <n v="1.169"/>
    <n v="116.01333333333334"/>
    <n v="0"/>
    <n v="-0.29657450751574016"/>
    <n v="13277.8666666667"/>
    <n v="0.72364000000000006"/>
    <n v="2.8416666666666664E-3"/>
    <n v="-47.075758825817587"/>
    <n v="90.135319810349912"/>
    <n v="0"/>
    <n v="0"/>
    <n v="0"/>
    <n v="9.0135319810349923"/>
    <n v="9.0135319810349923"/>
  </r>
  <r>
    <x v="93"/>
    <n v="7110.88"/>
    <n v="6900.25"/>
    <n v="210.63"/>
    <n v="100.89"/>
    <n v="133.07567539494173"/>
    <n v="1.2839166666666666"/>
    <n v="115.24333333333334"/>
    <n v="0"/>
    <n v="16.548425394941717"/>
    <n v="13621.666666666701"/>
    <n v="0.72384000000000004"/>
    <n v="2.8416666666666664E-3"/>
    <n v="-32.185675394941725"/>
    <n v="89.384192145263654"/>
    <n v="0"/>
    <n v="0"/>
    <n v="0"/>
    <n v="8.9384192145263661"/>
    <n v="8.9384192145263661"/>
  </r>
  <r>
    <x v="94"/>
    <n v="7188.37"/>
    <n v="6985.37"/>
    <n v="203"/>
    <n v="200.12"/>
    <n v="115.17535484846499"/>
    <n v="1.75525"/>
    <n v="115.00416666666666"/>
    <n v="0"/>
    <n v="-1.5840618182016755"/>
    <n v="13621.666666666701"/>
    <n v="0.72558000000000011"/>
    <n v="2.8416666666666664E-3"/>
    <n v="84.944645151535013"/>
    <n v="88.63932387738646"/>
    <n v="0"/>
    <n v="0"/>
    <n v="0"/>
    <n v="8.8639323877386467"/>
    <n v="8.8639323877386467"/>
  </r>
  <r>
    <x v="95"/>
    <n v="7364.63"/>
    <n v="7205.17"/>
    <n v="159.46"/>
    <n v="336.22"/>
    <n v="116.89622314500394"/>
    <n v="1.6916666666666667"/>
    <n v="116.42283333333333"/>
    <n v="0"/>
    <n v="-1.2182768549960477"/>
    <n v="13621.666666666701"/>
    <n v="0.7269199999999999"/>
    <n v="2.8416666666666664E-3"/>
    <n v="219.32377685499608"/>
    <n v="87.900662845074905"/>
    <n v="0"/>
    <n v="0"/>
    <n v="0"/>
    <n v="8.7900662845074908"/>
    <n v="8.7900662845074908"/>
  </r>
  <r>
    <x v="96"/>
    <n v="7918.82"/>
    <n v="7704.9"/>
    <n v="213.92"/>
    <n v="619.82000000000005"/>
    <n v="116.84350637273756"/>
    <n v="1.3288333333333333"/>
    <n v="120.08616666666667"/>
    <n v="0"/>
    <n v="-4.5714936272624414"/>
    <n v="13556.333333333299"/>
    <n v="0.72846"/>
    <n v="2.8416666666666664E-3"/>
    <n v="502.97649362726247"/>
    <n v="87.168157321365939"/>
    <n v="0"/>
    <n v="0"/>
    <n v="0"/>
    <n v="8.7168157321365936"/>
    <n v="8.7168157321365936"/>
  </r>
  <r>
    <x v="97"/>
    <n v="7824.95"/>
    <n v="7598.85"/>
    <n v="226.1"/>
    <n v="22.36"/>
    <n v="56.178992711441765"/>
    <n v="1.7826666666666666"/>
    <n v="128.41499999999999"/>
    <n v="-70.639584387670567"/>
    <n v="-3.3790895675543289"/>
    <n v="13556.333333333299"/>
    <n v="0.7321899999999999"/>
    <n v="2.8416666666666664E-3"/>
    <n v="-33.818992711441766"/>
    <n v="0"/>
    <n v="0"/>
    <n v="0"/>
    <n v="0"/>
    <n v="0"/>
    <n v="0"/>
  </r>
  <r>
    <x v="98"/>
    <n v="7676.2"/>
    <n v="7507.85"/>
    <n v="168.35"/>
    <n v="35.65"/>
    <n v="131.77651712903454"/>
    <n v="1.8841666666666665"/>
    <n v="126.64750000000001"/>
    <n v="0"/>
    <n v="3.2448504623678773"/>
    <n v="13556.333333333299"/>
    <n v="0.72858999999999996"/>
    <n v="2.8416666666666664E-3"/>
    <n v="-96.126517129034539"/>
    <n v="0"/>
    <n v="-2.8550171290345503"/>
    <n v="0"/>
    <n v="0"/>
    <n v="0"/>
    <n v="0"/>
  </r>
  <r>
    <x v="99"/>
    <n v="7594.37"/>
    <n v="7431.2"/>
    <n v="163.16999999999999"/>
    <n v="48.48"/>
    <n v="159.63275662798156"/>
    <n v="1.4029166666666666"/>
    <n v="125.13083333333334"/>
    <n v="0"/>
    <n v="30.243989498947002"/>
    <n v="14247.9666666667"/>
    <n v="0.73194999999999988"/>
    <n v="2.8416666666666664E-3"/>
    <n v="-111.15275662798157"/>
    <n v="0"/>
    <n v="-22.294756627981585"/>
    <n v="0"/>
    <n v="0"/>
    <n v="0"/>
    <n v="0"/>
  </r>
  <r>
    <x v="100"/>
    <n v="7594.3"/>
    <n v="7439.04"/>
    <n v="155.26"/>
    <n v="131.69"/>
    <n v="146.10984752380875"/>
    <n v="1.3597499999999998"/>
    <n v="123.85333333333332"/>
    <n v="0"/>
    <n v="-1.3979924375061672"/>
    <n v="14247.9666666667"/>
    <n v="0.73346"/>
    <n v="2.8416666666666664E-3"/>
    <n v="-14.419847523808755"/>
    <n v="0"/>
    <n v="0"/>
    <n v="0"/>
    <n v="0"/>
    <n v="0"/>
    <n v="0"/>
  </r>
  <r>
    <x v="101"/>
    <n v="7501.41"/>
    <n v="7355.53"/>
    <n v="145.88"/>
    <n v="40.47"/>
    <n v="124.0940944622468"/>
    <n v="1.2938333333333332"/>
    <n v="123.98399999999999"/>
    <n v="0"/>
    <n v="-1.1837388710865395"/>
    <n v="14247.9666666667"/>
    <n v="0.73474000000000006"/>
    <n v="2.8416666666666664E-3"/>
    <n v="-83.624094462246802"/>
    <n v="0"/>
    <n v="-11.299394462246809"/>
    <n v="0"/>
    <n v="0"/>
    <n v="0"/>
    <n v="0"/>
  </r>
  <r>
    <x v="102"/>
    <n v="7482.93"/>
    <n v="7281.12"/>
    <n v="201.81"/>
    <n v="48.18"/>
    <n v="155.30148937884763"/>
    <n v="1.2156666666666667"/>
    <n v="122.59216666666666"/>
    <n v="0"/>
    <n v="20.194261583267522"/>
    <n v="14730.766666666699"/>
    <n v="0.73760999999999999"/>
    <n v="2.8416666666666664E-3"/>
    <n v="-107.12148937884763"/>
    <n v="0"/>
    <n v="0"/>
    <n v="0"/>
    <n v="0"/>
    <n v="0"/>
    <n v="0"/>
  </r>
  <r>
    <x v="103"/>
    <n v="7459.34"/>
    <n v="7354.83"/>
    <n v="104.51"/>
    <n v="195.06"/>
    <n v="120.6697993649977"/>
    <n v="1.6817500000000001"/>
    <n v="121.352"/>
    <n v="0"/>
    <n v="-2.3639506350022965"/>
    <n v="14730.766666666699"/>
    <n v="0.74013000000000007"/>
    <n v="2.8416666666666664E-3"/>
    <n v="74.390200635002302"/>
    <n v="0"/>
    <n v="0"/>
    <n v="0"/>
    <n v="0"/>
    <n v="0"/>
    <n v="0"/>
  </r>
  <r>
    <x v="104"/>
    <n v="7431.9"/>
    <n v="7217.56"/>
    <n v="214.34"/>
    <n v="0"/>
    <n v="122.00035493081887"/>
    <n v="0.87091666666666667"/>
    <n v="122.5805"/>
    <n v="0"/>
    <n v="-1.4510617358477969"/>
    <n v="14730.766666666699"/>
    <n v="0.74168000000000012"/>
    <n v="2.8416666666666664E-3"/>
    <n v="-122.00035493081887"/>
    <n v="0"/>
    <n v="0"/>
    <n v="0"/>
    <n v="0"/>
    <n v="0"/>
    <n v="0"/>
  </r>
  <r>
    <x v="105"/>
    <n v="7473.27"/>
    <n v="7308.91"/>
    <n v="164.36"/>
    <n v="211.64"/>
    <n v="114.90624720364571"/>
    <n v="1.7861666666666667"/>
    <n v="120.29266666666668"/>
    <n v="0"/>
    <n v="-7.1725861296876463"/>
    <n v="14586.1"/>
    <n v="0.74204999999999999"/>
    <n v="2.8416666666666664E-3"/>
    <n v="96.733752796354281"/>
    <n v="0"/>
    <n v="0"/>
    <n v="0"/>
    <n v="0"/>
    <n v="0"/>
    <n v="0"/>
  </r>
  <r>
    <x v="106"/>
    <n v="7494.97"/>
    <n v="7309.61"/>
    <n v="185.36"/>
    <n v="122.52"/>
    <n v="112.68083088562119"/>
    <n v="1.3696666666666668"/>
    <n v="121.81516666666667"/>
    <n v="0"/>
    <n v="-10.504002447712132"/>
    <n v="14586.1"/>
    <n v="0.74257999999999991"/>
    <n v="2.8833333333333332E-3"/>
    <n v="9.8391691143788051"/>
    <n v="0"/>
    <n v="0"/>
    <n v="0"/>
    <n v="0"/>
    <n v="0"/>
    <n v="0"/>
  </r>
  <r>
    <x v="107"/>
    <n v="7649.67"/>
    <n v="7492.66"/>
    <n v="157.01"/>
    <n v="304.88"/>
    <n v="12.638106035081094"/>
    <n v="1.5446666666666669"/>
    <n v="121.82683333333333"/>
    <n v="0"/>
    <n v="-110.7333939649189"/>
    <n v="14586.1"/>
    <n v="0.74180999999999997"/>
    <n v="3.4166666666666664E-3"/>
    <n v="292.24189396491892"/>
    <n v="0"/>
    <n v="0"/>
    <n v="0"/>
    <n v="0"/>
    <n v="0"/>
    <n v="0"/>
  </r>
  <r>
    <x v="108"/>
    <n v="8547.7000000000007"/>
    <n v="8215.34"/>
    <n v="332.36"/>
    <n v="847.56"/>
    <n v="-24.337107390237094"/>
    <n v="1.3084166666666666"/>
    <n v="124.87766666666667"/>
    <n v="17.198466717467451"/>
    <n v="-167.72165744103788"/>
    <n v="13760.666666666701"/>
    <n v="0.73951999999999996"/>
    <n v="4.3083333333333333E-3"/>
    <n v="871.89710739023701"/>
    <n v="149.85320000000002"/>
    <n v="382.72310739023692"/>
    <n v="57.408466108535535"/>
    <n v="76.544621478047389"/>
    <n v="14.985320000000002"/>
    <n v="148.93840758658291"/>
  </r>
  <r>
    <x v="109"/>
    <n v="7668.08"/>
    <n v="7540.12"/>
    <n v="127.96"/>
    <n v="0"/>
    <n v="134.82911101153721"/>
    <n v="2.7696666666666667"/>
    <n v="136.92233333333334"/>
    <n v="0"/>
    <n v="-4.8628889884628084"/>
    <n v="13760.666666666701"/>
    <n v="0.73903999999999992"/>
    <n v="4.3499999999999997E-3"/>
    <n v="-134.82911101153721"/>
    <n v="148.60442333333333"/>
    <n v="-82.270311011537217"/>
    <n v="0"/>
    <n v="0"/>
    <n v="14.860442333333333"/>
    <n v="14.860442333333333"/>
  </r>
  <r>
    <x v="110"/>
    <n v="7494.48"/>
    <n v="7327.04"/>
    <n v="167.44"/>
    <n v="0"/>
    <n v="218.03288402118224"/>
    <n v="1.0663333333333334"/>
    <n v="125.66866666666667"/>
    <n v="0"/>
    <n v="9.0275730096450246"/>
    <n v="13760.666666666701"/>
    <n v="0.73524"/>
    <n v="4.3E-3"/>
    <n v="-218.03288402118224"/>
    <n v="147.36605313888887"/>
    <n v="-123.86328402118224"/>
    <n v="0"/>
    <n v="0"/>
    <n v="14.736605313888887"/>
    <n v="14.736605313888887"/>
  </r>
  <r>
    <x v="111"/>
    <n v="7439.04"/>
    <n v="7307.16"/>
    <n v="131.88"/>
    <n v="102.24"/>
    <n v="252.69412831283424"/>
    <n v="1.3953333333333333"/>
    <n v="122.11733333333333"/>
    <n v="0"/>
    <n v="5.318177624985343"/>
    <n v="13903.8"/>
    <n v="0.73565999999999998"/>
    <n v="4.3E-3"/>
    <n v="-150.45412831283426"/>
    <n v="146.1380026960648"/>
    <n v="-91.645728312834265"/>
    <n v="0"/>
    <n v="0"/>
    <n v="14.613800269606481"/>
    <n v="14.613800269606481"/>
  </r>
  <r>
    <x v="112"/>
    <n v="7435.89"/>
    <n v="7238.63"/>
    <n v="197.26"/>
    <n v="53.26"/>
    <n v="209.53388945199805"/>
    <n v="1.099"/>
    <n v="121.786"/>
    <n v="0"/>
    <n v="-4.9968388608362018"/>
    <n v="13903.8"/>
    <n v="0.73392999999999997"/>
    <n v="4.3499999999999997E-3"/>
    <n v="-156.27388945199806"/>
    <n v="144.92018600693095"/>
    <n v="-31.400189451998074"/>
    <n v="0"/>
    <n v="0"/>
    <n v="14.492018600693095"/>
    <n v="14.492018600693095"/>
  </r>
  <r>
    <x v="113"/>
    <n v="7317.8"/>
    <n v="7077.49"/>
    <n v="240.31"/>
    <n v="0"/>
    <n v="154.13045698349345"/>
    <n v="1.6438333333333333"/>
    <n v="120.64383333333333"/>
    <n v="0"/>
    <n v="0.44260086482868782"/>
    <n v="13903.8"/>
    <n v="0.73333000000000004"/>
    <n v="4.3499999999999997E-3"/>
    <n v="-154.13045698349345"/>
    <n v="143.71251779020653"/>
    <n v="0"/>
    <n v="0"/>
    <n v="0"/>
    <n v="14.371251779020653"/>
    <n v="14.371251779020653"/>
  </r>
  <r>
    <x v="114"/>
    <n v="7260.4"/>
    <n v="7076.44"/>
    <n v="183.96"/>
    <n v="116.91"/>
    <n v="122.83186201052018"/>
    <n v="2.0025833333333334"/>
    <n v="117.95816666666666"/>
    <n v="0"/>
    <n v="2.8711120105201906"/>
    <n v="13991.8666666667"/>
    <n v="0.73408000000000007"/>
    <n v="4.3499999999999997E-3"/>
    <n v="-5.9218620105201865"/>
    <n v="141.54980000000003"/>
    <n v="0"/>
    <n v="0"/>
    <n v="0"/>
    <n v="14.154980000000004"/>
    <n v="14.154980000000004"/>
  </r>
  <r>
    <x v="115"/>
    <n v="7228.41"/>
    <n v="7097.09"/>
    <n v="131.32"/>
    <n v="138.59"/>
    <n v="120.27265489869478"/>
    <n v="1.5330000000000001"/>
    <n v="117.94066666666666"/>
    <n v="0"/>
    <n v="0.79898823202812697"/>
    <n v="13991.8666666667"/>
    <n v="0.73299999999999998"/>
    <n v="4.3499999999999997E-3"/>
    <n v="18.317345101305222"/>
    <n v="140.37021833333338"/>
    <n v="0"/>
    <n v="0"/>
    <n v="0"/>
    <n v="14.037021833333339"/>
    <n v="14.037021833333339"/>
  </r>
  <r>
    <x v="116"/>
    <n v="7198.87"/>
    <n v="7040.53"/>
    <n v="158.34"/>
    <n v="61.72"/>
    <n v="171.11899452002461"/>
    <n v="1.0943333333333334"/>
    <n v="118.28483333333334"/>
    <n v="0"/>
    <n v="51.73982785335793"/>
    <n v="13991.8666666667"/>
    <n v="0.73230999999999991"/>
    <n v="3.9666666666666661E-3"/>
    <n v="-109.39899452002462"/>
    <n v="139.20046651388893"/>
    <n v="-21.464294520024609"/>
    <n v="0"/>
    <n v="0"/>
    <n v="13.920046651388894"/>
    <n v="13.920046651388894"/>
  </r>
  <r>
    <x v="117"/>
    <n v="7220.57"/>
    <n v="7108.08"/>
    <n v="112.49"/>
    <n v="184.89"/>
    <n v="219.55500667896911"/>
    <n v="1.3195000000000001"/>
    <n v="117.34216666666666"/>
    <n v="0"/>
    <n v="79.429045492277822"/>
    <n v="14213.3"/>
    <n v="0.73116000000000003"/>
    <n v="3.5250000000000004E-3"/>
    <n v="-34.665006678969121"/>
    <n v="138.04046262627318"/>
    <n v="0"/>
    <n v="0"/>
    <n v="0"/>
    <n v="13.804046262627319"/>
    <n v="13.804046262627319"/>
  </r>
  <r>
    <x v="118"/>
    <n v="7227.01"/>
    <n v="7130.97"/>
    <n v="96.04"/>
    <n v="141.36000000000001"/>
    <n v="358.02430527059676"/>
    <n v="0.93741666666666668"/>
    <n v="118.468"/>
    <n v="0"/>
    <n v="238.61888860393009"/>
    <n v="14213.3"/>
    <n v="0.73282999999999998"/>
    <n v="2.4583333333333336E-3"/>
    <n v="-216.66430527059674"/>
    <n v="136.89012543772091"/>
    <n v="-191.93400527059674"/>
    <n v="0"/>
    <n v="0"/>
    <n v="13.689012543772092"/>
    <n v="13.689012543772092"/>
  </r>
  <r>
    <x v="119"/>
    <n v="7360.57"/>
    <n v="7069.93"/>
    <n v="290.64"/>
    <n v="57.81"/>
    <n v="763.35330796415474"/>
    <n v="0.80033333333333334"/>
    <n v="118.84950000000001"/>
    <n v="0"/>
    <n v="451.76946936022466"/>
    <n v="14213.3"/>
    <n v="0.73120999999999992"/>
    <n v="1.4333333333333333E-3"/>
    <n v="-705.54330796415479"/>
    <n v="135.74937439240657"/>
    <n v="-485.6026079641548"/>
    <n v="0"/>
    <n v="0"/>
    <n v="13.574937439240657"/>
    <n v="13.574937439240657"/>
  </r>
  <r>
    <x v="120"/>
    <n v="7520.24"/>
    <n v="7095.97"/>
    <n v="424.27"/>
    <n v="143.87"/>
    <n v="604.80167103846202"/>
    <n v="2.4219999999999997"/>
    <n v="117.83216666666667"/>
    <n v="0"/>
    <n v="-1.0551035923594467"/>
    <n v="14061.666666666701"/>
    <n v="0.73272999999999999"/>
    <n v="1.4166666666666668E-3"/>
    <n v="-460.93167103846201"/>
    <n v="134.61812960580318"/>
    <n v="-107.62137103846203"/>
    <n v="0"/>
    <n v="0"/>
    <n v="13.461812960580318"/>
    <n v="13.461812960580318"/>
  </r>
  <r>
    <x v="121"/>
    <n v="7788.62"/>
    <n v="7151.13"/>
    <n v="637.49"/>
    <n v="173.43"/>
    <n v="111.27368489849087"/>
    <n v="3.5355833333333333"/>
    <n v="118.26616666666668"/>
    <n v="-116.96491256054657"/>
    <n v="-1.1845235794246067"/>
    <n v="14061.666666666701"/>
    <n v="0.73364000000000007"/>
    <n v="1.4166666666666668E-3"/>
    <n v="62.156315101509136"/>
    <n v="12.431263020301827"/>
    <n v="0"/>
    <n v="0"/>
    <n v="0"/>
    <n v="1.2431263020301828"/>
    <n v="1.2431263020301828"/>
  </r>
  <r>
    <x v="122"/>
    <n v="7657.72"/>
    <n v="7223.09"/>
    <n v="434.63"/>
    <n v="191.15"/>
    <n v="138.69000482661019"/>
    <n v="5.3124166666666666"/>
    <n v="119.1855"/>
    <n v="0"/>
    <n v="14.192088159943529"/>
    <n v="14061.666666666701"/>
    <n v="0.73141999999999996"/>
    <n v="1.4E-3"/>
    <n v="52.459995173389814"/>
    <n v="12.327669161799312"/>
    <n v="0"/>
    <n v="0"/>
    <n v="0"/>
    <n v="1.2327669161799313"/>
    <n v="1.2327669161799313"/>
  </r>
  <r>
    <x v="123"/>
    <n v="7611.24"/>
    <n v="7304.64"/>
    <n v="306.60000000000002"/>
    <n v="201.93"/>
    <n v="161.83151899540525"/>
    <n v="3.6219166666666665"/>
    <n v="120.38483333333333"/>
    <n v="0"/>
    <n v="37.82476899540525"/>
    <n v="14658.5"/>
    <n v="0.73331000000000002"/>
    <n v="1.4E-3"/>
    <n v="40.09848100459476"/>
    <n v="12.224938585450984"/>
    <n v="0"/>
    <n v="0"/>
    <n v="0"/>
    <n v="1.2224938585450984"/>
    <n v="1.2224938585450984"/>
  </r>
  <r>
    <x v="124"/>
    <n v="7662.83"/>
    <n v="7395.64"/>
    <n v="267.19"/>
    <n v="212.74"/>
    <n v="122.05331097262024"/>
    <n v="2.5550000000000002"/>
    <n v="121.744"/>
    <n v="0"/>
    <n v="-2.2456890273797718"/>
    <n v="14658.5"/>
    <n v="0.73498999999999992"/>
    <n v="1.4E-3"/>
    <n v="90.686689027379771"/>
    <n v="12.123064097238892"/>
    <n v="0"/>
    <n v="0"/>
    <n v="0"/>
    <n v="1.2123064097238894"/>
    <n v="1.2123064097238894"/>
  </r>
  <r>
    <x v="125"/>
    <n v="7588.42"/>
    <n v="7392.49"/>
    <n v="195.93"/>
    <n v="120.11"/>
    <n v="126.46114020039946"/>
    <n v="2.2265833333333331"/>
    <n v="123.26066666666667"/>
    <n v="0"/>
    <n v="0.97389020039945684"/>
    <n v="14658.5"/>
    <n v="0.73426000000000002"/>
    <n v="1.4E-3"/>
    <n v="-6.3511402003994561"/>
    <n v="12.022038563095235"/>
    <n v="0"/>
    <n v="0"/>
    <n v="0"/>
    <n v="1.2022038563095236"/>
    <n v="1.2022038563095236"/>
  </r>
  <r>
    <x v="126"/>
    <n v="7614.53"/>
    <n v="7440.44"/>
    <n v="174.09"/>
    <n v="171.16"/>
    <n v="153.89563665786514"/>
    <n v="1.6327500000000001"/>
    <n v="123.20816666666666"/>
    <n v="0"/>
    <n v="29.054719991198482"/>
    <n v="15116.5333333333"/>
    <n v="0.73528000000000004"/>
    <n v="1.4E-3"/>
    <n v="17.264363342134857"/>
    <n v="11.921854908402773"/>
    <n v="0"/>
    <n v="0"/>
    <n v="0"/>
    <n v="1.1921854908402774"/>
    <n v="1.1921854908402774"/>
  </r>
  <r>
    <x v="127"/>
    <n v="7577.64"/>
    <n v="7435.19"/>
    <n v="142.44999999999999"/>
    <n v="118.76"/>
    <n v="124.83475560699632"/>
    <n v="1.45075"/>
    <n v="124.00733333333332"/>
    <n v="0"/>
    <n v="-0.62332772633700162"/>
    <n v="15116.5333333333"/>
    <n v="0.73573999999999995"/>
    <n v="1.4E-3"/>
    <n v="-6.0747556069963196"/>
    <n v="11.822506117499417"/>
    <n v="0"/>
    <n v="0"/>
    <n v="0"/>
    <n v="1.1822506117499418"/>
    <n v="1.1822506117499418"/>
  </r>
  <r>
    <x v="128"/>
    <n v="7712.46"/>
    <n v="7492.66"/>
    <n v="219.8"/>
    <n v="181.39"/>
    <n v="125.48611953124777"/>
    <n v="1.1870833333333333"/>
    <n v="123.91983333333333"/>
    <n v="0"/>
    <n v="0.37920286458109731"/>
    <n v="15116.5333333333"/>
    <n v="0.73546000000000011"/>
    <n v="1.4E-3"/>
    <n v="55.90388046875222"/>
    <n v="11.723985233186921"/>
    <n v="0"/>
    <n v="0"/>
    <n v="0"/>
    <n v="1.1723985233186922"/>
    <n v="1.1723985233186922"/>
  </r>
  <r>
    <x v="129"/>
    <n v="7735"/>
    <n v="7535.43"/>
    <n v="199.57"/>
    <n v="167.65"/>
    <n v="134.76936803690592"/>
    <n v="1.8316666666666668"/>
    <n v="124.87766666666667"/>
    <n v="0"/>
    <n v="8.0600347035725921"/>
    <n v="15227.766666666699"/>
    <n v="0.73490999999999995"/>
    <n v="1.4E-3"/>
    <n v="32.880631963094089"/>
    <n v="11.626285356243697"/>
    <n v="0"/>
    <n v="0"/>
    <n v="0"/>
    <n v="1.1626285356243697"/>
    <n v="1.1626285356243697"/>
  </r>
  <r>
    <x v="130"/>
    <n v="7777.28"/>
    <n v="7582.89"/>
    <n v="194.39"/>
    <n v="173.05"/>
    <n v="126.51895864692867"/>
    <n v="1.6630833333333332"/>
    <n v="125.59050000000001"/>
    <n v="0"/>
    <n v="-0.73462468640467016"/>
    <n v="15227.766666666699"/>
    <n v="0.73545000000000005"/>
    <n v="1.4E-3"/>
    <n v="46.531041353071345"/>
    <n v="11.529399644941666"/>
    <n v="0"/>
    <n v="0"/>
    <n v="0"/>
    <n v="1.1529399644941667"/>
    <n v="1.1529399644941667"/>
  </r>
  <r>
    <x v="131"/>
    <n v="9345.56"/>
    <n v="7866.25"/>
    <n v="1479.31"/>
    <n v="409.74"/>
    <n v="127.03582030368926"/>
    <n v="1.6199166666666664"/>
    <n v="126.3815"/>
    <n v="0"/>
    <n v="-0.96559636297740903"/>
    <n v="15227.766666666699"/>
    <n v="0.73616000000000004"/>
    <n v="1.4E-3"/>
    <n v="282.70417969631075"/>
    <n v="11.43332131456715"/>
    <n v="975.38917969631075"/>
    <n v="146.3083769544466"/>
    <n v="195.07783593926217"/>
    <n v="1.1433321314567151"/>
    <n v="342.52954502516548"/>
  </r>
  <r>
    <x v="132"/>
    <n v="8765.4"/>
    <n v="7674.59"/>
    <n v="1090.81"/>
    <n v="0"/>
    <n v="145.88076077033861"/>
    <n v="12.327583333333333"/>
    <n v="131.10416666666666"/>
    <n v="0"/>
    <n v="2.4490107703386088"/>
    <n v="15332.5"/>
    <n v="0.73941999999999997"/>
    <n v="1.4E-3"/>
    <n v="-145.88076077033861"/>
    <n v="11.338043636945759"/>
    <n v="177.47023922966127"/>
    <n v="26.62053588444919"/>
    <n v="35.494047845932258"/>
    <n v="1.133804363694576"/>
    <n v="63.24838809407602"/>
  </r>
  <r>
    <x v="133"/>
    <n v="8214.64"/>
    <n v="7652.75"/>
    <n v="561.89"/>
    <n v="106.07"/>
    <n v="115.50936627773322"/>
    <n v="9.0900833333333324"/>
    <n v="127.90983333333334"/>
    <n v="6.89605465679589"/>
    <n v="-28.386605045729333"/>
    <n v="15332.5"/>
    <n v="0.74293999999999993"/>
    <n v="1.4333333333333333E-3"/>
    <n v="-9.4393662777332281"/>
    <n v="0"/>
    <n v="0"/>
    <n v="0"/>
    <n v="0"/>
    <n v="0"/>
    <n v="0"/>
  </r>
  <r>
    <x v="134"/>
    <n v="8055.67"/>
    <n v="7633.78"/>
    <n v="421.89"/>
    <n v="108.58"/>
    <n v="135.64629473759757"/>
    <n v="4.6824166666666667"/>
    <n v="127.54583333333333"/>
    <n v="0"/>
    <n v="3.4180447375975662"/>
    <n v="15332.5"/>
    <n v="0.74038999999999999"/>
    <n v="1.4333333333333333E-3"/>
    <n v="-27.066294737597573"/>
    <n v="0"/>
    <n v="0"/>
    <n v="0"/>
    <n v="0"/>
    <n v="0"/>
    <n v="0"/>
  </r>
  <r>
    <x v="135"/>
    <n v="7984.13"/>
    <n v="7629.93"/>
    <n v="354.2"/>
    <n v="123.38"/>
    <n v="163.37154447642405"/>
    <n v="3.5157499999999997"/>
    <n v="127.22966666666666"/>
    <n v="0"/>
    <n v="32.626127809757371"/>
    <n v="15861.5333333333"/>
    <n v="0.74146000000000001"/>
    <n v="1.4333333333333333E-3"/>
    <n v="-39.991544476424053"/>
    <n v="0"/>
    <n v="0"/>
    <n v="0"/>
    <n v="0"/>
    <n v="0"/>
    <n v="0"/>
  </r>
  <r>
    <x v="136"/>
    <n v="7939.89"/>
    <n v="7622.93"/>
    <n v="316.95999999999998"/>
    <n v="120.17"/>
    <n v="133.77439094032968"/>
    <n v="2.9516666666666667"/>
    <n v="127.16550000000001"/>
    <n v="0"/>
    <n v="3.6572242736630169"/>
    <n v="15861.5333333333"/>
    <n v="0.73877999999999999"/>
    <n v="1.4333333333333333E-3"/>
    <n v="-13.604390940329679"/>
    <n v="0"/>
    <n v="0"/>
    <n v="0"/>
    <n v="0"/>
    <n v="0"/>
    <n v="0"/>
  </r>
  <r>
    <x v="137"/>
    <n v="7931.84"/>
    <n v="7687.54"/>
    <n v="244.3"/>
    <n v="191.66"/>
    <n v="128.03378872042137"/>
    <n v="2.6413333333333333"/>
    <n v="127.04883333333333"/>
    <n v="0"/>
    <n v="-1.656377946245295"/>
    <n v="15861.5333333333"/>
    <n v="0.73998999999999993"/>
    <n v="1.4333333333333333E-3"/>
    <n v="63.626211279578627"/>
    <n v="0"/>
    <n v="0"/>
    <n v="0"/>
    <n v="0"/>
    <n v="0"/>
    <n v="0"/>
  </r>
  <r>
    <x v="138"/>
    <n v="7912.66"/>
    <n v="7758.73"/>
    <n v="153.93"/>
    <n v="199.32"/>
    <n v="168.97219449980619"/>
    <n v="2.0358333333333336"/>
    <n v="128.12566666666666"/>
    <n v="0"/>
    <n v="38.810694499806196"/>
    <n v="16557.0333333333"/>
    <n v="0.74378"/>
    <n v="1.4333333333333333E-3"/>
    <n v="30.3478055001938"/>
    <n v="0"/>
    <n v="0"/>
    <n v="0"/>
    <n v="0"/>
    <n v="0"/>
    <n v="0"/>
  </r>
  <r>
    <x v="139"/>
    <n v="7897.75"/>
    <n v="7734.3"/>
    <n v="163.44999999999999"/>
    <n v="104.88"/>
    <n v="125.13990011233082"/>
    <n v="1.2827500000000001"/>
    <n v="129.31216666666666"/>
    <n v="0"/>
    <n v="-5.4550165543358311"/>
    <n v="16557.0333333333"/>
    <n v="0.74769000000000008"/>
    <n v="1.4333333333333333E-3"/>
    <n v="-20.259900112330826"/>
    <n v="0"/>
    <n v="0"/>
    <n v="0"/>
    <n v="0"/>
    <n v="0"/>
    <n v="0"/>
  </r>
  <r>
    <x v="140"/>
    <n v="7921.69"/>
    <n v="7789.11"/>
    <n v="132.58000000000001"/>
    <n v="183.71"/>
    <n v="130.0169275654809"/>
    <n v="1.3620833333333333"/>
    <n v="128.905"/>
    <n v="0"/>
    <n v="-0.25015576785244364"/>
    <n v="16557.0333333333"/>
    <n v="0.74787000000000003"/>
    <n v="1.4333333333333333E-3"/>
    <n v="53.693072434519109"/>
    <n v="0"/>
    <n v="0"/>
    <n v="0"/>
    <n v="0"/>
    <n v="0"/>
    <n v="0"/>
  </r>
  <r>
    <x v="141"/>
    <n v="7974.26"/>
    <n v="7789.11"/>
    <n v="185.15"/>
    <n v="129.82"/>
    <n v="148.30412484797498"/>
    <n v="1.1048333333333333"/>
    <n v="129.8185"/>
    <n v="0"/>
    <n v="17.380791514641619"/>
    <n v="16651.833333333299"/>
    <n v="0.74843999999999999"/>
    <n v="1.4166666666666668E-3"/>
    <n v="-18.484124847974982"/>
    <n v="0"/>
    <n v="0"/>
    <n v="0"/>
    <n v="0"/>
    <n v="0"/>
    <n v="0"/>
  </r>
  <r>
    <x v="142"/>
    <n v="8017.59"/>
    <n v="7758.45"/>
    <n v="259.14"/>
    <n v="99.16"/>
    <n v="129.04830458878774"/>
    <n v="1.5429166666666667"/>
    <n v="129.8185"/>
    <n v="0"/>
    <n v="-2.3131120778789032"/>
    <n v="16651.833333333299"/>
    <n v="0.75009000000000003"/>
    <n v="1.4166666666666668E-3"/>
    <n v="-29.888304588787747"/>
    <n v="0"/>
    <n v="0"/>
    <n v="0"/>
    <n v="0"/>
    <n v="0"/>
    <n v="0"/>
  </r>
  <r>
    <x v="143"/>
    <n v="8491.49"/>
    <n v="7827.19"/>
    <n v="664.3"/>
    <n v="198.05"/>
    <n v="129.70279826673612"/>
    <n v="2.1595"/>
    <n v="129.3075"/>
    <n v="0"/>
    <n v="-1.7642017332638809"/>
    <n v="16651.833333333299"/>
    <n v="0.75135000000000007"/>
    <n v="1.4166666666666668E-3"/>
    <n v="68.347201733263887"/>
    <n v="0"/>
    <n v="0"/>
    <n v="0"/>
    <n v="0"/>
    <n v="0"/>
    <n v="0"/>
  </r>
  <r>
    <x v="144"/>
    <n v="8836.94"/>
    <n v="7847.21"/>
    <n v="989.73"/>
    <n v="150.47"/>
    <n v="119.56839613190469"/>
    <n v="5.5358333333333327"/>
    <n v="130.45316666666665"/>
    <n v="18.456387739199297"/>
    <n v="-34.876991607294585"/>
    <n v="16165.266666666699"/>
    <n v="0.75412999999999997"/>
    <n v="1.4166666666666668E-3"/>
    <n v="30.901603868095307"/>
    <n v="6.1803207736190622"/>
    <n v="235.91060386809534"/>
    <n v="35.386590580214296"/>
    <n v="47.182120773619069"/>
    <n v="0.61803207736190624"/>
    <n v="83.186743431195268"/>
  </r>
  <r>
    <x v="145"/>
    <n v="8238.7199999999993"/>
    <n v="7769.93"/>
    <n v="468.79"/>
    <n v="53.51"/>
    <n v="141.00029316446901"/>
    <n v="8.2477499999999999"/>
    <n v="130.78683333333333"/>
    <n v="0"/>
    <n v="1.9657098311356929"/>
    <n v="16165.266666666699"/>
    <n v="0.75269999999999992"/>
    <n v="1.4166666666666668E-3"/>
    <n v="-87.490293164469023"/>
    <n v="6.12881810050557"/>
    <n v="0"/>
    <n v="0"/>
    <n v="0"/>
    <n v="0.61288181005055709"/>
    <n v="0.61288181005055709"/>
  </r>
  <r>
    <x v="146"/>
    <n v="8192.94"/>
    <n v="7908.81"/>
    <n v="284.13"/>
    <n v="268.38"/>
    <n v="131.55997840750123"/>
    <n v="3.9065833333333333"/>
    <n v="129.49883333333335"/>
    <n v="0"/>
    <n v="-1.8454382591654606"/>
    <n v="16165.266666666699"/>
    <n v="0.75403999999999993"/>
    <n v="1.4166666666666668E-3"/>
    <n v="136.82002159249876"/>
    <n v="6.07774461633469"/>
    <n v="0"/>
    <n v="0"/>
    <n v="0"/>
    <n v="0.60777446163346904"/>
    <n v="0.60777446163346904"/>
  </r>
  <r>
    <x v="147"/>
    <n v="8249.99"/>
    <n v="7935.34"/>
    <n v="314.64999999999998"/>
    <n v="158.34"/>
    <n v="116.92845596918666"/>
    <n v="2.36775"/>
    <n v="131.8135"/>
    <n v="0"/>
    <n v="-17.252794030813345"/>
    <n v="15941.833333333299"/>
    <n v="0.75611000000000006"/>
    <n v="1.4166666666666668E-3"/>
    <n v="41.411544030813346"/>
    <n v="6.0270967445319013"/>
    <n v="0"/>
    <n v="0"/>
    <n v="0"/>
    <n v="0.60270967445319013"/>
    <n v="0.60270967445319013"/>
  </r>
  <r>
    <x v="148"/>
    <n v="8224.09"/>
    <n v="7920.5"/>
    <n v="303.58999999999997"/>
    <n v="117.42"/>
    <n v="139.01997575558957"/>
    <n v="2.6220833333333333"/>
    <n v="132.25566666666666"/>
    <n v="0"/>
    <n v="4.1422257555895667"/>
    <n v="15941.833333333299"/>
    <n v="0.75307000000000002"/>
    <n v="1.4166666666666668E-3"/>
    <n v="-21.599975755589568"/>
    <n v="5.976870938327469"/>
    <n v="0"/>
    <n v="0"/>
    <n v="0"/>
    <n v="0.59768709383274687"/>
    <n v="0.59768709383274687"/>
  </r>
  <r>
    <x v="149"/>
    <n v="8234.7999999999993"/>
    <n v="7987.28"/>
    <n v="247.52"/>
    <n v="198.79"/>
    <n v="140.17495347148756"/>
    <n v="2.5299166666666664"/>
    <n v="132.00833333333333"/>
    <n v="0"/>
    <n v="5.6367034714875395"/>
    <n v="15941.833333333299"/>
    <n v="0.74894000000000005"/>
    <n v="1.4166666666666668E-3"/>
    <n v="58.615046528512437"/>
    <n v="5.9270636805080734"/>
    <n v="0"/>
    <n v="0"/>
    <n v="0"/>
    <n v="0.59270636805080734"/>
    <n v="0.59270636805080734"/>
  </r>
  <r>
    <x v="150"/>
    <n v="8245.93"/>
    <n v="7977.69"/>
    <n v="268.24"/>
    <n v="123.53"/>
    <n v="115.81627467001113"/>
    <n v="2.0626666666666669"/>
    <n v="133.12133333333333"/>
    <n v="0"/>
    <n v="-19.367725329988879"/>
    <n v="15738"/>
    <n v="0.75343000000000004"/>
    <n v="1.4166666666666668E-3"/>
    <n v="7.7137253299888755"/>
    <n v="5.8776714831705057"/>
    <n v="0"/>
    <n v="0"/>
    <n v="0"/>
    <n v="0.58776714831705057"/>
    <n v="0.58776714831705057"/>
  </r>
  <r>
    <x v="151"/>
    <n v="8188.53"/>
    <n v="7957.18"/>
    <n v="231.35"/>
    <n v="112.45"/>
    <n v="135.79409374828631"/>
    <n v="2.2353333333333336"/>
    <n v="132.9615"/>
    <n v="0"/>
    <n v="0.59726041495299698"/>
    <n v="15738"/>
    <n v="0.75299000000000005"/>
    <n v="1.4166666666666668E-3"/>
    <n v="-23.344093748286312"/>
    <n v="5.8286908874774186"/>
    <n v="0"/>
    <n v="0"/>
    <n v="0"/>
    <n v="0.5828690887477419"/>
    <n v="0.5828690887477419"/>
  </r>
  <r>
    <x v="152"/>
    <n v="8188.74"/>
    <n v="8015"/>
    <n v="173.74"/>
    <n v="190.44"/>
    <n v="377.18730058973222"/>
    <n v="1.9279166666666667"/>
    <n v="132.61966666666666"/>
    <n v="0"/>
    <n v="242.63971725639891"/>
    <n v="15738"/>
    <n v="0.7519499999999999"/>
    <n v="1.1333333333333334E-3"/>
    <n v="-186.74730058973222"/>
    <n v="5.780118463415107"/>
    <n v="-93.157300589732216"/>
    <n v="0"/>
    <n v="0"/>
    <n v="0.5780118463415107"/>
    <n v="0.5780118463415107"/>
  </r>
  <r>
    <x v="153"/>
    <n v="8239.6299999999992"/>
    <n v="8068.27"/>
    <n v="171.36"/>
    <n v="186.85"/>
    <n v="440.94235987142918"/>
    <n v="1.4478333333333333"/>
    <n v="133.58333333333334"/>
    <n v="0"/>
    <n v="212.75389261503031"/>
    <n v="15868.1333333333"/>
    <n v="0.75004999999999999"/>
    <n v="9.5833333333333328E-4"/>
    <n v="-254.09235987142918"/>
    <n v="5.7319508095533145"/>
    <n v="-163.41505987142918"/>
    <n v="0"/>
    <n v="0"/>
    <n v="0.57319508095533145"/>
    <n v="0.57319508095533145"/>
  </r>
  <r>
    <x v="154"/>
    <n v="8414.7000000000007"/>
    <n v="8155.14"/>
    <n v="259.56"/>
    <n v="221.34"/>
    <n v="346.39275025671128"/>
    <n v="1.4280000000000002"/>
    <n v="134.47116666666668"/>
    <n v="0"/>
    <n v="47.078523718615436"/>
    <n v="15868.1333333333"/>
    <n v="0.74846999999999997"/>
    <n v="9.2500000000000004E-4"/>
    <n v="-125.05275025671128"/>
    <n v="5.6841845528070367"/>
    <n v="0"/>
    <n v="0"/>
    <n v="0"/>
    <n v="0.56841845528070367"/>
    <n v="0.56841845528070367"/>
  </r>
  <r>
    <x v="155"/>
    <n v="8675.31"/>
    <n v="8233.82"/>
    <n v="441.49"/>
    <n v="214.6"/>
    <n v="249.99521194698417"/>
    <n v="2.1629999999999998"/>
    <n v="135.91900000000001"/>
    <n v="0"/>
    <n v="111.91321194698415"/>
    <n v="15868.1333333333"/>
    <n v="0.74692999999999998"/>
    <n v="8.5000000000000006E-4"/>
    <n v="-35.395211946984176"/>
    <n v="5.6368163482003117"/>
    <n v="0"/>
    <n v="0"/>
    <n v="0"/>
    <n v="0.5636816348200312"/>
    <n v="0.5636816348200312"/>
  </r>
  <r>
    <x v="156"/>
    <n v="8764.42"/>
    <n v="8158.29"/>
    <n v="606.13"/>
    <n v="61.7"/>
    <n v="179.01310634016832"/>
    <n v="3.6790833333333333"/>
    <n v="137.23033333333333"/>
    <n v="0"/>
    <n v="38.103689673501663"/>
    <n v="15986.5333333333"/>
    <n v="0.74584000000000006"/>
    <n v="8.3333333333333339E-4"/>
    <n v="-117.31310634016832"/>
    <n v="5.5898428786319752"/>
    <n v="0"/>
    <n v="0"/>
    <n v="0"/>
    <n v="0.55898428786319754"/>
    <n v="0.55898428786319754"/>
  </r>
  <r>
    <x v="157"/>
    <n v="8985.9"/>
    <n v="8132.81"/>
    <n v="853.09"/>
    <n v="110.49"/>
    <n v="177.3577129993721"/>
    <n v="5.0510833333333336"/>
    <n v="135.97149999999999"/>
    <n v="13.087748645810935"/>
    <n v="23.247381020227831"/>
    <n v="15986.5333333333"/>
    <n v="0.74804000000000004"/>
    <n v="8.166666666666666E-4"/>
    <n v="-66.867712999372102"/>
    <n v="0"/>
    <n v="0"/>
    <n v="0"/>
    <n v="0"/>
    <n v="0"/>
    <n v="0"/>
  </r>
  <r>
    <x v="158"/>
    <n v="8740.41"/>
    <n v="8327.5499999999993"/>
    <n v="412.86"/>
    <n v="330.29"/>
    <n v="186.2935376518148"/>
    <n v="7.1090833333333334"/>
    <n v="135.54683333333335"/>
    <n v="0"/>
    <n v="43.637620985148111"/>
    <n v="15986.5333333333"/>
    <n v="0.74733999999999989"/>
    <n v="7.9166666666666665E-4"/>
    <n v="143.99646234818522"/>
    <n v="0"/>
    <n v="0"/>
    <n v="0"/>
    <n v="0"/>
    <n v="0"/>
    <n v="0"/>
  </r>
  <r>
    <x v="159"/>
    <n v="8678.39"/>
    <n v="8340.7800000000007"/>
    <n v="337.61"/>
    <n v="152.02000000000001"/>
    <n v="194.27885808703414"/>
    <n v="3.4405000000000001"/>
    <n v="138.79249999999999"/>
    <n v="0"/>
    <n v="52.045858087034141"/>
    <n v="16615.166666666701"/>
    <n v="0.74813999999999992"/>
    <n v="7.9166666666666665E-4"/>
    <n v="-42.258858087034127"/>
    <n v="0"/>
    <n v="0"/>
    <n v="0"/>
    <n v="0"/>
    <n v="0"/>
    <n v="0"/>
  </r>
  <r>
    <x v="160"/>
    <n v="8699.81"/>
    <n v="8377.4599999999991"/>
    <n v="322.35000000000002"/>
    <n v="175.69"/>
    <n v="198.47334699566483"/>
    <n v="2.8134166666666669"/>
    <n v="139.01300000000001"/>
    <n v="0"/>
    <n v="56.64693032899816"/>
    <n v="16615.166666666701"/>
    <n v="0.75046999999999997"/>
    <n v="7.5833333333333341E-4"/>
    <n v="-22.783346995664829"/>
    <n v="0"/>
    <n v="0"/>
    <n v="0"/>
    <n v="0"/>
    <n v="0"/>
    <n v="0"/>
  </r>
  <r>
    <x v="161"/>
    <n v="8693.3700000000008"/>
    <n v="8439.48"/>
    <n v="253.89"/>
    <n v="201.64"/>
    <n v="143.20830240322155"/>
    <n v="2.6862500000000002"/>
    <n v="139.62433333333331"/>
    <n v="0"/>
    <n v="0.89771906988823957"/>
    <n v="16615.166666666701"/>
    <n v="0.75"/>
    <n v="7.5833333333333341E-4"/>
    <n v="58.431697596778434"/>
    <n v="0"/>
    <n v="0"/>
    <n v="0"/>
    <n v="0"/>
    <n v="0"/>
    <n v="0"/>
  </r>
  <r>
    <x v="162"/>
    <n v="8670.27"/>
    <n v="8418.41"/>
    <n v="251.86"/>
    <n v="119.59"/>
    <n v="292.06014074920643"/>
    <n v="2.1157499999999998"/>
    <n v="140.65799999999999"/>
    <n v="0"/>
    <n v="149.28639074920648"/>
    <n v="16778.766666666699"/>
    <n v="0.75022999999999995"/>
    <n v="6.9166666666666671E-4"/>
    <n v="-172.47014074920642"/>
    <n v="0"/>
    <n v="-4.7942407492064092"/>
    <n v="0"/>
    <n v="0"/>
    <n v="0"/>
    <n v="0"/>
  </r>
  <r>
    <x v="163"/>
    <n v="8706.11"/>
    <n v="8513.4699999999993"/>
    <n v="192.64"/>
    <n v="235.37"/>
    <n v="243.41496398948786"/>
    <n v="2.0988333333333333"/>
    <n v="140.30683333333334"/>
    <n v="0"/>
    <n v="96.215056573614746"/>
    <n v="16778.766666666699"/>
    <n v="0.74970000000000003"/>
    <n v="6.5000000000000008E-4"/>
    <n v="-8.0449639894878544"/>
    <n v="0"/>
    <n v="0"/>
    <n v="0"/>
    <n v="0"/>
    <n v="0"/>
    <n v="0"/>
  </r>
  <r>
    <x v="164"/>
    <n v="8687.2099999999991"/>
    <n v="8544.9"/>
    <n v="142.31"/>
    <n v="173.32"/>
    <n v="145.42528024356116"/>
    <n v="1.6053333333333333"/>
    <n v="141.89116666666666"/>
    <n v="0"/>
    <n v="1.9287802435611747"/>
    <n v="16778.766666666699"/>
    <n v="0.74876999999999994"/>
    <n v="6.5000000000000008E-4"/>
    <n v="27.894719756438832"/>
    <n v="0"/>
    <n v="0"/>
    <n v="0"/>
    <n v="0"/>
    <n v="0"/>
    <n v="0"/>
  </r>
  <r>
    <x v="165"/>
    <n v="8732.5"/>
    <n v="8557.57"/>
    <n v="174.93"/>
    <n v="155.09"/>
    <n v="149.02757348305056"/>
    <n v="1.1859166666666667"/>
    <n v="142.41499999999999"/>
    <n v="0"/>
    <n v="5.4266568163839155"/>
    <n v="16832.4666666667"/>
    <n v="0.74855000000000005"/>
    <n v="6.5000000000000008E-4"/>
    <n v="6.0624265169494436"/>
    <n v="0"/>
    <n v="0"/>
    <n v="0"/>
    <n v="0"/>
    <n v="0"/>
    <n v="0"/>
  </r>
  <r>
    <x v="166"/>
    <n v="8836.7999999999993"/>
    <n v="8655.64"/>
    <n v="181.16"/>
    <n v="240.7"/>
    <n v="140.60919388319908"/>
    <n v="1.4577500000000001"/>
    <n v="142.62616666666665"/>
    <n v="0"/>
    <n v="-3.4747227834675614"/>
    <n v="16832.4666666667"/>
    <n v="0.75022000000000011"/>
    <n v="6.5000000000000008E-4"/>
    <n v="100.09080611680091"/>
    <n v="0"/>
    <n v="0"/>
    <n v="0"/>
    <n v="0"/>
    <n v="0"/>
    <n v="0"/>
  </r>
  <r>
    <x v="167"/>
    <n v="8966.09"/>
    <n v="8612.1"/>
    <n v="353.99"/>
    <n v="100.72"/>
    <n v="145.83264864963948"/>
    <n v="1.5096666666666667"/>
    <n v="144.26066666666665"/>
    <n v="0"/>
    <n v="6.2315316306147707E-2"/>
    <n v="16832.4666666667"/>
    <n v="0.75019000000000002"/>
    <n v="6.5000000000000008E-4"/>
    <n v="-45.112648649639482"/>
    <n v="0"/>
    <n v="0"/>
    <n v="0"/>
    <n v="0"/>
    <n v="0"/>
    <n v="0"/>
  </r>
  <r>
    <x v="168"/>
    <n v="9808.0499999999993"/>
    <n v="8739.57"/>
    <n v="1068.48"/>
    <n v="271.01"/>
    <n v="125.30539760562192"/>
    <n v="2.9499166666666667"/>
    <n v="143.535"/>
    <n v="0"/>
    <n v="-21.179519061044747"/>
    <n v="16652.933333333302"/>
    <n v="0.75234999999999996"/>
    <n v="6.5000000000000008E-4"/>
    <n v="145.70460239437807"/>
    <n v="0"/>
    <n v="340.2276023943781"/>
    <n v="51.034140359156716"/>
    <n v="68.045520478875616"/>
    <n v="0"/>
    <n v="119.07966083803234"/>
  </r>
  <r>
    <x v="169"/>
    <n v="9806.65"/>
    <n v="8835.5400000000009"/>
    <n v="971.11"/>
    <n v="241.63"/>
    <n v="280.61306697517392"/>
    <n v="8.9039999999999999"/>
    <n v="145.65950000000001"/>
    <n v="18.743799490729057"/>
    <n v="107.30576748444487"/>
    <n v="16652.933333333302"/>
    <n v="0.75096999999999992"/>
    <n v="6.0833333333333334E-4"/>
    <n v="-38.983066975173926"/>
    <n v="0"/>
    <n v="48.572933024825943"/>
    <n v="7.2859399537238909"/>
    <n v="9.7145866049651897"/>
    <n v="0"/>
    <n v="17.000526558689081"/>
  </r>
  <r>
    <x v="170"/>
    <n v="9028.25"/>
    <n v="8757.56"/>
    <n v="270.69"/>
    <n v="69.28"/>
    <n v="424.04868254854017"/>
    <n v="8.0925833333333337"/>
    <n v="147.25900000000001"/>
    <n v="0"/>
    <n v="268.69709921520683"/>
    <n v="16652.933333333302"/>
    <n v="0.75307000000000002"/>
    <n v="5.1666666666666668E-4"/>
    <n v="-354.76868254854014"/>
    <n v="0"/>
    <n v="-171.65428254854015"/>
    <n v="0"/>
    <n v="0"/>
    <n v="0"/>
    <n v="0"/>
  </r>
  <r>
    <x v="171"/>
    <n v="9027.1299999999992"/>
    <n v="8770.44"/>
    <n v="256.69"/>
    <n v="158.84"/>
    <n v="307.88979137096658"/>
    <n v="2.2557499999999999"/>
    <n v="145.95933333333332"/>
    <n v="0"/>
    <n v="-11.979574510906872"/>
    <n v="16572.433333333302"/>
    <n v="0.75459999999999994"/>
    <n v="5.1666666666666668E-4"/>
    <n v="-149.04979137096657"/>
    <n v="0"/>
    <n v="0"/>
    <n v="0"/>
    <n v="0"/>
    <n v="0"/>
    <n v="0"/>
  </r>
  <r>
    <x v="172"/>
    <n v="9086.56"/>
    <n v="8811.9500000000007"/>
    <n v="274.61"/>
    <n v="187.68"/>
    <n v="807.98524937855291"/>
    <n v="2.1390833333333332"/>
    <n v="146.17400000000001"/>
    <n v="0"/>
    <n v="659.67216604521957"/>
    <n v="16572.433333333302"/>
    <n v="0.74980999999999998"/>
    <n v="3.6666666666666667E-4"/>
    <n v="-620.30524937855284"/>
    <n v="0"/>
    <n v="-433.81474937855285"/>
    <n v="0"/>
    <n v="0"/>
    <n v="0"/>
    <n v="0"/>
  </r>
  <r>
    <x v="173"/>
    <n v="9086.2099999999991"/>
    <n v="8836.3799999999992"/>
    <n v="249.83"/>
    <n v="171.3"/>
    <n v="685.83814745058021"/>
    <n v="2.288416666666667"/>
    <n v="146.86583333333334"/>
    <n v="0"/>
    <n v="102.86914807202737"/>
    <n v="16572.433333333302"/>
    <n v="0.74757000000000007"/>
    <n v="3.5E-4"/>
    <n v="-514.53814745058025"/>
    <n v="0"/>
    <n v="-353.07194745058018"/>
    <n v="0"/>
    <n v="0"/>
    <n v="0"/>
    <n v="0"/>
  </r>
  <r>
    <x v="174"/>
    <n v="9085.65"/>
    <n v="8861.7199999999993"/>
    <n v="223.93"/>
    <n v="172.61"/>
    <n v="627.08350526749587"/>
    <n v="2.0819166666666669"/>
    <n v="147.273"/>
    <n v="0"/>
    <n v="124.65664115024896"/>
    <n v="17672.5333333333"/>
    <n v="0.75224000000000002"/>
    <n v="3.5E-4"/>
    <n v="-454.47350526749585"/>
    <n v="0"/>
    <n v="-319.16070526749581"/>
    <n v="0"/>
    <n v="0"/>
    <n v="0"/>
    <n v="0"/>
  </r>
  <r>
    <x v="175"/>
    <n v="9173.92"/>
    <n v="8942.85"/>
    <n v="231.07"/>
    <n v="228.83"/>
    <n v="573.85428287552043"/>
    <n v="1.8660833333333333"/>
    <n v="147.69533333333331"/>
    <n v="0"/>
    <n v="105.13216094135795"/>
    <n v="17672.5333333333"/>
    <n v="0.75312000000000001"/>
    <n v="3.3333333333333332E-4"/>
    <n v="-345.02428287552038"/>
    <n v="0"/>
    <n v="-203.38278287552038"/>
    <n v="0"/>
    <n v="0"/>
    <n v="0"/>
    <n v="0"/>
  </r>
  <r>
    <x v="176"/>
    <n v="9173.01"/>
    <n v="8951.6"/>
    <n v="221.41"/>
    <n v="157.80000000000001"/>
    <n v="351.98209864761066"/>
    <n v="1.9255833333333332"/>
    <n v="149.04750000000001"/>
    <n v="0"/>
    <n v="-2.3737675612430587"/>
    <n v="17672.5333333333"/>
    <n v="0.75391999999999992"/>
    <n v="3.3333333333333332E-4"/>
    <n v="-194.18209864761064"/>
    <n v="0"/>
    <n v="-62.288098647610653"/>
    <n v="0"/>
    <n v="0"/>
    <n v="0"/>
    <n v="0"/>
  </r>
  <r>
    <x v="177"/>
    <n v="9172.66"/>
    <n v="8954.75"/>
    <n v="217.91"/>
    <n v="152.34"/>
    <n v="296.81164239742276"/>
    <n v="1.8450833333333334"/>
    <n v="149.19333333333333"/>
    <n v="0"/>
    <n v="83.485127083145443"/>
    <n v="18326.566666666698"/>
    <n v="0.75340000000000007"/>
    <n v="3.3333333333333332E-4"/>
    <n v="-144.47164239742276"/>
    <n v="0"/>
    <n v="-16.109142397422758"/>
    <n v="0"/>
    <n v="0"/>
    <n v="0"/>
    <n v="0"/>
  </r>
  <r>
    <x v="178"/>
    <n v="9171.82"/>
    <n v="8980.93"/>
    <n v="190.89"/>
    <n v="175.43"/>
    <n v="164.05896888256945"/>
    <n v="1.8159166666666666"/>
    <n v="149.24583333333334"/>
    <n v="0"/>
    <n v="-3.1119235148533351"/>
    <n v="18326.566666666698"/>
    <n v="0.75442999999999993"/>
    <n v="3.3333333333333332E-4"/>
    <n v="11.371031117430562"/>
    <n v="0"/>
    <n v="0"/>
    <n v="0"/>
    <n v="0"/>
    <n v="0"/>
    <n v="0"/>
  </r>
  <r>
    <x v="179"/>
    <n v="9372.09"/>
    <n v="8975.0499999999993"/>
    <n v="397.04"/>
    <n v="143.80000000000001"/>
    <n v="147.19653771081798"/>
    <n v="1.5907499999999999"/>
    <n v="149.68216666666666"/>
    <n v="0"/>
    <n v="-4.0763789558487096"/>
    <n v="18326.566666666698"/>
    <n v="0.75578000000000001"/>
    <n v="3.3333333333333332E-4"/>
    <n v="-3.3965377108179666"/>
    <n v="0"/>
    <n v="0"/>
    <n v="0"/>
    <n v="0"/>
    <n v="0"/>
    <n v="0"/>
  </r>
  <r>
    <x v="180"/>
    <n v="10171.209999999999"/>
    <n v="8977.7800000000007"/>
    <n v="1193.43"/>
    <n v="152.31"/>
    <n v="172.92356348934794"/>
    <n v="3.3086666666666669"/>
    <n v="149.58416666666665"/>
    <n v="18.964503400004407"/>
    <n v="1.0662267560102099"/>
    <n v="18374.666666666701"/>
    <n v="0.75741000000000003"/>
    <n v="3.3333333333333332E-4"/>
    <n v="-20.613563489347939"/>
    <n v="0"/>
    <n v="275.0384365106521"/>
    <n v="41.255765476597816"/>
    <n v="55.007687302130421"/>
    <n v="0"/>
    <n v="96.263452778728237"/>
  </r>
  <r>
    <x v="181"/>
    <n v="9668.26"/>
    <n v="9078.23"/>
    <n v="590.03"/>
    <n v="250.08"/>
    <n v="133.19840152247875"/>
    <n v="9.9452499999999997"/>
    <n v="149.62966666666668"/>
    <n v="0"/>
    <n v="-26.37651514418793"/>
    <n v="18374.666666666701"/>
    <n v="0.76612999999999998"/>
    <n v="3.3333333333333332E-4"/>
    <n v="116.88159847752127"/>
    <n v="0"/>
    <n v="0"/>
    <n v="0"/>
    <n v="0"/>
    <n v="0"/>
    <n v="0"/>
  </r>
  <r>
    <x v="182"/>
    <n v="9519.86"/>
    <n v="9147.74"/>
    <n v="372.12"/>
    <n v="220.81"/>
    <n v="173.04401667090136"/>
    <n v="4.9169166666666664"/>
    <n v="151.30383333333333"/>
    <n v="0"/>
    <n v="16.823266670901351"/>
    <n v="18374.666666666701"/>
    <n v="0.76051000000000002"/>
    <n v="3.3333333333333332E-4"/>
    <n v="47.765983329098646"/>
    <n v="0"/>
    <n v="0"/>
    <n v="0"/>
    <n v="0"/>
    <n v="0"/>
    <n v="0"/>
  </r>
  <r>
    <x v="183"/>
    <n v="9636.83"/>
    <n v="9182.39"/>
    <n v="454.44"/>
    <n v="187.11"/>
    <n v="194.29794717010645"/>
    <n v="3.101"/>
    <n v="152.46233333333333"/>
    <n v="0"/>
    <n v="38.734613836773136"/>
    <n v="18810.833333333299"/>
    <n v="0.76563999999999988"/>
    <n v="3.3333333333333332E-4"/>
    <n v="-7.1879471701064404"/>
    <n v="0"/>
    <n v="0"/>
    <n v="0"/>
    <n v="0"/>
    <n v="0"/>
    <n v="0"/>
  </r>
  <r>
    <x v="184"/>
    <n v="9634.7999999999993"/>
    <n v="9283.68"/>
    <n v="351.12"/>
    <n v="254.33"/>
    <n v="151.26884596901385"/>
    <n v="3.7869999999999999"/>
    <n v="153.03983333333332"/>
    <n v="0"/>
    <n v="-5.5579873643194748"/>
    <n v="18810.833333333299"/>
    <n v="0.76746999999999999"/>
    <n v="3.3333333333333332E-4"/>
    <n v="103.06115403098616"/>
    <n v="0"/>
    <n v="0"/>
    <n v="0"/>
    <n v="0"/>
    <n v="0"/>
    <n v="0"/>
  </r>
  <r>
    <x v="185"/>
    <n v="9633.82"/>
    <n v="9318.82"/>
    <n v="315"/>
    <n v="189.87"/>
    <n v="175.80862193829057"/>
    <n v="2.9260000000000002"/>
    <n v="154.72800000000001"/>
    <n v="0"/>
    <n v="18.154621938290568"/>
    <n v="18810.833333333299"/>
    <n v="0.76147000000000009"/>
    <n v="3.3333333333333332E-4"/>
    <n v="14.061378061709433"/>
    <n v="0"/>
    <n v="0"/>
    <n v="0"/>
    <n v="0"/>
    <n v="0"/>
    <n v="0"/>
  </r>
  <r>
    <x v="186"/>
    <n v="9632.14"/>
    <n v="9477.02"/>
    <n v="155.12"/>
    <n v="313.51"/>
    <n v="182.57637999449966"/>
    <n v="2.625"/>
    <n v="155.31366666666665"/>
    <n v="0"/>
    <n v="24.637713327833001"/>
    <n v="19162.266666666699"/>
    <n v="0.76757999999999993"/>
    <n v="3.3333333333333332E-4"/>
    <n v="130.93362000550033"/>
    <n v="0"/>
    <n v="0"/>
    <n v="0"/>
    <n v="0"/>
    <n v="0"/>
    <n v="0"/>
  </r>
  <r>
    <x v="187"/>
    <n v="9775.57"/>
    <n v="9436.7000000000007"/>
    <n v="338.87"/>
    <n v="117.63"/>
    <n v="162.27111451788917"/>
    <n v="1.2926666666666666"/>
    <n v="157.95033333333333"/>
    <n v="0"/>
    <n v="3.0281145178891777"/>
    <n v="19162.266666666699"/>
    <n v="0.7665900000000001"/>
    <n v="3.3333333333333332E-4"/>
    <n v="-44.641114517889179"/>
    <n v="0"/>
    <n v="0"/>
    <n v="0"/>
    <n v="0"/>
    <n v="0"/>
    <n v="0"/>
  </r>
  <r>
    <x v="188"/>
    <n v="9627.66"/>
    <n v="9430.68"/>
    <n v="196.98"/>
    <n v="151.26"/>
    <n v="97.635752056737971"/>
    <n v="2.8239166666666669"/>
    <n v="157.27833333333334"/>
    <n v="0"/>
    <n v="-62.466497943262027"/>
    <n v="19162.266666666699"/>
    <n v="0.76816000000000006"/>
    <n v="3.4166666666666661E-4"/>
    <n v="53.62424794326202"/>
    <n v="0"/>
    <n v="0"/>
    <n v="0"/>
    <n v="0"/>
    <n v="0"/>
    <n v="0"/>
  </r>
  <r>
    <x v="189"/>
    <n v="9745.33"/>
    <n v="9497.9500000000007"/>
    <n v="247.38"/>
    <n v="224.45"/>
    <n v="231.1976730120727"/>
    <n v="1.6415"/>
    <n v="157.178"/>
    <n v="0"/>
    <n v="72.378173012072708"/>
    <n v="19757.599999999999"/>
    <n v="0.76788000000000001"/>
    <n v="3.4166666666666661E-4"/>
    <n v="-6.7476730120727098"/>
    <n v="0"/>
    <n v="0"/>
    <n v="0"/>
    <n v="0"/>
    <n v="0"/>
    <n v="0"/>
  </r>
  <r>
    <x v="190"/>
    <n v="9894.36"/>
    <n v="9531.69"/>
    <n v="362.67"/>
    <n v="192.04"/>
    <n v="161.00493044370504"/>
    <n v="2.0615000000000001"/>
    <n v="158.29916666666668"/>
    <n v="0"/>
    <n v="0.6442637770383538"/>
    <n v="19757.599999999999"/>
    <n v="0.76766999999999996"/>
    <n v="3.4166666666666661E-4"/>
    <n v="31.035069556294957"/>
    <n v="0"/>
    <n v="0"/>
    <n v="0"/>
    <n v="0"/>
    <n v="0"/>
    <n v="0"/>
  </r>
  <r>
    <x v="191"/>
    <n v="10040.799999999999"/>
    <n v="9585.73"/>
    <n v="455.07"/>
    <n v="212.9"/>
    <n v="167.95556054833594"/>
    <n v="3.0222500000000001"/>
    <n v="158.86150000000001"/>
    <n v="0"/>
    <n v="6.0718105483359128"/>
    <n v="19757.599999999999"/>
    <n v="0.76568999999999998"/>
    <n v="3.4166666666666661E-4"/>
    <n v="44.944439451664067"/>
    <n v="0"/>
    <n v="0"/>
    <n v="0"/>
    <n v="0"/>
    <n v="0"/>
    <n v="0"/>
  </r>
  <r>
    <x v="192"/>
    <n v="11090.24"/>
    <n v="9675.82"/>
    <n v="1414.42"/>
    <n v="249.85"/>
    <n v="133.63291271841067"/>
    <n v="3.7922500000000001"/>
    <n v="159.76216666666667"/>
    <n v="0"/>
    <n v="-29.921503948256007"/>
    <n v="19370.099999999999"/>
    <n v="0.76037999999999994"/>
    <n v="3.4166666666666661E-4"/>
    <n v="116.21708728158933"/>
    <n v="0"/>
    <n v="563.05508728158941"/>
    <n v="84.458263092238411"/>
    <n v="112.61101745631788"/>
    <n v="0"/>
    <n v="197.06928054855629"/>
  </r>
  <r>
    <x v="193"/>
    <n v="10762.64"/>
    <n v="9674.6299999999992"/>
    <n v="1088.01"/>
    <n v="160.07"/>
    <n v="175.45923916091945"/>
    <n v="11.786833333333334"/>
    <n v="161.26366666666667"/>
    <n v="19.505374103365899"/>
    <n v="-17.096634942446467"/>
    <n v="19370.099999999999"/>
    <n v="0.76596999999999993"/>
    <n v="3.4166666666666661E-4"/>
    <n v="-15.389239160919459"/>
    <n v="0"/>
    <n v="105.15776083908054"/>
    <n v="15.77366412586208"/>
    <n v="21.031552167816109"/>
    <n v="0"/>
    <n v="36.805216293678185"/>
  </r>
  <r>
    <x v="194"/>
    <n v="10187.73"/>
    <n v="9724.68"/>
    <n v="463.05"/>
    <n v="211.29"/>
    <n v="177.11896160171509"/>
    <n v="9.0667500000000008"/>
    <n v="161.24383333333333"/>
    <n v="0"/>
    <n v="6.8083782683817562"/>
    <n v="19370.099999999999"/>
    <n v="0.76373000000000002"/>
    <n v="3.4166666666666661E-4"/>
    <n v="34.171038398284907"/>
    <n v="0"/>
    <n v="0"/>
    <n v="0"/>
    <n v="0"/>
    <n v="0"/>
    <n v="0"/>
  </r>
  <r>
    <x v="195"/>
    <n v="10303.44"/>
    <n v="9776.5499999999993"/>
    <n v="526.89"/>
    <n v="213.95"/>
    <n v="168.47800472747619"/>
    <n v="3.8587500000000001"/>
    <n v="162.078"/>
    <n v="0"/>
    <n v="2.5412547274762121"/>
    <n v="19986.333333333299"/>
    <n v="0.76843000000000006"/>
    <n v="3.5E-4"/>
    <n v="45.471995272523799"/>
    <n v="0"/>
    <n v="0"/>
    <n v="0"/>
    <n v="0"/>
    <n v="0"/>
    <n v="0"/>
  </r>
  <r>
    <x v="196"/>
    <n v="10302.39"/>
    <n v="9803.2199999999993"/>
    <n v="499.17"/>
    <n v="189.61"/>
    <n v="171.08053339733183"/>
    <n v="4.3907499999999997"/>
    <n v="162.9425"/>
    <n v="0"/>
    <n v="3.7472833973318322"/>
    <n v="19986.333333333299"/>
    <n v="0.76719999999999999"/>
    <n v="3.5E-4"/>
    <n v="18.52946660266818"/>
    <n v="0"/>
    <n v="0"/>
    <n v="0"/>
    <n v="0"/>
    <n v="0"/>
    <n v="0"/>
  </r>
  <r>
    <x v="197"/>
    <n v="10301.41"/>
    <n v="9839.48"/>
    <n v="461.93"/>
    <n v="199.65"/>
    <n v="188.84946553027959"/>
    <n v="4.1597499999999998"/>
    <n v="163.387"/>
    <n v="0"/>
    <n v="21.302715530279592"/>
    <n v="19986.333333333299"/>
    <n v="0.76019999999999999"/>
    <n v="3.5E-4"/>
    <n v="10.800534469720418"/>
    <n v="0"/>
    <n v="0"/>
    <n v="0"/>
    <n v="0"/>
    <n v="0"/>
    <n v="0"/>
  </r>
  <r>
    <x v="198"/>
    <n v="10299.73"/>
    <n v="9968.07"/>
    <n v="331.66"/>
    <n v="292.58"/>
    <n v="236.48205926694862"/>
    <n v="3.8494166666666669"/>
    <n v="163.99133333333333"/>
    <n v="0"/>
    <n v="68.641309266948639"/>
    <n v="20789.099999999999"/>
    <n v="0.76816999999999991"/>
    <n v="3.5E-4"/>
    <n v="56.09794073305136"/>
    <n v="0"/>
    <n v="0"/>
    <n v="0"/>
    <n v="0"/>
    <n v="0"/>
    <n v="0"/>
  </r>
  <r>
    <x v="199"/>
    <n v="10298.68"/>
    <n v="9974.23"/>
    <n v="324.45"/>
    <n v="172.29"/>
    <n v="157.59963694455175"/>
    <n v="2.7638333333333334"/>
    <n v="166.1345"/>
    <n v="0"/>
    <n v="-11.298696388781606"/>
    <n v="20789.099999999999"/>
    <n v="0.77180000000000004"/>
    <n v="3.5E-4"/>
    <n v="14.690363055448245"/>
    <n v="0"/>
    <n v="0"/>
    <n v="0"/>
    <n v="0"/>
    <n v="0"/>
    <n v="0"/>
  </r>
  <r>
    <x v="200"/>
    <n v="10297"/>
    <n v="10076.15"/>
    <n v="220.85"/>
    <n v="268.16000000000003"/>
    <n v="165.55897477915096"/>
    <n v="2.7037499999999999"/>
    <n v="166.23716666666667"/>
    <n v="0"/>
    <n v="-3.3819418875157305"/>
    <n v="20789.099999999999"/>
    <n v="0.77288999999999997"/>
    <n v="3.5E-4"/>
    <n v="102.60102522084907"/>
    <n v="0"/>
    <n v="0"/>
    <n v="0"/>
    <n v="0"/>
    <n v="0"/>
    <n v="0"/>
  </r>
  <r>
    <x v="201"/>
    <n v="10686.27"/>
    <n v="10185.209999999999"/>
    <n v="501.06"/>
    <n v="277"/>
    <n v="83.084749174290934"/>
    <n v="1.8404166666666666"/>
    <n v="167.93583333333333"/>
    <n v="0"/>
    <n v="-86.69150082570907"/>
    <n v="21566"/>
    <n v="0.77603999999999995"/>
    <n v="3.7500000000000006E-4"/>
    <n v="193.91525082570905"/>
    <n v="0"/>
    <n v="0"/>
    <n v="0"/>
    <n v="0"/>
    <n v="0"/>
    <n v="0"/>
  </r>
  <r>
    <x v="202"/>
    <n v="10369.66"/>
    <n v="10166.030000000001"/>
    <n v="203.63"/>
    <n v="150.57"/>
    <n v="-194.04641691939378"/>
    <n v="4.1755000000000004"/>
    <n v="169.75349999999997"/>
    <n v="0"/>
    <n v="-367.97541691939375"/>
    <n v="21566"/>
    <n v="0.77509000000000006"/>
    <n v="4.4166666666666665E-4"/>
    <n v="344.61641691939377"/>
    <n v="0"/>
    <n v="0"/>
    <n v="0"/>
    <n v="0"/>
    <n v="0"/>
    <n v="0"/>
  </r>
  <r>
    <x v="203"/>
    <n v="10766.91"/>
    <n v="10219.370000000001"/>
    <n v="547.54"/>
    <n v="222.77"/>
    <n v="52.285951084147698"/>
    <n v="1.6969166666666666"/>
    <n v="169.43383333333335"/>
    <n v="0"/>
    <n v="-118.84479891585234"/>
    <n v="21566"/>
    <n v="0.77534000000000003"/>
    <n v="4.6666666666666672E-4"/>
    <n v="170.48404891585233"/>
    <n v="0"/>
    <n v="0"/>
    <n v="0"/>
    <n v="0"/>
    <n v="0"/>
    <n v="0"/>
  </r>
  <r>
    <x v="204"/>
    <n v="12171.53"/>
    <n v="10353.42"/>
    <n v="1818.11"/>
    <n v="304.37"/>
    <n v="178.22926063632477"/>
    <n v="4.5628333333333329"/>
    <n v="170.32283333333334"/>
    <n v="20.040616604935703"/>
    <n v="-16.69702263527763"/>
    <n v="21346.400000000001"/>
    <n v="0.77355000000000007"/>
    <n v="4.6666666666666672E-4"/>
    <n v="126.14073936367524"/>
    <n v="25.22814787273505"/>
    <n v="908.90873936367507"/>
    <n v="136.33631090455125"/>
    <n v="181.78174787273502"/>
    <n v="2.5228147872735054"/>
    <n v="320.64087356455974"/>
  </r>
  <r>
    <x v="205"/>
    <n v="11464.25"/>
    <n v="10318.77"/>
    <n v="1145.48"/>
    <n v="137.91"/>
    <n v="146.42248376533016"/>
    <n v="15.150916666666665"/>
    <n v="172.55699999999999"/>
    <n v="0"/>
    <n v="-41.285432901336485"/>
    <n v="21346.400000000001"/>
    <n v="0.77509000000000006"/>
    <n v="4.7499999999999994E-4"/>
    <n v="-8.5124837653301597"/>
    <n v="25.017913307128925"/>
    <n v="105.09051623466962"/>
    <n v="15.763577435200443"/>
    <n v="21.018103246933926"/>
    <n v="2.5017913307128925"/>
    <n v="39.283472012847255"/>
  </r>
  <r>
    <x v="206"/>
    <n v="10748.15"/>
    <n v="10306.94"/>
    <n v="441.21"/>
    <n v="160.15"/>
    <n v="188.43817100680576"/>
    <n v="9.5456666666666674"/>
    <n v="171.9795"/>
    <n v="0"/>
    <n v="6.9130043401390857"/>
    <n v="21346.400000000001"/>
    <n v="0.77251999999999998"/>
    <n v="4.7499999999999994E-4"/>
    <n v="-28.288171006805754"/>
    <n v="24.809430696236184"/>
    <n v="0"/>
    <n v="0"/>
    <n v="0"/>
    <n v="2.4809430696236188"/>
    <n v="2.4809430696236188"/>
  </r>
  <r>
    <x v="207"/>
    <n v="10847.06"/>
    <n v="10396.049999999999"/>
    <n v="451.01"/>
    <n v="260.89"/>
    <n v="202.43061066713631"/>
    <n v="3.6767499999999997"/>
    <n v="171.78233333333336"/>
    <n v="0"/>
    <n v="26.971527333802946"/>
    <n v="21740"/>
    <n v="0.77673000000000003"/>
    <n v="4.7499999999999994E-4"/>
    <n v="58.45938933286368"/>
    <n v="24.602685440434218"/>
    <n v="0"/>
    <n v="0"/>
    <n v="0"/>
    <n v="2.460268544043422"/>
    <n v="2.460268544043422"/>
  </r>
  <r>
    <x v="208"/>
    <n v="11132.59"/>
    <n v="10382.19"/>
    <n v="750.4"/>
    <n v="159.41"/>
    <n v="180.20004947025981"/>
    <n v="3.7584166666666667"/>
    <n v="173.26749999999998"/>
    <n v="0"/>
    <n v="3.1741328035931526"/>
    <n v="21740"/>
    <n v="0.77556000000000003"/>
    <n v="4.7499999999999994E-4"/>
    <n v="-20.790049470259817"/>
    <n v="24.397663061763932"/>
    <n v="0"/>
    <n v="0"/>
    <n v="0"/>
    <n v="2.4397663061763932"/>
    <n v="2.4397663061763932"/>
  </r>
  <r>
    <x v="209"/>
    <n v="11131.26"/>
    <n v="10412.780000000001"/>
    <n v="718.48"/>
    <n v="203.63"/>
    <n v="192.49593917848773"/>
    <n v="6.253333333333333"/>
    <n v="173.03650000000002"/>
    <n v="0"/>
    <n v="13.206105845154381"/>
    <n v="21740"/>
    <n v="0.77068999999999999"/>
    <n v="4.7499999999999994E-4"/>
    <n v="11.134060821512264"/>
    <n v="24.194349202915898"/>
    <n v="0"/>
    <n v="0"/>
    <n v="0"/>
    <n v="2.4194349202915899"/>
    <n v="2.4194349202915899"/>
  </r>
  <r>
    <x v="210"/>
    <n v="11129.16"/>
    <n v="10446.379999999999"/>
    <n v="682.78"/>
    <n v="207.15"/>
    <n v="244.17743464367231"/>
    <n v="5.9873333333333338"/>
    <n v="173.54633333333334"/>
    <n v="0"/>
    <n v="64.643767977005638"/>
    <n v="22578.566666666698"/>
    <n v="0.77650999999999992"/>
    <n v="4.7499999999999994E-4"/>
    <n v="-37.027434643672308"/>
    <n v="23.992729626224936"/>
    <n v="0"/>
    <n v="0"/>
    <n v="0"/>
    <n v="2.3992729626224936"/>
    <n v="2.3992729626224936"/>
  </r>
  <r>
    <x v="211"/>
    <n v="11127.55"/>
    <n v="10437.77"/>
    <n v="689.78"/>
    <n v="165.5"/>
    <n v="141.40110936045573"/>
    <n v="5.6898333333333335"/>
    <n v="174.10633333333331"/>
    <n v="0"/>
    <n v="-38.395057306210887"/>
    <n v="22578.566666666698"/>
    <n v="0.77694000000000007"/>
    <n v="4.8333333333333328E-4"/>
    <n v="24.098890639544265"/>
    <n v="23.792790212673061"/>
    <n v="0"/>
    <n v="0"/>
    <n v="0"/>
    <n v="2.3792790212673061"/>
    <n v="2.3792790212673061"/>
  </r>
  <r>
    <x v="212"/>
    <n v="11125.8"/>
    <n v="10633.14"/>
    <n v="492.66"/>
    <n v="369.33"/>
    <n v="218.73678263985343"/>
    <n v="5.7481666666666662"/>
    <n v="173.96283333333335"/>
    <n v="0"/>
    <n v="39.025782639853418"/>
    <n v="22578.566666666698"/>
    <n v="0.7762699999999999"/>
    <n v="4.7499999999999994E-4"/>
    <n v="150.59321736014655"/>
    <n v="23.594516960900783"/>
    <n v="0"/>
    <n v="0"/>
    <n v="0"/>
    <n v="2.3594516960900784"/>
    <n v="2.3594516960900784"/>
  </r>
  <r>
    <x v="213"/>
    <n v="11124.19"/>
    <n v="10516.31"/>
    <n v="607.88"/>
    <n v="60.39"/>
    <n v="251.09434665746468"/>
    <n v="4.1055000000000001"/>
    <n v="177.21899999999999"/>
    <n v="0"/>
    <n v="69.769846657464683"/>
    <n v="23406.133333333299"/>
    <n v="0.7793000000000001"/>
    <n v="4.7499999999999994E-4"/>
    <n v="-190.70434665746467"/>
    <n v="23.397895986226612"/>
    <n v="0"/>
    <n v="0"/>
    <n v="0"/>
    <n v="2.3397895986226613"/>
    <n v="2.3397895986226613"/>
  </r>
  <r>
    <x v="214"/>
    <n v="11123.28"/>
    <n v="10593.66"/>
    <n v="529.62"/>
    <n v="252.62"/>
    <n v="180.33749999999998"/>
    <n v="5.065666666666667"/>
    <n v="175.27183333333332"/>
    <n v="0"/>
    <n v="0"/>
    <n v="23406.133333333299"/>
    <n v="0.7793000000000001"/>
    <n v="4.7499999999999994E-4"/>
    <n v="72.282500000000027"/>
    <n v="23.202913519674723"/>
    <n v="0"/>
    <n v="0"/>
    <n v="0"/>
    <n v="2.3202913519674726"/>
    <n v="2.3202913519674726"/>
  </r>
  <r>
    <x v="215"/>
    <n v="11605.37"/>
    <n v="10720.5"/>
    <n v="884.87"/>
    <n v="303.39999999999998"/>
    <n v="174.47538952117543"/>
    <n v="4.4135"/>
    <n v="176.56100000000001"/>
    <n v="0"/>
    <n v="-6.4991104788245702"/>
    <n v="23406.133333333299"/>
    <n v="0.78161000000000003"/>
    <n v="4.7499999999999994E-4"/>
    <n v="128.92461047882455"/>
    <n v="23.009555907010768"/>
    <n v="0"/>
    <n v="0"/>
    <n v="0"/>
    <n v="2.300955590701077"/>
    <n v="2.300955590701077"/>
  </r>
  <r>
    <x v="216"/>
    <n v="11602.15"/>
    <n v="10667.93"/>
    <n v="934.22"/>
    <n v="126.1"/>
    <n v="199.54759319239668"/>
    <n v="7.3739166666666671"/>
    <n v="178.67500000000001"/>
    <n v="0"/>
    <n v="13.498676525730005"/>
    <n v="23173.933333333302"/>
    <n v="0.76903999999999995"/>
    <n v="4.7499999999999994E-4"/>
    <n v="-73.447593192396681"/>
    <n v="22.81780960778568"/>
    <n v="0"/>
    <n v="0"/>
    <n v="0"/>
    <n v="2.2817809607785682"/>
    <n v="2.2817809607785682"/>
  </r>
  <r>
    <x v="217"/>
    <n v="13007.47"/>
    <n v="10764.6"/>
    <n v="2242.87"/>
    <n v="274.47000000000003"/>
    <n v="167.5092520180819"/>
    <n v="7.785166666666667"/>
    <n v="177.79883333333333"/>
    <n v="-1.8525583200443592"/>
    <n v="-16.222189661873742"/>
    <n v="23173.933333333302"/>
    <n v="0.77478999999999998"/>
    <n v="4.7499999999999994E-4"/>
    <n v="106.96074798191813"/>
    <n v="21.392149596383629"/>
    <n v="1273.3707479819182"/>
    <n v="191.00561219728772"/>
    <n v="254.67414959638364"/>
    <n v="2.1392149596383629"/>
    <n v="447.8189767533097"/>
  </r>
  <r>
    <x v="218"/>
    <n v="11618.32"/>
    <n v="10863.02"/>
    <n v="755.3"/>
    <n v="277.83"/>
    <n v="238.10721535191544"/>
    <n v="18.690583333333333"/>
    <n v="179.41"/>
    <n v="0"/>
    <n v="40.006632018582103"/>
    <n v="23173.933333333302"/>
    <n v="0.7743000000000001"/>
    <n v="4.6666666666666672E-4"/>
    <n v="39.722784648084541"/>
    <n v="21.213881683080434"/>
    <n v="0"/>
    <n v="0"/>
    <n v="0"/>
    <n v="2.1213881683080436"/>
    <n v="2.1213881683080436"/>
  </r>
  <r>
    <x v="219"/>
    <n v="11616.43"/>
    <n v="11029.55"/>
    <n v="586.88"/>
    <n v="347.58"/>
    <n v="365.84186512959309"/>
    <n v="6.2941666666666665"/>
    <n v="181.05033333333333"/>
    <n v="0"/>
    <n v="178.49736512959308"/>
    <n v="23922.799999999999"/>
    <n v="0.78025000000000011"/>
    <n v="4.4166666666666665E-4"/>
    <n v="-18.261865129593104"/>
    <n v="21.037099335721432"/>
    <n v="0"/>
    <n v="0"/>
    <n v="0"/>
    <n v="2.1037099335721434"/>
    <n v="2.1037099335721434"/>
  </r>
  <r>
    <x v="220"/>
    <n v="11613.56"/>
    <n v="11141.76"/>
    <n v="471.8"/>
    <n v="296.04000000000002"/>
    <n v="217.74368449988151"/>
    <n v="4.8906666666666663"/>
    <n v="183.82583333333332"/>
    <n v="0"/>
    <n v="29.027184499881521"/>
    <n v="23922.799999999999"/>
    <n v="0.78537000000000001"/>
    <n v="4.3333333333333331E-4"/>
    <n v="78.29631550011851"/>
    <n v="20.861790174590418"/>
    <n v="0"/>
    <n v="0"/>
    <n v="0"/>
    <n v="2.0861790174590418"/>
    <n v="2.0861790174590418"/>
  </r>
  <r>
    <x v="221"/>
    <n v="12103.49"/>
    <n v="11323.69"/>
    <n v="779.8"/>
    <n v="367.63"/>
    <n v="239.54236683366747"/>
    <n v="3.9316666666666666"/>
    <n v="185.696"/>
    <n v="0"/>
    <n v="49.914700167000817"/>
    <n v="23922.799999999999"/>
    <n v="0.78383999999999998"/>
    <n v="4.2500000000000003E-4"/>
    <n v="128.08763316633252"/>
    <n v="20.687941923135497"/>
    <n v="0"/>
    <n v="0"/>
    <n v="0"/>
    <n v="2.06879419231355"/>
    <n v="2.06879419231355"/>
  </r>
  <r>
    <x v="222"/>
    <n v="12101.25"/>
    <n v="11323.34"/>
    <n v="777.91"/>
    <n v="188.38"/>
    <n v="258.86947840352758"/>
    <n v="6.4983333333333331"/>
    <n v="188.72816666666668"/>
    <n v="0"/>
    <n v="63.642978403527565"/>
    <n v="25055.8"/>
    <n v="0.79957999999999996"/>
    <n v="4.2500000000000003E-4"/>
    <n v="-70.489478403527585"/>
    <n v="20.515542407109368"/>
    <n v="0"/>
    <n v="0"/>
    <n v="0"/>
    <n v="2.0515542407109368"/>
    <n v="2.0515542407109368"/>
  </r>
  <r>
    <x v="223"/>
    <n v="12097.33"/>
    <n v="11368"/>
    <n v="729.33"/>
    <n v="233.38"/>
    <n v="135.52958756081583"/>
    <n v="6.4825833333333334"/>
    <n v="188.72233333333332"/>
    <n v="0"/>
    <n v="-59.675329105850828"/>
    <n v="25055.8"/>
    <n v="0.8037399999999999"/>
    <n v="4.3333333333333331E-4"/>
    <n v="97.850412439184169"/>
    <n v="20.344579553716791"/>
    <n v="0"/>
    <n v="0"/>
    <n v="0"/>
    <n v="2.0344579553716793"/>
    <n v="2.0344579553716793"/>
  </r>
  <r>
    <x v="224"/>
    <n v="12094.39"/>
    <n v="11524.38"/>
    <n v="570.01"/>
    <n v="345.85"/>
    <n v="162.2781381321667"/>
    <n v="6.07775"/>
    <n v="189.46666666666667"/>
    <n v="0"/>
    <n v="-33.266278534499989"/>
    <n v="25055.8"/>
    <n v="0.79962999999999995"/>
    <n v="4.4166666666666665E-4"/>
    <n v="183.57186186783332"/>
    <n v="20.175041390769149"/>
    <n v="0"/>
    <n v="0"/>
    <n v="0"/>
    <n v="2.0175041390769151"/>
    <n v="2.0175041390769151"/>
  </r>
  <r>
    <x v="225"/>
    <n v="12091.87"/>
    <n v="11390.89"/>
    <n v="700.98"/>
    <n v="58.58"/>
    <n v="246.20181100753928"/>
    <n v="4.7500833333333334"/>
    <n v="192.07299999999998"/>
    <n v="0"/>
    <n v="49.378727674205983"/>
    <n v="24954.133333333299"/>
    <n v="0.81094999999999995"/>
    <n v="4.2500000000000003E-4"/>
    <n v="-187.62181100753929"/>
    <n v="20.006916045846072"/>
    <n v="0"/>
    <n v="0"/>
    <n v="0"/>
    <n v="2.0006916045846075"/>
    <n v="2.0006916045846075"/>
  </r>
  <r>
    <x v="226"/>
    <n v="12088.72"/>
    <n v="11528.65"/>
    <n v="560.07000000000005"/>
    <n v="327.61"/>
    <n v="176.97190927899322"/>
    <n v="5.8414999999999999"/>
    <n v="189.84816666666666"/>
    <n v="0"/>
    <n v="-18.717757387673416"/>
    <n v="24954.133333333299"/>
    <n v="0.81715999999999989"/>
    <n v="4.2500000000000003E-4"/>
    <n v="150.63809072100679"/>
    <n v="19.840191745464022"/>
    <n v="0"/>
    <n v="0"/>
    <n v="0"/>
    <n v="1.9840191745464022"/>
    <n v="1.9840191745464022"/>
  </r>
  <r>
    <x v="227"/>
    <n v="12435.01"/>
    <n v="11700.15"/>
    <n v="734.86"/>
    <n v="363.64"/>
    <n v="213.83422397770863"/>
    <n v="4.6672500000000001"/>
    <n v="192.14416666666665"/>
    <n v="0"/>
    <n v="17.022807311041976"/>
    <n v="24954.133333333299"/>
    <n v="0.81147000000000002"/>
    <n v="4.2500000000000003E-4"/>
    <n v="149.80577602229135"/>
    <n v="19.674856814251822"/>
    <n v="0"/>
    <n v="0"/>
    <n v="0"/>
    <n v="1.9674856814251822"/>
    <n v="1.9674856814251822"/>
  </r>
  <r>
    <x v="228"/>
    <n v="13835.5"/>
    <n v="11770.85"/>
    <n v="2064.65"/>
    <n v="265.7"/>
    <n v="337.62357837893319"/>
    <n v="6.1238333333333337"/>
    <n v="195.0025"/>
    <n v="0"/>
    <n v="136.49724504559987"/>
    <n v="25065.5"/>
    <n v="0.82001999999999997"/>
    <n v="3.9999999999999996E-4"/>
    <n v="-71.9235783789332"/>
    <n v="19.510899674133057"/>
    <n v="815.64142162106691"/>
    <n v="122.34621324316004"/>
    <n v="163.12828432421338"/>
    <n v="1.9510899674133058"/>
    <n v="287.4255875347867"/>
  </r>
  <r>
    <x v="229"/>
    <n v="13833.19"/>
    <n v="11930.66"/>
    <n v="1902.53"/>
    <n v="355.99"/>
    <n v="308.097186078665"/>
    <n v="17.205416666666668"/>
    <n v="196.18083333333334"/>
    <n v="2.5360691124088355"/>
    <n v="92.174866966256147"/>
    <n v="25065.5"/>
    <n v="0.82558000000000009"/>
    <n v="3.8333333333333334E-4"/>
    <n v="47.892813921335005"/>
    <n v="9.5785627842670014"/>
    <n v="757.35681392133506"/>
    <n v="113.60352208820025"/>
    <n v="151.47136278426703"/>
    <n v="0.95785627842670018"/>
    <n v="266.03274115089397"/>
  </r>
  <r>
    <x v="230"/>
    <n v="12814.13"/>
    <n v="12130.3"/>
    <n v="683.83"/>
    <n v="398.48"/>
    <n v="454.25001511805385"/>
    <n v="15.854416666666667"/>
    <n v="198.84433333333334"/>
    <n v="0"/>
    <n v="239.55126511805383"/>
    <n v="25065.5"/>
    <n v="0.82632000000000005"/>
    <n v="3.5E-4"/>
    <n v="-55.770015118053834"/>
    <n v="9.4987414277314421"/>
    <n v="0"/>
    <n v="0"/>
    <n v="0"/>
    <n v="0.9498741427731443"/>
    <n v="0.9498741427731443"/>
  </r>
  <r>
    <x v="231"/>
    <n v="12812.38"/>
    <n v="12094.67"/>
    <n v="717.71"/>
    <n v="166.54"/>
    <n v="192.50416885203381"/>
    <n v="5.6985833333333336"/>
    <n v="202.17166666666665"/>
    <n v="0"/>
    <n v="-15.366081147966177"/>
    <n v="24715.9"/>
    <n v="0.83933000000000002"/>
    <n v="3.4166666666666661E-4"/>
    <n v="-25.964168852033822"/>
    <n v="9.419585249167012"/>
    <n v="0"/>
    <n v="0"/>
    <n v="0"/>
    <n v="0.94195852491670129"/>
    <n v="0.94195852491670129"/>
  </r>
  <r>
    <x v="232"/>
    <n v="13049.33"/>
    <n v="12267.08"/>
    <n v="782.25"/>
    <n v="373.99"/>
    <n v="124.33869603831207"/>
    <n v="5.9809166666666673"/>
    <n v="201.57783333333333"/>
    <n v="0"/>
    <n v="-83.220053961687938"/>
    <n v="24715.9"/>
    <n v="0.84450999999999998"/>
    <n v="3.5E-4"/>
    <n v="249.65130396168794"/>
    <n v="9.3410887054239531"/>
    <n v="0"/>
    <n v="0"/>
    <n v="0"/>
    <n v="0.93410887054239533"/>
    <n v="0.93410887054239533"/>
  </r>
  <r>
    <x v="233"/>
    <n v="13047.72"/>
    <n v="12375.51"/>
    <n v="672.21"/>
    <n v="312.88"/>
    <n v="282.10986785463695"/>
    <n v="6.5187499999999998"/>
    <n v="204.45133333333334"/>
    <n v="0"/>
    <n v="71.139784521303596"/>
    <n v="24715.9"/>
    <n v="0.84296000000000004"/>
    <n v="3.4166666666666661E-4"/>
    <n v="30.77013214536305"/>
    <n v="9.2632462995454201"/>
    <n v="0"/>
    <n v="0"/>
    <n v="0"/>
    <n v="0.92632462995454201"/>
    <n v="0.92632462995454201"/>
  </r>
  <r>
    <x v="234"/>
    <n v="13045.55"/>
    <n v="12465.6"/>
    <n v="579.95000000000005"/>
    <n v="296.35000000000002"/>
    <n v="286.8923120888503"/>
    <n v="5.60175"/>
    <n v="206.2585"/>
    <n v="0"/>
    <n v="75.03206208885031"/>
    <n v="25035.9666666667"/>
    <n v="0.85215999999999992"/>
    <n v="3.3333333333333332E-4"/>
    <n v="9.4576879111497192"/>
    <n v="9.1860525803825421"/>
    <n v="0"/>
    <n v="0"/>
    <n v="0"/>
    <n v="0.91860525803825421"/>
    <n v="0.91860525803825421"/>
  </r>
  <r>
    <x v="235"/>
    <n v="13390.3"/>
    <n v="12733.28"/>
    <n v="657.02"/>
    <n v="475.44"/>
    <n v="273.90091554089696"/>
    <n v="4.8329166666666667"/>
    <n v="207.76000000000002"/>
    <n v="0"/>
    <n v="61.307998874230265"/>
    <n v="25035.9666666667"/>
    <n v="0.85543999999999998"/>
    <n v="3.2500000000000004E-4"/>
    <n v="201.53908445910304"/>
    <n v="9.1095021422126869"/>
    <n v="0"/>
    <n v="0"/>
    <n v="0"/>
    <n v="0.91095021422126876"/>
    <n v="0.91095021422126876"/>
  </r>
  <r>
    <x v="236"/>
    <n v="14086.03"/>
    <n v="12899.53"/>
    <n v="1186.5"/>
    <n v="378.47"/>
    <n v="82.231671127905884"/>
    <n v="5.4751666666666665"/>
    <n v="212.22133333333335"/>
    <n v="0"/>
    <n v="-135.46482887209413"/>
    <n v="25035.9666666667"/>
    <n v="0.85361000000000009"/>
    <n v="3.4166666666666661E-4"/>
    <n v="296.23832887209414"/>
    <n v="9.0335896243609159"/>
    <n v="192.78532887209394"/>
    <n v="28.917799330814091"/>
    <n v="38.557065774418788"/>
    <n v="0.90335896243609159"/>
    <n v="68.378224067668967"/>
  </r>
  <r>
    <x v="237"/>
    <n v="14083.37"/>
    <n v="13152.09"/>
    <n v="931.28"/>
    <n v="467.55"/>
    <n v="-42.165196511915525"/>
    <n v="9.8874999999999993"/>
    <n v="214.99216666666669"/>
    <n v="0"/>
    <n v="-267.0448631785822"/>
    <n v="24098.866666666701"/>
    <n v="0.86304000000000003"/>
    <n v="3.5833333333333333E-4"/>
    <n v="509.71519651191556"/>
    <n v="8.9583097108245759"/>
    <n v="125.78619651191548"/>
    <n v="18.867929476787321"/>
    <n v="25.157239302383097"/>
    <n v="0.89583097108245768"/>
    <n v="44.920999750252875"/>
  </r>
  <r>
    <x v="238"/>
    <n v="14081.55"/>
    <n v="13329.75"/>
    <n v="751.8"/>
    <n v="396.86"/>
    <n v="358.5871610278939"/>
    <n v="7.7606666666666664"/>
    <n v="219.20150000000001"/>
    <n v="0"/>
    <n v="131.62499436122721"/>
    <n v="24098.866666666701"/>
    <n v="0.86245000000000005"/>
    <n v="3.4166666666666661E-4"/>
    <n v="38.272838972106115"/>
    <n v="8.883657129901037"/>
    <n v="0"/>
    <n v="0"/>
    <n v="0"/>
    <n v="0.8883657129901037"/>
    <n v="0.8883657129901037"/>
  </r>
  <r>
    <x v="239"/>
    <n v="14678.09"/>
    <n v="13342.91"/>
    <n v="1335.18"/>
    <n v="235.32"/>
    <n v="391.20381235026605"/>
    <n v="6.2649999999999997"/>
    <n v="222.16249999999999"/>
    <n v="0"/>
    <n v="162.7763123502661"/>
    <n v="24098.866666666701"/>
    <n v="0.85501000000000005"/>
    <n v="3.2500000000000004E-4"/>
    <n v="-155.88381235026606"/>
    <n v="8.8096266538185279"/>
    <n v="0"/>
    <n v="0"/>
    <n v="0"/>
    <n v="0.88096266538185286"/>
    <n v="0.88096266538185286"/>
  </r>
  <r>
    <x v="240"/>
    <n v="15813.7"/>
    <n v="13457.85"/>
    <n v="2355.85"/>
    <n v="337.32"/>
    <n v="205.49861773926037"/>
    <n v="11.1265"/>
    <n v="222.38183333333333"/>
    <n v="14.193111169671864"/>
    <n v="-42.20282676374481"/>
    <n v="23131.9"/>
    <n v="0.85507"/>
    <n v="3.1666666666666665E-4"/>
    <n v="131.82138226073963"/>
    <n v="26.364276452147926"/>
    <n v="1141.8863822607393"/>
    <n v="171.28295733911088"/>
    <n v="228.37727645214787"/>
    <n v="2.636427645214793"/>
    <n v="402.29666143647353"/>
  </r>
  <r>
    <x v="241"/>
    <n v="15813.77"/>
    <n v="13568.59"/>
    <n v="2245.1799999999998"/>
    <n v="335.04"/>
    <n v="327.67531485928146"/>
    <n v="19.632083333333334"/>
    <n v="224.29750000000001"/>
    <n v="0"/>
    <n v="83.745731525948102"/>
    <n v="23131.9"/>
    <n v="0.85236000000000001"/>
    <n v="3.0833333333333337E-4"/>
    <n v="7.3646851407185636"/>
    <n v="26.144574148380027"/>
    <n v="895.68568514071808"/>
    <n v="134.35285277110771"/>
    <n v="179.13713702814363"/>
    <n v="2.6144574148380029"/>
    <n v="316.10444721408936"/>
  </r>
  <r>
    <x v="242"/>
    <n v="14736.4"/>
    <n v="13608.56"/>
    <n v="1127.8399999999999"/>
    <n v="266.11"/>
    <n v="685.43312284831791"/>
    <n v="18.709833333333332"/>
    <n v="226.14316666666667"/>
    <n v="0"/>
    <n v="440.58012284831784"/>
    <n v="23131.9"/>
    <n v="0.8475100000000001"/>
    <n v="2.6666666666666668E-4"/>
    <n v="-419.32312284831789"/>
    <n v="25.926702697143526"/>
    <n v="0"/>
    <n v="0"/>
    <n v="0"/>
    <n v="2.5926702697143527"/>
    <n v="2.5926702697143527"/>
  </r>
  <r>
    <x v="243"/>
    <n v="14734.3"/>
    <n v="13595.33"/>
    <n v="1138.97"/>
    <n v="213.58"/>
    <n v="422.4116978032655"/>
    <n v="9.3986666666666654"/>
    <n v="226.80933333333331"/>
    <n v="0"/>
    <n v="186.2036978032655"/>
    <n v="24425.9666666667"/>
    <n v="0.84206000000000003"/>
    <n v="2.6666666666666668E-4"/>
    <n v="-208.83169780326548"/>
    <n v="25.710646841333997"/>
    <n v="0"/>
    <n v="0"/>
    <n v="0"/>
    <n v="2.5710646841333999"/>
    <n v="2.5710646841333999"/>
  </r>
  <r>
    <x v="244"/>
    <n v="14732.97"/>
    <n v="13670.37"/>
    <n v="1062.5999999999999"/>
    <n v="301.63"/>
    <n v="219.4646584992978"/>
    <n v="9.4914166666666677"/>
    <n v="226.58883333333333"/>
    <n v="0"/>
    <n v="-16.615591500702216"/>
    <n v="24425.9666666667"/>
    <n v="0.84656000000000009"/>
    <n v="2.6666666666666668E-4"/>
    <n v="82.165341500702198"/>
    <n v="25.496391450989549"/>
    <n v="0"/>
    <n v="0"/>
    <n v="0"/>
    <n v="2.5496391450989551"/>
    <n v="2.5496391450989551"/>
  </r>
  <r>
    <x v="245"/>
    <n v="14731.99"/>
    <n v="13704.67"/>
    <n v="1027.32"/>
    <n v="262.14"/>
    <n v="801.24843567246444"/>
    <n v="8.8549999999999986"/>
    <n v="227.83950000000002"/>
    <n v="0"/>
    <n v="564.55393567246449"/>
    <n v="24425.9666666667"/>
    <n v="0.84282999999999997"/>
    <n v="2.2500000000000002E-4"/>
    <n v="-539.10843567246445"/>
    <n v="25.283921522231303"/>
    <n v="0"/>
    <n v="0"/>
    <n v="0"/>
    <n v="2.5283921522231303"/>
    <n v="2.5283921522231303"/>
  </r>
  <r>
    <x v="246"/>
    <n v="14728.77"/>
    <n v="13787.13"/>
    <n v="941.64"/>
    <n v="310.87"/>
    <n v="522.03122631034444"/>
    <n v="8.5609999999999999"/>
    <n v="228.41116666666667"/>
    <n v="0"/>
    <n v="285.05905964367776"/>
    <n v="25746.266666666699"/>
    <n v="0.85002999999999995"/>
    <n v="2.1666666666666666E-4"/>
    <n v="-211.16122631034443"/>
    <n v="25.07322217621271"/>
    <n v="0"/>
    <n v="0"/>
    <n v="0"/>
    <n v="2.5073222176212711"/>
    <n v="2.5073222176212711"/>
  </r>
  <r>
    <x v="247"/>
    <n v="14727.3"/>
    <n v="13935.88"/>
    <n v="791.42"/>
    <n v="378.54"/>
    <n v="224.91329476808011"/>
    <n v="7.8469999999999995"/>
    <n v="229.78549999999998"/>
    <n v="0"/>
    <n v="-12.719205231919883"/>
    <n v="25746.266666666699"/>
    <n v="0.85306999999999999"/>
    <n v="2.1666666666666666E-4"/>
    <n v="153.62670523191991"/>
    <n v="24.864278658077602"/>
    <n v="0"/>
    <n v="0"/>
    <n v="0"/>
    <n v="2.4864278658077605"/>
    <n v="2.4864278658077605"/>
  </r>
  <r>
    <x v="248"/>
    <n v="14725.97"/>
    <n v="13945.75"/>
    <n v="780.22"/>
    <n v="242.13"/>
    <n v="251.32544391760314"/>
    <n v="6.5951666666666666"/>
    <n v="232.26466666666664"/>
    <n v="0"/>
    <n v="12.465610584269818"/>
    <n v="25746.266666666699"/>
    <n v="0.85007999999999995"/>
    <n v="2.1666666666666666E-4"/>
    <n v="-9.1954439176031428"/>
    <n v="24.657076335926956"/>
    <n v="0"/>
    <n v="0"/>
    <n v="0"/>
    <n v="2.4657076335926957"/>
    <n v="2.4657076335926957"/>
  </r>
  <r>
    <x v="249"/>
    <n v="14723.45"/>
    <n v="14094.43"/>
    <n v="629.02"/>
    <n v="381.11"/>
    <n v="357.54887588715218"/>
    <n v="6.5018333333333338"/>
    <n v="232.42916666666667"/>
    <n v="0"/>
    <n v="118.61787588715217"/>
    <n v="25738.666666666701"/>
    <n v="0.85521000000000003"/>
    <n v="2.0833333333333335E-4"/>
    <n v="23.561124112847835"/>
    <n v="24.451600699794234"/>
    <n v="0"/>
    <n v="0"/>
    <n v="0"/>
    <n v="2.4451600699794236"/>
    <n v="2.4451600699794236"/>
  </r>
  <r>
    <x v="250"/>
    <n v="14722.26"/>
    <n v="14179.97"/>
    <n v="542.29"/>
    <n v="320.45"/>
    <n v="238.23649804533679"/>
    <n v="5.2418333333333331"/>
    <n v="234.90716666666668"/>
    <n v="0"/>
    <n v="-1.9125019546632309"/>
    <n v="25738.666666666701"/>
    <n v="0.85565999999999998"/>
    <n v="2.0833333333333335E-4"/>
    <n v="82.213501954663201"/>
    <n v="24.24783736062928"/>
    <n v="0"/>
    <n v="0"/>
    <n v="0"/>
    <n v="2.4247837360629281"/>
    <n v="2.4247837360629281"/>
  </r>
  <r>
    <x v="251"/>
    <n v="15506.19"/>
    <n v="14208.67"/>
    <n v="1297.52"/>
    <n v="265.02999999999997"/>
    <n v="262.74013992415888"/>
    <n v="4.5190833333333327"/>
    <n v="236.33283333333333"/>
    <n v="0"/>
    <n v="21.888223257492236"/>
    <n v="25738.666666666701"/>
    <n v="0.85049999999999992"/>
    <n v="2.0833333333333335E-4"/>
    <n v="2.2898600758410907"/>
    <n v="24.045772049290701"/>
    <n v="0"/>
    <n v="0"/>
    <n v="0"/>
    <n v="2.4045772049290703"/>
    <n v="2.4045772049290703"/>
  </r>
  <r>
    <x v="252"/>
    <n v="15503.74"/>
    <n v="14372.12"/>
    <n v="1131.6199999999999"/>
    <n v="400.26"/>
    <n v="873.79348064885005"/>
    <n v="10.812666666666667"/>
    <n v="236.81116666666668"/>
    <n v="0"/>
    <n v="626.16964731551673"/>
    <n v="26899.5333333333"/>
    <n v="0.85682000000000003"/>
    <n v="1.8333333333333334E-4"/>
    <n v="-473.53348064885006"/>
    <n v="23.845390615546609"/>
    <n v="0"/>
    <n v="0"/>
    <n v="0"/>
    <n v="2.3845390615546611"/>
    <n v="2.3845390615546611"/>
  </r>
  <r>
    <x v="253"/>
    <n v="17083.29"/>
    <n v="14416.85"/>
    <n v="2666.44"/>
    <n v="284.27"/>
    <n v="231.75995021939232"/>
    <n v="9.4301666666666666"/>
    <n v="239.53533333333334"/>
    <n v="-0.25415261220691576"/>
    <n v="-16.951397168400764"/>
    <n v="26899.5333333333"/>
    <n v="0.86048000000000002"/>
    <n v="1.8333333333333334E-4"/>
    <n v="52.510049780607659"/>
    <n v="10.502009956121533"/>
    <n v="1277.2650497806073"/>
    <n v="191.58975746709109"/>
    <n v="255.45300995612149"/>
    <n v="1.0502009956121534"/>
    <n v="448.09296841882474"/>
  </r>
  <r>
    <x v="254"/>
    <n v="15857.45"/>
    <n v="14648.62"/>
    <n v="1208.83"/>
    <n v="472.05"/>
    <n v="259.40734289180091"/>
    <n v="22.220333333333333"/>
    <n v="240.28083333333333"/>
    <n v="0"/>
    <n v="-3.0938237748657791"/>
    <n v="26899.5333333333"/>
    <n v="0.86114999999999997"/>
    <n v="1.8333333333333334E-4"/>
    <n v="212.6426571081991"/>
    <n v="10.414493206487187"/>
    <n v="0"/>
    <n v="0"/>
    <n v="0"/>
    <n v="1.0414493206487188"/>
    <n v="1.0414493206487188"/>
  </r>
  <r>
    <x v="255"/>
    <n v="15855.28"/>
    <n v="14820.33"/>
    <n v="1034.95"/>
    <n v="415.85"/>
    <n v="520.11872527810124"/>
    <n v="10.073583333333334"/>
    <n v="244.14366666666669"/>
    <n v="0"/>
    <n v="265.90147527810115"/>
    <n v="28974.666666666701"/>
    <n v="0.86900999999999995"/>
    <n v="1.8333333333333334E-4"/>
    <n v="-104.26872527810121"/>
    <n v="10.327705763099793"/>
    <n v="0"/>
    <n v="0"/>
    <n v="0"/>
    <n v="1.0327705763099793"/>
    <n v="1.0327705763099793"/>
  </r>
  <r>
    <x v="256"/>
    <n v="15853.32"/>
    <n v="15010.31"/>
    <n v="843.01"/>
    <n v="436.99"/>
    <n v="427.27945906171072"/>
    <n v="8.6245833333333337"/>
    <n v="247.00550000000001"/>
    <n v="0"/>
    <n v="171.64937572837738"/>
    <n v="28974.666666666701"/>
    <n v="0.87402000000000002"/>
    <n v="1.75E-4"/>
    <n v="9.7105409382892844"/>
    <n v="10.241641548407296"/>
    <n v="0"/>
    <n v="0"/>
    <n v="0"/>
    <n v="1.0241641548407296"/>
    <n v="1.0241641548407296"/>
  </r>
  <r>
    <x v="257"/>
    <n v="15851.15"/>
    <n v="15048.46"/>
    <n v="802.69"/>
    <n v="288.32"/>
    <n v="297.73166631473867"/>
    <n v="7.0250833333333329"/>
    <n v="250.17183333333332"/>
    <n v="0"/>
    <n v="40.534749648072044"/>
    <n v="28974.666666666701"/>
    <n v="0.86566999999999994"/>
    <n v="1.75E-4"/>
    <n v="-9.4116663147386816"/>
    <n v="10.156294535503902"/>
    <n v="0"/>
    <n v="0"/>
    <n v="0"/>
    <n v="1.0156294535503902"/>
    <n v="1.0156294535503902"/>
  </r>
  <r>
    <x v="258"/>
    <n v="16532.53"/>
    <n v="15230.32"/>
    <n v="1302.21"/>
    <n v="432.67"/>
    <n v="325.64689855414883"/>
    <n v="6.6890833333333335"/>
    <n v="250.80766666666665"/>
    <n v="0"/>
    <n v="68.150148554148885"/>
    <n v="28394.5"/>
    <n v="0.87675999999999998"/>
    <n v="1.6666666666666666E-4"/>
    <n v="107.02310144585118"/>
    <n v="10.071658747708035"/>
    <n v="0"/>
    <n v="0"/>
    <n v="0"/>
    <n v="1.0071658747708037"/>
    <n v="1.0071658747708037"/>
  </r>
  <r>
    <x v="259"/>
    <n v="16530.36"/>
    <n v="15247.89"/>
    <n v="1282.47"/>
    <n v="271.41000000000003"/>
    <n v="244.70733364920255"/>
    <n v="10.851750000000001"/>
    <n v="253.83866666666665"/>
    <n v="0"/>
    <n v="-19.983083017464082"/>
    <n v="28394.5"/>
    <n v="0.88080999999999998"/>
    <n v="1.6666666666666666E-4"/>
    <n v="26.702666350797472"/>
    <n v="9.9877282581438003"/>
    <n v="0"/>
    <n v="0"/>
    <n v="0"/>
    <n v="0.99877282581438009"/>
    <n v="0.99877282581438009"/>
  </r>
  <r>
    <x v="260"/>
    <n v="16528.05"/>
    <n v="15362.97"/>
    <n v="1165.08"/>
    <n v="369.21"/>
    <n v="262.45823366074427"/>
    <n v="10.687250000000001"/>
    <n v="254.13149999999999"/>
    <n v="0"/>
    <n v="-2.3605163392557231"/>
    <n v="28394.5"/>
    <n v="0.88129000000000002"/>
    <n v="1.6666666666666666E-4"/>
    <n v="106.75176633925571"/>
    <n v="9.9044971893259337"/>
    <n v="0"/>
    <n v="0"/>
    <n v="0"/>
    <n v="0.99044971893259337"/>
    <n v="0.99044971893259337"/>
  </r>
  <r>
    <x v="261"/>
    <n v="16524.900000000001"/>
    <n v="15515.01"/>
    <n v="1009.89"/>
    <n v="408.09"/>
    <n v="590.36458030434051"/>
    <n v="9.7089999999999996"/>
    <n v="256.04949999999997"/>
    <n v="0"/>
    <n v="324.60608030434059"/>
    <n v="29154.866666666701"/>
    <n v="0.88525000000000009"/>
    <n v="1.5833333333333332E-4"/>
    <n v="-182.27458030434053"/>
    <n v="9.8219597127482174"/>
    <n v="0"/>
    <n v="0"/>
    <n v="0"/>
    <n v="0.98219597127482183"/>
    <n v="0.98219597127482183"/>
  </r>
  <r>
    <x v="262"/>
    <n v="16522.66"/>
    <n v="15527.12"/>
    <n v="995.54"/>
    <n v="270.69"/>
    <n v="252.04661862538819"/>
    <n v="8.4157499999999992"/>
    <n v="258.58350000000002"/>
    <n v="0"/>
    <n v="-14.952631374611826"/>
    <n v="29154.866666666701"/>
    <n v="0.88817999999999997"/>
    <n v="1.5833333333333332E-4"/>
    <n v="18.643381374611806"/>
    <n v="9.7401100484753158"/>
    <n v="0"/>
    <n v="0"/>
    <n v="0"/>
    <n v="0.97401100484753167"/>
    <n v="0.97401100484753167"/>
  </r>
  <r>
    <x v="263"/>
    <n v="17209.78"/>
    <n v="15683.22"/>
    <n v="1526.56"/>
    <n v="414.89"/>
    <n v="260.15555778544575"/>
    <n v="8.2961666666666662"/>
    <n v="258.78533333333337"/>
    <n v="0"/>
    <n v="-6.9259422145542873"/>
    <n v="29154.866666666701"/>
    <n v="0.88953999999999989"/>
    <n v="1.5833333333333332E-4"/>
    <n v="154.73444221455424"/>
    <n v="9.658942464738022"/>
    <n v="112.97244221455412"/>
    <n v="16.945866332183119"/>
    <n v="22.594488442910826"/>
    <n v="0.96589424647380229"/>
    <n v="40.506249021567747"/>
  </r>
  <r>
    <x v="264"/>
    <n v="18687.97"/>
    <n v="15825.53"/>
    <n v="2862.44"/>
    <n v="403.7"/>
    <n v="483.23742677169605"/>
    <n v="12.721333333333332"/>
    <n v="261.387"/>
    <n v="0"/>
    <n v="209.12909343836273"/>
    <n v="29362"/>
    <n v="0.90405000000000002"/>
    <n v="1.4999999999999999E-4"/>
    <n v="-79.537426771696062"/>
    <n v="9.5784512775318724"/>
    <n v="1200.3495732283038"/>
    <n v="180.05243598424556"/>
    <n v="240.06991464566079"/>
    <n v="0.95784512775318731"/>
    <n v="421.08019575765951"/>
  </r>
  <r>
    <x v="265"/>
    <n v="18686.36"/>
    <n v="16132.76"/>
    <n v="2553.6"/>
    <n v="570.99"/>
    <n v="305.80956167853321"/>
    <n v="23.853666666666665"/>
    <n v="263.75883333333337"/>
    <n v="14.764086967062724"/>
    <n v="3.4329747114704818"/>
    <n v="29362"/>
    <n v="0.90339000000000003"/>
    <n v="1.4999999999999999E-4"/>
    <n v="265.1804383214668"/>
    <n v="53.036087664293362"/>
    <n v="1205.5044383214665"/>
    <n v="180.82566574821996"/>
    <n v="241.10088766429331"/>
    <n v="5.3036087664293365"/>
    <n v="427.23016217894263"/>
  </r>
  <r>
    <x v="266"/>
    <n v="17319.75"/>
    <n v="16009.35"/>
    <n v="1310.4000000000001"/>
    <n v="145.47"/>
    <n v="283.96414635836351"/>
    <n v="21.279999999999998"/>
    <n v="268.87933333333336"/>
    <n v="0"/>
    <n v="-6.1951869749698139"/>
    <n v="29362"/>
    <n v="0.90457999999999994"/>
    <n v="1.4999999999999999E-4"/>
    <n v="-138.49414635836351"/>
    <n v="52.594120267090922"/>
    <n v="0"/>
    <n v="0"/>
    <n v="0"/>
    <n v="5.2594120267090929"/>
    <n v="5.2594120267090929"/>
  </r>
  <r>
    <x v="267"/>
    <n v="18883.830000000002"/>
    <n v="16196.11"/>
    <n v="2687.72"/>
    <n v="453.58"/>
    <n v="334.56410424848542"/>
    <n v="10.92"/>
    <n v="266.82249999999999"/>
    <n v="0"/>
    <n v="56.821604248485428"/>
    <n v="29820.266666666699"/>
    <n v="0.90773999999999999"/>
    <n v="1.4999999999999999E-4"/>
    <n v="119.01589575151456"/>
    <n v="52.155835931531826"/>
    <n v="1187.1248957515143"/>
    <n v="178.06873436272713"/>
    <n v="237.42497915030287"/>
    <n v="5.2155835931531831"/>
    <n v="420.70929710618316"/>
  </r>
  <r>
    <x v="268"/>
    <n v="18880.82"/>
    <n v="16227.54"/>
    <n v="2653.28"/>
    <n v="301.37"/>
    <n v="263.82714408519274"/>
    <n v="22.397666666666666"/>
    <n v="269.9351666666667"/>
    <n v="0"/>
    <n v="-28.50568924814063"/>
    <n v="29820.266666666699"/>
    <n v="0.91317999999999999"/>
    <n v="1.4999999999999999E-4"/>
    <n v="37.542855914807262"/>
    <n v="51.721203965435727"/>
    <n v="1068.0688559148073"/>
    <n v="160.2103283872211"/>
    <n v="213.61377118296147"/>
    <n v="5.1721203965435727"/>
    <n v="378.99621996672613"/>
  </r>
  <r>
    <x v="269"/>
    <n v="18877.53"/>
    <n v="16319.24"/>
    <n v="2558.29"/>
    <n v="362.16"/>
    <n v="303.77873196280507"/>
    <n v="22.110666666666667"/>
    <n v="270.459"/>
    <n v="0"/>
    <n v="11.209065296138432"/>
    <n v="29820.266666666699"/>
    <n v="0.9110299999999999"/>
    <n v="1.4999999999999999E-4"/>
    <n v="58.381268037194957"/>
    <n v="51.29019393239043"/>
    <n v="984.74726803719477"/>
    <n v="147.71209020557922"/>
    <n v="196.94945360743895"/>
    <n v="5.1290193932390435"/>
    <n v="349.79056320625722"/>
  </r>
  <r>
    <x v="270"/>
    <n v="18873.400000000001"/>
    <n v="16511.53"/>
    <n v="2361.87"/>
    <n v="464.28"/>
    <n v="346.64549024882558"/>
    <n v="21.319083333333332"/>
    <n v="271.98733333333331"/>
    <n v="0"/>
    <n v="53.339073582158989"/>
    <n v="30595.733333333301"/>
    <n v="0.92447999999999997"/>
    <n v="1.4999999999999999E-4"/>
    <n v="117.63450975117439"/>
    <n v="50.862775649620509"/>
    <n v="828.35150975117426"/>
    <n v="124.25272646267614"/>
    <n v="165.67030195023486"/>
    <n v="5.0862775649620513"/>
    <n v="295.00930597787305"/>
  </r>
  <r>
    <x v="271"/>
    <n v="18870.810000000001"/>
    <n v="16638.72"/>
    <n v="2232.09"/>
    <n v="402.38"/>
    <n v="542.30417161662592"/>
    <n v="19.68225"/>
    <n v="275.19216666666665"/>
    <n v="0"/>
    <n v="247.42975494995926"/>
    <n v="30595.733333333301"/>
    <n v="0.93114999999999992"/>
    <n v="1.4166666666666668E-4"/>
    <n v="-139.92417161662593"/>
    <n v="50.438919185873672"/>
    <n v="428.29382838337369"/>
    <n v="64.244074257506057"/>
    <n v="85.658765676674747"/>
    <n v="5.0438919185873674"/>
    <n v="154.94673185276818"/>
  </r>
  <r>
    <x v="272"/>
    <n v="18867.310000000001"/>
    <n v="16790.060000000001"/>
    <n v="2077.25"/>
    <n v="428.65"/>
    <n v="613.59837163261636"/>
    <n v="18.600750000000001"/>
    <n v="277.31200000000001"/>
    <n v="0"/>
    <n v="317.68562163261635"/>
    <n v="30595.733333333301"/>
    <n v="0.92941000000000007"/>
    <n v="1.3333333333333334E-4"/>
    <n v="-184.94837163261639"/>
    <n v="50.018594859324722"/>
    <n v="213.29562836738342"/>
    <n v="31.99434425510751"/>
    <n v="42.659125673476687"/>
    <n v="5.0018594859324725"/>
    <n v="79.655329414516672"/>
  </r>
  <r>
    <x v="273"/>
    <n v="18865.28"/>
    <n v="16966.18"/>
    <n v="1899.1"/>
    <n v="455.95"/>
    <n v="632.59320906153243"/>
    <n v="17.310416666666665"/>
    <n v="279.83433333333335"/>
    <n v="0"/>
    <n v="335.44845906153239"/>
    <n v="30694.766666666699"/>
    <n v="0.93322000000000005"/>
    <n v="1.25E-4"/>
    <n v="-176.64320906153245"/>
    <n v="49.601773235497014"/>
    <n v="25.838790938467355"/>
    <n v="3.875818640770103"/>
    <n v="5.1677581876934715"/>
    <n v="4.9601773235497015"/>
    <n v="14.003754152013276"/>
  </r>
  <r>
    <x v="274"/>
    <n v="18863.18"/>
    <n v="17122.77"/>
    <n v="1740.41"/>
    <n v="439.36"/>
    <n v="645.47648727305398"/>
    <n v="15.825833333333332"/>
    <n v="282.76966666666669"/>
    <n v="0"/>
    <n v="346.88098727305396"/>
    <n v="30694.766666666699"/>
    <n v="0.93842000000000003"/>
    <n v="1.1666666666666668E-4"/>
    <n v="-206.11648727305396"/>
    <n v="49.188425125201206"/>
    <n v="0"/>
    <n v="0"/>
    <n v="0"/>
    <n v="4.9188425125201212"/>
    <n v="4.9188425125201212"/>
  </r>
  <r>
    <x v="275"/>
    <n v="18859.189999999999"/>
    <n v="17374.28"/>
    <n v="1484.91"/>
    <n v="536.89"/>
    <n v="297.81075477904722"/>
    <n v="14.503416666666668"/>
    <n v="285.37950000000001"/>
    <n v="0"/>
    <n v="-2.0721618876194823"/>
    <n v="30694.766666666699"/>
    <n v="0.93876999999999999"/>
    <n v="1.1666666666666668E-4"/>
    <n v="239.07924522095277"/>
    <n v="48.778521582491194"/>
    <n v="0"/>
    <n v="0"/>
    <n v="0"/>
    <n v="4.8778521582491194"/>
    <n v="4.8778521582491194"/>
  </r>
  <r>
    <x v="276"/>
    <n v="20217.96"/>
    <n v="17167.150000000001"/>
    <n v="3050.81"/>
    <n v="82.44"/>
    <n v="664.84019185129659"/>
    <n v="12.37425"/>
    <n v="289.57133333333331"/>
    <n v="-23.845298541185258"/>
    <n v="386.73990705914855"/>
    <n v="30784.766666666699"/>
    <n v="0.9474800000000001"/>
    <n v="1.0833333333333333E-4"/>
    <n v="-582.40019185129654"/>
    <n v="0"/>
    <n v="751.69480814870349"/>
    <n v="112.75422122230552"/>
    <n v="150.33896162974071"/>
    <n v="0"/>
    <n v="263.0931828520462"/>
  </r>
  <r>
    <x v="277"/>
    <n v="20216.84"/>
    <n v="17432.87"/>
    <n v="2783.97"/>
    <n v="551.84"/>
    <n v="327.26774005465245"/>
    <n v="25.423416666666665"/>
    <n v="286.11916666666667"/>
    <n v="0"/>
    <n v="15.725156721319165"/>
    <n v="30784.766666666699"/>
    <n v="0.94491000000000003"/>
    <n v="1.0833333333333333E-4"/>
    <n v="224.57225994534758"/>
    <n v="0"/>
    <n v="1265.2552599453472"/>
    <n v="189.78828899180209"/>
    <n v="253.05105198906946"/>
    <n v="0"/>
    <n v="442.83934098087155"/>
  </r>
  <r>
    <x v="278"/>
    <n v="19303.689999999999"/>
    <n v="17670.87"/>
    <n v="1632.82"/>
    <n v="528.54999999999995"/>
    <n v="269.76522407154948"/>
    <n v="23.199749999999998"/>
    <n v="290.5478333333333"/>
    <n v="0"/>
    <n v="-43.982359261783785"/>
    <n v="30784.766666666699"/>
    <n v="0.95206999999999997"/>
    <n v="1.0833333333333333E-4"/>
    <n v="258.78477592845047"/>
    <n v="0"/>
    <n v="124.51777592845042"/>
    <n v="18.677666389267561"/>
    <n v="24.903555185690085"/>
    <n v="0"/>
    <n v="43.581221574957645"/>
  </r>
  <r>
    <x v="279"/>
    <n v="19301.52"/>
    <n v="17604.79"/>
    <n v="1696.73"/>
    <n v="228.43"/>
    <n v="441.66370342706057"/>
    <n v="13.606833333333332"/>
    <n v="294.5145"/>
    <n v="0"/>
    <n v="133.54237009372724"/>
    <n v="31660.9666666667"/>
    <n v="0.95718000000000003"/>
    <n v="1.0833333333333333E-4"/>
    <n v="-213.23370342706056"/>
    <n v="0"/>
    <n v="0"/>
    <n v="0"/>
    <n v="0"/>
    <n v="0"/>
    <n v="0"/>
  </r>
  <r>
    <x v="280"/>
    <n v="19299.21"/>
    <n v="17573.990000000002"/>
    <n v="1725.22"/>
    <n v="262.61"/>
    <n v="295.25222562105131"/>
    <n v="14.139416666666667"/>
    <n v="293.41316666666665"/>
    <n v="0"/>
    <n v="-12.300357712282004"/>
    <n v="31660.9666666667"/>
    <n v="0.95916999999999997"/>
    <n v="1.0833333333333333E-4"/>
    <n v="-32.642225621051296"/>
    <n v="0"/>
    <n v="0"/>
    <n v="0"/>
    <n v="0"/>
    <n v="0"/>
    <n v="0"/>
  </r>
  <r>
    <x v="281"/>
    <n v="21704.76"/>
    <n v="17899.98"/>
    <n v="3804.78"/>
    <n v="618.89"/>
    <n v="-123.82401716208329"/>
    <n v="14.376833333333334"/>
    <n v="292.89983333333333"/>
    <n v="0"/>
    <n v="-431.10068382874994"/>
    <n v="31660.9666666667"/>
    <n v="0.95924000000000009"/>
    <n v="1.1666666666666668E-4"/>
    <n v="742.71401716208334"/>
    <n v="0"/>
    <n v="2757.4960171620837"/>
    <n v="413.62440257431257"/>
    <n v="551.49920343241672"/>
    <n v="0"/>
    <n v="965.12360600672923"/>
  </r>
  <r>
    <x v="282"/>
    <n v="21701.96"/>
    <n v="17871.7"/>
    <n v="3830.26"/>
    <n v="270.05"/>
    <n v="236.80432878085699"/>
    <n v="31.706500000000002"/>
    <n v="298.33299999999997"/>
    <n v="0"/>
    <n v="-93.235171219142984"/>
    <n v="31218.866666666701"/>
    <n v="0.96145999999999998"/>
    <n v="1.1666666666666668E-4"/>
    <n v="33.24567121914302"/>
    <n v="0"/>
    <n v="2076.335671219143"/>
    <n v="311.45035068287143"/>
    <n v="415.26713424382865"/>
    <n v="0"/>
    <n v="726.71748492670008"/>
  </r>
  <r>
    <x v="283"/>
    <n v="21698.32"/>
    <n v="17928.68"/>
    <n v="3769.64"/>
    <n v="354.84"/>
    <n v="294.45417706615132"/>
    <n v="31.918833333333335"/>
    <n v="297.86166666666668"/>
    <n v="0"/>
    <n v="-35.326322933848715"/>
    <n v="31218.866666666701"/>
    <n v="0.96743999999999997"/>
    <n v="1.1666666666666668E-4"/>
    <n v="60.385822933848658"/>
    <n v="0"/>
    <n v="2037.1578229338486"/>
    <n v="305.5736734400773"/>
    <n v="407.43156458676975"/>
    <n v="0"/>
    <n v="713.00523802684711"/>
  </r>
  <r>
    <x v="284"/>
    <n v="21696.15"/>
    <n v="18229.75"/>
    <n v="3466.4"/>
    <n v="599.88"/>
    <n v="297.60323545569781"/>
    <n v="31.413666666666664"/>
    <n v="298.81133333333332"/>
    <n v="0"/>
    <n v="-32.62176454430216"/>
    <n v="31218.866666666701"/>
    <n v="0.97298000000000007"/>
    <n v="1.1666666666666668E-4"/>
    <n v="302.27676454430218"/>
    <n v="0"/>
    <n v="1945.7017645443023"/>
    <n v="291.85526468164534"/>
    <n v="389.14035290886045"/>
    <n v="0"/>
    <n v="680.99561759050584"/>
  </r>
  <r>
    <x v="285"/>
    <n v="21693.84"/>
    <n v="18204.62"/>
    <n v="3489.22"/>
    <n v="278.7"/>
    <n v="513.36077454383019"/>
    <n v="28.886666666666667"/>
    <n v="303.82916666666665"/>
    <n v="0"/>
    <n v="180.64494121049685"/>
    <n v="32151.733333333301"/>
    <n v="0.97099999999999997"/>
    <n v="1.1666666666666668E-4"/>
    <n v="-234.6607745438302"/>
    <n v="0"/>
    <n v="1434.0972254561698"/>
    <n v="215.11458381842547"/>
    <n v="286.81944509123394"/>
    <n v="0"/>
    <n v="501.93402890965945"/>
  </r>
  <r>
    <x v="286"/>
    <n v="21691.25"/>
    <n v="18335.03"/>
    <n v="3356.22"/>
    <n v="433.82"/>
    <n v="325.03943770577104"/>
    <n v="29.076833333333333"/>
    <n v="303.41033333333331"/>
    <n v="0"/>
    <n v="-7.4477289608956339"/>
    <n v="32151.733333333301"/>
    <n v="0.97224999999999995"/>
    <n v="1.1666666666666668E-4"/>
    <n v="108.78056229422896"/>
    <n v="0"/>
    <n v="1631.4975622942291"/>
    <n v="244.72463434413436"/>
    <n v="326.29951245884581"/>
    <n v="0"/>
    <n v="571.02414680298011"/>
  </r>
  <r>
    <x v="287"/>
    <n v="21688.94"/>
    <n v="18546.919999999998"/>
    <n v="3142.02"/>
    <n v="517.47"/>
    <n v="291.15341138964033"/>
    <n v="27.968499999999999"/>
    <n v="305.5838333333333"/>
    <n v="0"/>
    <n v="-42.398921943692983"/>
    <n v="32151.733333333301"/>
    <n v="0.97936000000000012"/>
    <n v="1.1666666666666668E-4"/>
    <n v="226.3165886103597"/>
    <n v="0"/>
    <n v="1513.6445886103597"/>
    <n v="227.04668829155395"/>
    <n v="302.72891772207197"/>
    <n v="0"/>
    <n v="529.77560601362597"/>
  </r>
  <r>
    <x v="288"/>
    <n v="21685.51"/>
    <n v="18792.830000000002"/>
    <n v="2892.68"/>
    <n v="555.03"/>
    <n v="267.99666917277466"/>
    <n v="26.183499999999999"/>
    <n v="309.1153333333333"/>
    <n v="0"/>
    <n v="-67.30216416055859"/>
    <n v="31841"/>
    <n v="0.98120999999999992"/>
    <n v="1.1666666666666668E-4"/>
    <n v="287.03333082722531"/>
    <n v="0"/>
    <n v="1300.4303308272247"/>
    <n v="195.0645496240837"/>
    <n v="260.08606616544495"/>
    <n v="0"/>
    <n v="455.15061578952862"/>
  </r>
  <r>
    <x v="289"/>
    <n v="22172.36"/>
    <n v="18851.77"/>
    <n v="3320.59"/>
    <n v="372.15"/>
    <n v="304.42869611052492"/>
    <n v="24.105666666666664"/>
    <n v="313.21383333333335"/>
    <n v="25.393971539618246"/>
    <n v="-58.284775429093301"/>
    <n v="31841"/>
    <n v="0.99107000000000001"/>
    <n v="1.1666666666666668E-4"/>
    <n v="67.721303889475053"/>
    <n v="13.544260777895012"/>
    <n v="1503.1343038894752"/>
    <n v="225.47014558342127"/>
    <n v="300.62686077789505"/>
    <n v="1.3544260777895012"/>
    <n v="527.45143243910582"/>
  </r>
  <r>
    <x v="290"/>
    <n v="21191.03"/>
    <n v="19384.61"/>
    <n v="1806.42"/>
    <n v="847.04"/>
    <n v="373.09718469563899"/>
    <n v="27.671583333333334"/>
    <n v="314.19616666666667"/>
    <n v="0"/>
    <n v="31.229434695638979"/>
    <n v="31841"/>
    <n v="0.98573999999999995"/>
    <n v="1.1666666666666668E-4"/>
    <n v="473.94281530436098"/>
    <n v="13.431391938079221"/>
    <n v="341.90181530436075"/>
    <n v="51.28527229565411"/>
    <n v="68.380363060872156"/>
    <n v="1.3431391938079222"/>
    <n v="121.00877455033419"/>
  </r>
  <r>
    <x v="291"/>
    <n v="21191.24"/>
    <n v="19306.91"/>
    <n v="1884.33"/>
    <n v="245.38"/>
    <n v="652.66836194435666"/>
    <n v="15.053500000000001"/>
    <n v="323.07683333333335"/>
    <n v="0"/>
    <n v="314.53802861102332"/>
    <n v="33119.566666666702"/>
    <n v="0.97111999999999998"/>
    <n v="1.1666666666666668E-4"/>
    <n v="-407.28836194435667"/>
    <n v="13.319463671928562"/>
    <n v="0"/>
    <n v="0"/>
    <n v="0"/>
    <n v="1.3319463671928562"/>
    <n v="1.3319463671928562"/>
  </r>
  <r>
    <x v="292"/>
    <n v="21189.49"/>
    <n v="19554.78"/>
    <n v="1634.71"/>
    <n v="569.65"/>
    <n v="316.61126748216014"/>
    <n v="15.70275"/>
    <n v="321.78183333333334"/>
    <n v="0"/>
    <n v="-20.873315851173157"/>
    <n v="33119.566666666702"/>
    <n v="0.97456999999999994"/>
    <n v="1.1666666666666668E-4"/>
    <n v="253.03873251783983"/>
    <n v="13.208468141329156"/>
    <n v="0"/>
    <n v="0"/>
    <n v="0"/>
    <n v="1.3208468141329157"/>
    <n v="1.3208468141329157"/>
  </r>
  <r>
    <x v="293"/>
    <n v="22753.29"/>
    <n v="19817.21"/>
    <n v="2936.08"/>
    <n v="588.34"/>
    <n v="327.52146490601973"/>
    <n v="13.622583333333333"/>
    <n v="325.91299999999995"/>
    <n v="0"/>
    <n v="-12.014118427313585"/>
    <n v="33119.566666666702"/>
    <n v="0.97656000000000009"/>
    <n v="1.1666666666666668E-4"/>
    <n v="260.8185350939803"/>
    <n v="13.098397573484748"/>
    <n v="1215.1775350939802"/>
    <n v="182.27663026409701"/>
    <n v="243.03550701879604"/>
    <n v="1.3098397573484748"/>
    <n v="426.62197704024152"/>
  </r>
  <r>
    <x v="294"/>
    <n v="22750.91"/>
    <n v="19797.75"/>
    <n v="2953.16"/>
    <n v="310.83"/>
    <n v="339.85833296127271"/>
    <n v="24.467333333333332"/>
    <n v="330.28683333333333"/>
    <n v="0"/>
    <n v="-14.895833705393946"/>
    <n v="33128.400000000001"/>
    <n v="0.97928999999999999"/>
    <n v="1.1666666666666668E-4"/>
    <n v="-29.028332961272724"/>
    <n v="12.989244260372375"/>
    <n v="944.35666703872721"/>
    <n v="141.65350005580908"/>
    <n v="188.87133340774545"/>
    <n v="1.2989244260372377"/>
    <n v="331.82375788959172"/>
  </r>
  <r>
    <x v="295"/>
    <n v="22747.759999999998"/>
    <n v="19954.13"/>
    <n v="2793.63"/>
    <n v="486.34"/>
    <n v="306.97582550201122"/>
    <n v="24.609666666666666"/>
    <n v="329.96249999999998"/>
    <n v="0"/>
    <n v="-47.596341164655414"/>
    <n v="33128.400000000001"/>
    <n v="0.98718000000000006"/>
    <n v="1.1666666666666668E-4"/>
    <n v="179.36417449798876"/>
    <n v="12.881000558202606"/>
    <n v="977.58117449798851"/>
    <n v="146.63717617469828"/>
    <n v="195.51623489959772"/>
    <n v="1.2881000558202607"/>
    <n v="343.44151113011628"/>
  </r>
  <r>
    <x v="296"/>
    <n v="22745.73"/>
    <n v="19955.95"/>
    <n v="2789.78"/>
    <n v="334.39"/>
    <n v="347.03123695041768"/>
    <n v="23.280250000000002"/>
    <n v="332.56883333333337"/>
    <n v="0"/>
    <n v="-8.8178463829157163"/>
    <n v="33128.400000000001"/>
    <n v="0.98864999999999992"/>
    <n v="1.1666666666666668E-4"/>
    <n v="-12.641236950417692"/>
    <n v="12.773658886884251"/>
    <n v="781.54376304958214"/>
    <n v="117.23156445743732"/>
    <n v="156.30875260991644"/>
    <n v="1.2773658886884252"/>
    <n v="274.81768295604218"/>
  </r>
  <r>
    <x v="297"/>
    <n v="22741.95"/>
    <n v="20020.28"/>
    <n v="2721.67"/>
    <n v="396.93"/>
    <n v="464.14295843155026"/>
    <n v="23.24816666666667"/>
    <n v="332.59916666666669"/>
    <n v="0"/>
    <n v="108.29562509821687"/>
    <n v="33788.733333333301"/>
    <n v="0.99019999999999997"/>
    <n v="1.1666666666666668E-4"/>
    <n v="-67.212958431550248"/>
    <n v="12.667211729493548"/>
    <n v="652.42904156844975"/>
    <n v="97.864356235267465"/>
    <n v="130.48580831368994"/>
    <n v="1.2667211729493548"/>
    <n v="229.61688572190678"/>
  </r>
  <r>
    <x v="298"/>
    <n v="22739.360000000001"/>
    <n v="20186.04"/>
    <n v="2553.3200000000002"/>
    <n v="499.43"/>
    <n v="313.95167715589321"/>
    <n v="22.680583333333335"/>
    <n v="333.67133333333334"/>
    <n v="0"/>
    <n v="-42.400239510773496"/>
    <n v="33788.733333333301"/>
    <n v="0.99719999999999998"/>
    <n v="1.1666666666666668E-4"/>
    <n v="185.4783228441068"/>
    <n v="12.561651631747768"/>
    <n v="720.19432284410686"/>
    <n v="108.02914842661603"/>
    <n v="144.03886456882137"/>
    <n v="1.256165163174777"/>
    <n v="253.3241781586122"/>
  </r>
  <r>
    <x v="299"/>
    <n v="22735.65"/>
    <n v="20291.11"/>
    <n v="2444.54"/>
    <n v="441.5"/>
    <n v="-30.085605959646671"/>
    <n v="21.277666666666669"/>
    <n v="336.43400000000003"/>
    <n v="0"/>
    <n v="-387.79727262631337"/>
    <n v="33788.733333333301"/>
    <n v="0.99403999999999992"/>
    <n v="1.25E-4"/>
    <n v="471.58560595964667"/>
    <n v="12.456971201483205"/>
    <n v="887.01460595964659"/>
    <n v="133.05219089394697"/>
    <n v="177.40292119192932"/>
    <n v="1.2456971201483205"/>
    <n v="311.70080920602459"/>
  </r>
  <r>
    <x v="300"/>
    <n v="23781.59"/>
    <n v="20392.189999999999"/>
    <n v="3389.4"/>
    <n v="439.27"/>
    <n v="265.06948514980888"/>
    <n v="20.371166666666667"/>
    <n v="338.1851666666667"/>
    <n v="13.319617789583448"/>
    <n v="-106.80646597310795"/>
    <n v="33203.566666666702"/>
    <n v="0.99506000000000006"/>
    <n v="1.25E-4"/>
    <n v="174.2005148501911"/>
    <n v="34.840102970038224"/>
    <n v="1524.3815148501913"/>
    <n v="228.65722722752869"/>
    <n v="304.87630297003824"/>
    <n v="3.4840102970038225"/>
    <n v="537.01754049457077"/>
  </r>
  <r>
    <x v="301"/>
    <n v="23780.19"/>
    <n v="20923.349999999999"/>
    <n v="2856.84"/>
    <n v="871.03"/>
    <n v="369.38560173435997"/>
    <n v="28.245000000000001"/>
    <n v="339.8698333333333"/>
    <n v="0"/>
    <n v="1.2707684010266496"/>
    <n v="33203.566666666702"/>
    <n v="0.99483999999999995"/>
    <n v="1.25E-4"/>
    <n v="501.64439826564001"/>
    <n v="34.549768778621235"/>
    <n v="1266.1493982656402"/>
    <n v="189.92240973984602"/>
    <n v="253.22987965312805"/>
    <n v="3.4549768778621237"/>
    <n v="446.60726627083619"/>
  </r>
  <r>
    <x v="302"/>
    <n v="22764.560000000001"/>
    <n v="20874.490000000002"/>
    <n v="1890.07"/>
    <n v="299.86"/>
    <n v="357.20979667317528"/>
    <n v="23.807000000000002"/>
    <n v="348.72249999999997"/>
    <n v="0"/>
    <n v="-15.319703326824708"/>
    <n v="33203.566666666702"/>
    <n v="0.99748999999999999"/>
    <n v="1.25E-4"/>
    <n v="-57.349796673175263"/>
    <n v="34.261854038799392"/>
    <n v="0"/>
    <n v="0"/>
    <n v="0"/>
    <n v="3.4261854038799395"/>
    <n v="3.4261854038799395"/>
  </r>
  <r>
    <x v="303"/>
    <n v="22760.57"/>
    <n v="20882.05"/>
    <n v="1878.52"/>
    <n v="355.47"/>
    <n v="560.63957029670064"/>
    <n v="15.750583333333333"/>
    <n v="347.90816666666672"/>
    <n v="0"/>
    <n v="196.98082029670064"/>
    <n v="34214.333333333299"/>
    <n v="0.99341999999999997"/>
    <n v="1.25E-4"/>
    <n v="-205.16957029670061"/>
    <n v="33.976338588476061"/>
    <n v="0"/>
    <n v="0"/>
    <n v="0"/>
    <n v="3.3976338588476063"/>
    <n v="3.3976338588476063"/>
  </r>
  <r>
    <x v="304"/>
    <n v="22758.47"/>
    <n v="21154.77"/>
    <n v="1603.7"/>
    <n v="620.75"/>
    <n v="754.00664071490326"/>
    <n v="15.654333333333334"/>
    <n v="348.03416666666664"/>
    <n v="0"/>
    <n v="390.31814071490328"/>
    <n v="34214.333333333299"/>
    <n v="0.99675999999999998"/>
    <n v="1.1666666666666668E-4"/>
    <n v="-133.25664071490326"/>
    <n v="33.693202433572097"/>
    <n v="0"/>
    <n v="0"/>
    <n v="0"/>
    <n v="3.36932024335721"/>
    <n v="3.36932024335721"/>
  </r>
  <r>
    <x v="305"/>
    <n v="24555.23"/>
    <n v="21294.28"/>
    <n v="3260.95"/>
    <n v="492.09"/>
    <n v="376.12762102343783"/>
    <n v="13.364166666666668"/>
    <n v="352.5795"/>
    <n v="0"/>
    <n v="10.183954356771174"/>
    <n v="34214.333333333299"/>
    <n v="0.99507999999999996"/>
    <n v="1.1666666666666668E-4"/>
    <n v="115.96237897656215"/>
    <n v="33.412425746625658"/>
    <n v="1247.4843789765619"/>
    <n v="187.12265684648426"/>
    <n v="249.49687579531238"/>
    <n v="3.3412425746625658"/>
    <n v="439.96077521645918"/>
  </r>
  <r>
    <x v="306"/>
    <n v="24550.61"/>
    <n v="21477.61"/>
    <n v="3073"/>
    <n v="538.23"/>
    <n v="421.9780977327693"/>
    <n v="27.174583333333331"/>
    <n v="354.90466666666663"/>
    <n v="0"/>
    <n v="39.898847732769333"/>
    <n v="34339.300000000003"/>
    <n v="0.99212999999999996"/>
    <n v="1.1666666666666668E-4"/>
    <n v="116.25190226723072"/>
    <n v="33.133988865403779"/>
    <n v="1041.4909022672309"/>
    <n v="156.22363534008463"/>
    <n v="208.29818045344621"/>
    <n v="3.3133988865403783"/>
    <n v="367.8352146800712"/>
  </r>
  <r>
    <x v="307"/>
    <n v="24547.46"/>
    <n v="21677.74"/>
    <n v="2869.72"/>
    <n v="558.09"/>
    <n v="351.31137178407749"/>
    <n v="25.608333333333334"/>
    <n v="357.96016666666668"/>
    <n v="0"/>
    <n v="-32.257128215922513"/>
    <n v="34339.300000000003"/>
    <n v="0.99742000000000008"/>
    <n v="1.1666666666666668E-4"/>
    <n v="206.77862821592254"/>
    <n v="32.857872291525418"/>
    <n v="908.72462821592217"/>
    <n v="136.30869423238832"/>
    <n v="181.74492564318444"/>
    <n v="3.2857872291525418"/>
    <n v="321.3394071047253"/>
  </r>
  <r>
    <x v="308"/>
    <n v="24544.73"/>
    <n v="21762.02"/>
    <n v="2782.71"/>
    <n v="445.58"/>
    <n v="396.68345243962"/>
    <n v="23.914333333333332"/>
    <n v="361.2956666666667"/>
    <n v="0"/>
    <n v="11.473452439619969"/>
    <n v="34339.300000000003"/>
    <n v="0.99553000000000003"/>
    <n v="1.1666666666666668E-4"/>
    <n v="48.896547560379986"/>
    <n v="32.584056689096037"/>
    <n v="655.4045475603798"/>
    <n v="98.310682134056961"/>
    <n v="131.08090951207598"/>
    <n v="3.2584056689096039"/>
    <n v="232.64999731504255"/>
  </r>
  <r>
    <x v="309"/>
    <n v="24540.39"/>
    <n v="21916.09"/>
    <n v="2624.3"/>
    <n v="516.77"/>
    <n v="573.72917041475569"/>
    <n v="23.189250000000001"/>
    <n v="362.70033333333333"/>
    <n v="0"/>
    <n v="187.83958708142234"/>
    <n v="35310.6"/>
    <n v="0.99254999999999993"/>
    <n v="1.1666666666666668E-4"/>
    <n v="-56.959170414755704"/>
    <n v="32.312522883353573"/>
    <n v="375.73182958524467"/>
    <n v="56.359774437786697"/>
    <n v="75.146365917048939"/>
    <n v="3.2312522883353574"/>
    <n v="134.73739264317098"/>
  </r>
  <r>
    <x v="310"/>
    <n v="24537.94"/>
    <n v="22077.439999999999"/>
    <n v="2460.5"/>
    <n v="526.62"/>
    <n v="375.6485475334303"/>
    <n v="21.869166666666668"/>
    <n v="365.26816666666667"/>
    <n v="0"/>
    <n v="-11.488785799903027"/>
    <n v="35310.6"/>
    <n v="0.99441000000000002"/>
    <n v="1.1666666666666668E-4"/>
    <n v="150.9714524665697"/>
    <n v="32.043251859325629"/>
    <n v="403.7274524665695"/>
    <n v="60.559117869985421"/>
    <n v="80.745490493313909"/>
    <n v="3.204325185932563"/>
    <n v="144.5089335492319"/>
  </r>
  <r>
    <x v="311"/>
    <n v="24534.58"/>
    <n v="22139.88"/>
    <n v="2394.6999999999998"/>
    <n v="430.4"/>
    <n v="-20.294391007487661"/>
    <n v="20.504166666666666"/>
    <n v="367.95733333333334"/>
    <n v="0"/>
    <n v="-408.75589100748766"/>
    <n v="35310.6"/>
    <n v="0.99328000000000005"/>
    <n v="1.25E-4"/>
    <n v="450.69439100748764"/>
    <n v="31.776224760497918"/>
    <n v="631.4063910074874"/>
    <n v="94.710958651123107"/>
    <n v="126.28127820149749"/>
    <n v="3.177622476049792"/>
    <n v="224.16985932867038"/>
  </r>
  <r>
    <x v="312"/>
    <n v="24530.87"/>
    <n v="22399.09"/>
    <n v="2131.7800000000002"/>
    <n v="628.21"/>
    <n v="-157.1287138721911"/>
    <n v="19.955833333333331"/>
    <n v="368.99799999999999"/>
    <n v="0"/>
    <n v="-546.08254720552441"/>
    <n v="34190.733333333301"/>
    <n v="0.99114000000000002"/>
    <n v="1.3333333333333334E-4"/>
    <n v="785.33871387219119"/>
    <n v="31.511422887493769"/>
    <n v="677.20971387219151"/>
    <n v="101.58145708082873"/>
    <n v="135.4419427744383"/>
    <n v="3.151142288749377"/>
    <n v="240.17454214401641"/>
  </r>
  <r>
    <x v="313"/>
    <n v="26417.02"/>
    <n v="22654.52"/>
    <n v="3762.5"/>
    <n v="628.75"/>
    <n v="43.423400472580909"/>
    <n v="17.764833333333335"/>
    <n v="373.31816666666668"/>
    <n v="-5.3954184248102486"/>
    <n v="-342.26418110260886"/>
    <n v="34190.733333333301"/>
    <n v="0.99210999999999994"/>
    <n v="1.4166666666666668E-4"/>
    <n v="585.32659952741915"/>
    <n v="117.06531990548383"/>
    <n v="2082.3745995274194"/>
    <n v="312.35618992911287"/>
    <n v="416.47491990548389"/>
    <n v="11.706531990548385"/>
    <n v="740.5376418251451"/>
  </r>
  <r>
    <x v="314"/>
    <n v="24910.06"/>
    <n v="22733.34"/>
    <n v="2176.7199999999998"/>
    <n v="456.4"/>
    <n v="395.79745111863156"/>
    <n v="31.354166666666668"/>
    <n v="377.57533333333333"/>
    <n v="0"/>
    <n v="-13.132048881368487"/>
    <n v="34190.733333333301"/>
    <n v="0.99448999999999999"/>
    <n v="1.4166666666666668E-4"/>
    <n v="60.602548881368421"/>
    <n v="116.08977557293814"/>
    <n v="0"/>
    <n v="0"/>
    <n v="0"/>
    <n v="11.608977557293814"/>
    <n v="11.608977557293814"/>
  </r>
  <r>
    <x v="315"/>
    <n v="24906.77"/>
    <n v="22916.32"/>
    <n v="1990.45"/>
    <n v="561.87"/>
    <n v="945.65022298607528"/>
    <n v="18.139333333333333"/>
    <n v="378.88900000000001"/>
    <n v="0"/>
    <n v="548.62188965274197"/>
    <n v="35283.233333333301"/>
    <n v="0.98828999999999989"/>
    <n v="1.3333333333333334E-4"/>
    <n v="-383.78022298607527"/>
    <n v="115.12236077649699"/>
    <n v="0"/>
    <n v="0"/>
    <n v="0"/>
    <n v="11.5122360776497"/>
    <n v="11.5122360776497"/>
  </r>
  <r>
    <x v="316"/>
    <n v="24904.18"/>
    <n v="23078.65"/>
    <n v="1825.53"/>
    <n v="544.27"/>
    <n v="372.46222764828991"/>
    <n v="16.587083333333332"/>
    <n v="381.93866666666668"/>
    <n v="0"/>
    <n v="-26.063522351710127"/>
    <n v="35283.233333333301"/>
    <n v="0.99278999999999995"/>
    <n v="1.3333333333333334E-4"/>
    <n v="171.80777235171007"/>
    <n v="114.16300777002617"/>
    <n v="0"/>
    <n v="0"/>
    <n v="0"/>
    <n v="11.416300777002618"/>
    <n v="11.416300777002618"/>
  </r>
  <r>
    <x v="317"/>
    <n v="26798.66"/>
    <n v="23049.599999999999"/>
    <n v="3749.06"/>
    <n v="355.59"/>
    <n v="406.08919288932185"/>
    <n v="15.21275"/>
    <n v="384.64416666666671"/>
    <n v="0"/>
    <n v="6.2322762226550967"/>
    <n v="35283.233333333301"/>
    <n v="0.99171000000000009"/>
    <n v="1.3333333333333334E-4"/>
    <n v="-50.499192889321876"/>
    <n v="113.21164937194263"/>
    <n v="1393.600807110678"/>
    <n v="209.0401210666017"/>
    <n v="278.72016142213562"/>
    <n v="11.321164937194263"/>
    <n v="499.08144742593157"/>
  </r>
  <r>
    <x v="318"/>
    <n v="26794.6"/>
    <n v="22984.71"/>
    <n v="3809.89"/>
    <n v="319.27"/>
    <n v="143.17313047212104"/>
    <n v="31.242166666666666"/>
    <n v="384.15999999999997"/>
    <n v="0"/>
    <n v="-272.22903619454559"/>
    <n v="35594.400000000001"/>
    <n v="0.98817999999999995"/>
    <n v="1.4166666666666668E-4"/>
    <n v="176.09686952787894"/>
    <n v="112.26821896050977"/>
    <n v="1687.5158695278787"/>
    <n v="253.12738042918181"/>
    <n v="337.50317390557575"/>
    <n v="11.226821896050978"/>
    <n v="601.85737623080854"/>
  </r>
  <r>
    <x v="319"/>
    <n v="26791.73"/>
    <n v="23476.32"/>
    <n v="3315.41"/>
    <n v="874.69"/>
    <n v="95.515626565781474"/>
    <n v="31.749083333333331"/>
    <n v="383.07849999999996"/>
    <n v="0"/>
    <n v="-319.31195676755181"/>
    <n v="35594.400000000001"/>
    <n v="0.98911000000000004"/>
    <n v="1.4999999999999999E-4"/>
    <n v="779.17437343421852"/>
    <n v="111.33265046917219"/>
    <n v="1746.9523734342183"/>
    <n v="262.04285601513271"/>
    <n v="349.39047468684367"/>
    <n v="11.13326504691722"/>
    <n v="622.56659574889363"/>
  </r>
  <r>
    <x v="320"/>
    <n v="26788.720000000001"/>
    <n v="23570.19"/>
    <n v="3218.53"/>
    <n v="485.14"/>
    <n v="732.91500149980493"/>
    <n v="27.628416666666666"/>
    <n v="391.27199999999999"/>
    <n v="0"/>
    <n v="314.01458483313831"/>
    <n v="35594.400000000001"/>
    <n v="0.98912000000000011"/>
    <n v="1.4166666666666668E-4"/>
    <n v="-247.77500149980494"/>
    <n v="110.40487838192909"/>
    <n v="613.73599850019536"/>
    <n v="92.060399775029296"/>
    <n v="122.74719970003908"/>
    <n v="11.040487838192909"/>
    <n v="225.84808731326129"/>
  </r>
  <r>
    <x v="321"/>
    <n v="26785.01"/>
    <n v="23573.62"/>
    <n v="3211.39"/>
    <n v="396.27"/>
    <n v="519.14639327867667"/>
    <n v="26.821083333333334"/>
    <n v="392.8365"/>
    <n v="0"/>
    <n v="99.488809945343363"/>
    <n v="36079.666666666701"/>
    <n v="0.98486999999999991"/>
    <n v="1.4166666666666668E-4"/>
    <n v="-122.87639327867669"/>
    <n v="109.48483772874634"/>
    <n v="731.15160672132333"/>
    <n v="109.6727410081985"/>
    <n v="146.23032134426467"/>
    <n v="10.948483772874635"/>
    <n v="266.85154612533779"/>
  </r>
  <r>
    <x v="322"/>
    <n v="26782.63"/>
    <n v="23730.35"/>
    <n v="3052.28"/>
    <n v="549.62"/>
    <n v="92.611023981183223"/>
    <n v="26.761583333333331"/>
    <n v="392.89366666666666"/>
    <n v="0"/>
    <n v="-327.04422601881674"/>
    <n v="36079.666666666701"/>
    <n v="0.98683999999999994"/>
    <n v="1.4999999999999999E-4"/>
    <n v="457.00897601881678"/>
    <n v="108.57246408100679"/>
    <n v="1136.253976018817"/>
    <n v="170.43809640282254"/>
    <n v="227.2507952037634"/>
    <n v="10.857246408100679"/>
    <n v="408.54613801468656"/>
  </r>
  <r>
    <x v="323"/>
    <n v="26777.87"/>
    <n v="23906.12"/>
    <n v="2871.75"/>
    <n v="571.28"/>
    <n v="129.86799773040588"/>
    <n v="25.43566666666667"/>
    <n v="395.50583333333333"/>
    <n v="0"/>
    <n v="-291.07350226959414"/>
    <n v="36079.666666666701"/>
    <n v="0.98692999999999997"/>
    <n v="1.5833333333333332E-4"/>
    <n v="441.4120022695941"/>
    <n v="107.66769354699839"/>
    <n v="922.55000226959419"/>
    <n v="138.38250034043912"/>
    <n v="184.51000045391885"/>
    <n v="10.766769354699839"/>
    <n v="333.65927014905776"/>
  </r>
  <r>
    <x v="324"/>
    <n v="28871.78"/>
    <n v="23893.24"/>
    <n v="4978.54"/>
    <n v="385.56"/>
    <n v="322.00559784186953"/>
    <n v="23.931249999999999"/>
    <n v="398.43533333333329"/>
    <n v="0"/>
    <n v="-100.36098549146371"/>
    <n v="35320.633333333302"/>
    <n v="0.98475999999999997"/>
    <n v="1.5833333333333332E-4"/>
    <n v="63.554402158130472"/>
    <n v="106.77046276744007"/>
    <n v="2652.7704021581308"/>
    <n v="397.9155603237196"/>
    <n v="530.55408043162618"/>
    <n v="10.677046276744008"/>
    <n v="939.14668703208986"/>
  </r>
  <r>
    <x v="325"/>
    <n v="28870.94"/>
    <n v="24152.66"/>
    <n v="4718.28"/>
    <n v="657.64"/>
    <n v="363.5402998534218"/>
    <n v="41.487833333333334"/>
    <n v="398.22066666666672"/>
    <n v="-81.541335937605069"/>
    <n v="5.3731357910267912"/>
    <n v="35320.633333333302"/>
    <n v="0.98375000000000001"/>
    <n v="1.5833333333333332E-4"/>
    <n v="294.09970014657819"/>
    <n v="58.819940029315639"/>
    <n v="2597.1137001465781"/>
    <n v="389.56705502198673"/>
    <n v="519.42274002931561"/>
    <n v="5.881994002931564"/>
    <n v="914.87178905423389"/>
  </r>
  <r>
    <x v="326"/>
    <n v="26523.63"/>
    <n v="24217.97"/>
    <n v="2305.66"/>
    <n v="467.85"/>
    <n v="439.68025261938226"/>
    <n v="39.318999999999996"/>
    <n v="402.54433333333333"/>
    <n v="0"/>
    <n v="-2.1830807139510946"/>
    <n v="35320.633333333302"/>
    <n v="0.98415999999999992"/>
    <n v="1.5833333333333332E-4"/>
    <n v="28.169747380617764"/>
    <n v="58.329773862404672"/>
    <n v="0"/>
    <n v="0"/>
    <n v="0"/>
    <n v="5.8329773862404677"/>
    <n v="5.8329773862404677"/>
  </r>
  <r>
    <x v="327"/>
    <n v="28606.83"/>
    <n v="24510.5"/>
    <n v="4096.33"/>
    <n v="696.16"/>
    <n v="575.84444950840293"/>
    <n v="19.213833333333334"/>
    <n v="403.63283333333334"/>
    <n v="0"/>
    <n v="152.99778284173627"/>
    <n v="36341.433333333298"/>
    <n v="0.98364999999999991"/>
    <n v="1.5833333333333332E-4"/>
    <n v="120.31555049159704"/>
    <n v="57.843692413551295"/>
    <n v="1765.5955504915964"/>
    <n v="264.83933257373945"/>
    <n v="353.11911009831931"/>
    <n v="5.7843692413551295"/>
    <n v="623.74281191341379"/>
  </r>
  <r>
    <x v="328"/>
    <n v="28604.03"/>
    <n v="24492.37"/>
    <n v="4111.66"/>
    <n v="390.38"/>
    <n v="477.20628139746708"/>
    <n v="34.136083333333332"/>
    <n v="408.50833333333333"/>
    <n v="0"/>
    <n v="34.561864730800444"/>
    <n v="36341.433333333298"/>
    <n v="0.97724"/>
    <n v="1.5833333333333332E-4"/>
    <n v="-86.826281397467085"/>
    <n v="57.361661643438374"/>
    <n v="1575.5967186025327"/>
    <n v="236.33950779037991"/>
    <n v="315.11934372050655"/>
    <n v="5.736166164343838"/>
    <n v="557.19501767523025"/>
  </r>
  <r>
    <x v="329"/>
    <n v="28600.25"/>
    <n v="24512.46"/>
    <n v="4087.79"/>
    <n v="428.3"/>
    <n v="403.11417495505918"/>
    <n v="34.263833333333331"/>
    <n v="408.20616666666666"/>
    <n v="0"/>
    <n v="-39.355825044940772"/>
    <n v="36341.433333333298"/>
    <n v="0.98448999999999998"/>
    <n v="1.5833333333333332E-4"/>
    <n v="25.185825044940827"/>
    <n v="56.883647796409718"/>
    <n v="1661.7298250449403"/>
    <n v="249.25947375674104"/>
    <n v="332.34596500898806"/>
    <n v="5.6883647796409722"/>
    <n v="587.29380354537011"/>
  </r>
  <r>
    <x v="330"/>
    <n v="28595.7"/>
    <n v="24967.599999999999"/>
    <n v="3628.1"/>
    <n v="863.68"/>
    <n v="509.66277847637264"/>
    <n v="34.064916666666669"/>
    <n v="408.541"/>
    <n v="0"/>
    <n v="67.056861809705978"/>
    <n v="36699.533333333296"/>
    <n v="0.98172999999999999"/>
    <n v="1.5833333333333332E-4"/>
    <n v="354.01722152362731"/>
    <n v="56.409617398106306"/>
    <n v="1485.3572215236272"/>
    <n v="222.80358322854408"/>
    <n v="297.07144430472545"/>
    <n v="5.6409617398106313"/>
    <n v="525.51598927308021"/>
  </r>
  <r>
    <x v="331"/>
    <n v="28592.06"/>
    <n v="25244.59"/>
    <n v="3347.47"/>
    <n v="693.12"/>
    <n v="420.03500392222219"/>
    <n v="30.234166666666667"/>
    <n v="416.12666666666667"/>
    <n v="0"/>
    <n v="-26.32582941111114"/>
    <n v="36699.533333333296"/>
    <n v="0.98656999999999995"/>
    <n v="1.5833333333333332E-4"/>
    <n v="273.08499607777782"/>
    <n v="55.93953725312209"/>
    <n v="1096.0959960777773"/>
    <n v="164.41439941166658"/>
    <n v="219.21919921555548"/>
    <n v="5.5939537253122094"/>
    <n v="389.22755235253425"/>
  </r>
  <r>
    <x v="332"/>
    <n v="28588.7"/>
    <n v="25632.39"/>
    <n v="2956.31"/>
    <n v="808.54"/>
    <n v="448.15101091305667"/>
    <n v="27.895583333333331"/>
    <n v="420.7431666666667"/>
    <n v="0"/>
    <n v="-0.48773908694336199"/>
    <n v="36699.533333333296"/>
    <n v="0.98665999999999998"/>
    <n v="1.5833333333333332E-4"/>
    <n v="360.3889890869433"/>
    <n v="55.473374442679408"/>
    <n v="753.4599890869431"/>
    <n v="113.01899836304146"/>
    <n v="150.69199781738862"/>
    <n v="5.5473374442679413"/>
    <n v="269.25833362469803"/>
  </r>
  <r>
    <x v="333"/>
    <n v="28586.18"/>
    <n v="26244.33"/>
    <n v="2341.85"/>
    <n v="1039.1500000000001"/>
    <n v="628.04237033804088"/>
    <n v="24.635916666666667"/>
    <n v="427.20650000000001"/>
    <n v="0"/>
    <n v="176.19995367137417"/>
    <n v="37813.699999999997"/>
    <n v="0.98382999999999998"/>
    <n v="1.5833333333333332E-4"/>
    <n v="411.10762966195921"/>
    <n v="55.011096322323745"/>
    <n v="128.52462966195844"/>
    <n v="19.278694449293766"/>
    <n v="25.704925932391689"/>
    <n v="5.5011096322323745"/>
    <n v="50.484730013917826"/>
  </r>
  <r>
    <x v="334"/>
    <n v="28584.5"/>
    <n v="26445.86"/>
    <n v="2138.64"/>
    <n v="638.94000000000005"/>
    <n v="439.50010036063389"/>
    <n v="19.515416666666667"/>
    <n v="437.40550000000002"/>
    <n v="0"/>
    <n v="-17.42081630603283"/>
    <n v="37813.699999999997"/>
    <n v="0.98699000000000003"/>
    <n v="1.5833333333333332E-4"/>
    <n v="199.43989963936616"/>
    <n v="54.552670519637708"/>
    <n v="0"/>
    <n v="0"/>
    <n v="0"/>
    <n v="5.4552670519637712"/>
    <n v="5.4552670519637712"/>
  </r>
  <r>
    <x v="335"/>
    <n v="30681.49"/>
    <n v="27038.06"/>
    <n v="3643.43"/>
    <n v="1032.96"/>
    <n v="1813.1836893384295"/>
    <n v="17.821999999999999"/>
    <n v="440.76433333333335"/>
    <n v="0"/>
    <n v="1354.5973560050961"/>
    <n v="37813.699999999997"/>
    <n v="0.98853999999999997"/>
    <n v="1.25E-4"/>
    <n v="-780.22368933842949"/>
    <n v="54.098064931974058"/>
    <n v="159.40031066157007"/>
    <n v="23.91004659923551"/>
    <n v="31.880062132314016"/>
    <n v="5.4098064931974061"/>
    <n v="61.199915224746931"/>
  </r>
  <r>
    <x v="336"/>
    <n v="31729.18"/>
    <n v="27081.040000000001"/>
    <n v="4648.1400000000003"/>
    <n v="493.61"/>
    <n v="305.01267319942622"/>
    <n v="30.361916666666666"/>
    <n v="450.63433333333336"/>
    <n v="-29.597864741323146"/>
    <n v="-146.38571205925072"/>
    <n v="36979.533333333296"/>
    <n v="0.99025999999999992"/>
    <n v="1.25E-4"/>
    <n v="188.5973268005738"/>
    <n v="37.719465360114761"/>
    <n v="2128.6333268005737"/>
    <n v="319.29499902008604"/>
    <n v="425.72666536011479"/>
    <n v="3.7719465360114763"/>
    <n v="748.79361091621229"/>
  </r>
  <r>
    <x v="337"/>
    <n v="31728.13"/>
    <n v="27044.639999999999"/>
    <n v="4683.49"/>
    <n v="414.95"/>
    <n v="915.04971770776842"/>
    <n v="38.734500000000004"/>
    <n v="451.35066666666665"/>
    <n v="0"/>
    <n v="424.96455104110174"/>
    <n v="36979.533333333296"/>
    <n v="0.99022999999999994"/>
    <n v="1.1666666666666668E-4"/>
    <n v="-500.09971770776843"/>
    <n v="37.405136482113804"/>
    <n v="1478.926282292231"/>
    <n v="221.83894234383465"/>
    <n v="295.78525645844621"/>
    <n v="3.7405136482113805"/>
    <n v="521.36471245049222"/>
  </r>
  <r>
    <x v="338"/>
    <n v="29766.31"/>
    <n v="27300.28"/>
    <n v="2466.0300000000002"/>
    <n v="706.38"/>
    <n v="487.17936337134006"/>
    <n v="39.029083333333332"/>
    <n v="450.74399999999997"/>
    <n v="0"/>
    <n v="-2.5937199619932665"/>
    <n v="36979.533333333296"/>
    <n v="0.99063999999999997"/>
    <n v="1.1666666666666668E-4"/>
    <n v="219.20063662865994"/>
    <n v="37.093427011429519"/>
    <n v="0"/>
    <n v="0"/>
    <n v="0"/>
    <n v="3.7093427011429521"/>
    <n v="3.7093427011429521"/>
  </r>
  <r>
    <x v="339"/>
    <n v="29765.119999999999"/>
    <n v="27537.93"/>
    <n v="2227.19"/>
    <n v="692.65"/>
    <n v="618.26478700053019"/>
    <n v="20.550250000000002"/>
    <n v="455.00466666666665"/>
    <n v="0"/>
    <n v="142.70987033386353"/>
    <n v="37713.966666666704"/>
    <n v="0.98762000000000005"/>
    <n v="1.1666666666666668E-4"/>
    <n v="74.385212999469786"/>
    <n v="36.784315119667603"/>
    <n v="0"/>
    <n v="0"/>
    <n v="0"/>
    <n v="3.6784315119667603"/>
    <n v="3.6784315119667603"/>
  </r>
  <r>
    <x v="340"/>
    <n v="29763.86"/>
    <n v="27884.080000000002"/>
    <n v="1879.78"/>
    <n v="805.12"/>
    <n v="456.01515694208126"/>
    <n v="18.559916666666666"/>
    <n v="458.96550000000002"/>
    <n v="0"/>
    <n v="-21.510259724585381"/>
    <n v="37713.966666666704"/>
    <n v="0.99097999999999997"/>
    <n v="1.1666666666666668E-4"/>
    <n v="349.10484305791874"/>
    <n v="36.477779160337043"/>
    <n v="0"/>
    <n v="0"/>
    <n v="0"/>
    <n v="3.6477779160337045"/>
    <n v="3.6477779160337045"/>
  </r>
  <r>
    <x v="341"/>
    <n v="31441.41"/>
    <n v="28230.16"/>
    <n v="3211.25"/>
    <n v="810.81"/>
    <n v="489.46377139561901"/>
    <n v="15.664833333333332"/>
    <n v="464.73466666666667"/>
    <n v="0"/>
    <n v="9.0642713956190022"/>
    <n v="37713.966666666704"/>
    <n v="0.98956"/>
    <n v="1.1666666666666668E-4"/>
    <n v="321.34622860438094"/>
    <n v="36.173797667334235"/>
    <n v="709.58022860438086"/>
    <n v="106.43703429065712"/>
    <n v="141.91604572087618"/>
    <n v="3.6173797667334235"/>
    <n v="251.97045977826673"/>
  </r>
  <r>
    <x v="342"/>
    <n v="31439.45"/>
    <n v="28561.96"/>
    <n v="2877.49"/>
    <n v="802.3"/>
    <n v="676.46731454715609"/>
    <n v="26.760416666666668"/>
    <n v="470.50266666666664"/>
    <n v="0"/>
    <n v="179.20423121382282"/>
    <n v="38702.699999999997"/>
    <n v="0.98726000000000003"/>
    <n v="1.1666666666666668E-4"/>
    <n v="125.83268545284386"/>
    <n v="35.87234935343978"/>
    <n v="147.12668545284396"/>
    <n v="22.069002817926592"/>
    <n v="29.425337090568792"/>
    <n v="3.5872349353439783"/>
    <n v="55.081574843839363"/>
  </r>
  <r>
    <x v="343"/>
    <n v="31436.09"/>
    <n v="28772.94"/>
    <n v="2663.15"/>
    <n v="687.01"/>
    <n v="478.60688107012993"/>
    <n v="23.979083333333332"/>
    <n v="476.03266666666667"/>
    <n v="0"/>
    <n v="-21.404868929870052"/>
    <n v="38702.699999999997"/>
    <n v="0.99056"/>
    <n v="1.1666666666666668E-4"/>
    <n v="208.40311892987006"/>
    <n v="35.573413108827786"/>
    <n v="0"/>
    <n v="0"/>
    <n v="0"/>
    <n v="3.5573413108827787"/>
    <n v="3.5573413108827787"/>
  </r>
  <r>
    <x v="344"/>
    <n v="31433.15"/>
    <n v="29033.06"/>
    <n v="2400.09"/>
    <n v="739.67"/>
    <n v="503.03587389613114"/>
    <n v="22.192916666666669"/>
    <n v="479.54899999999998"/>
    <n v="0"/>
    <n v="1.2939572294644655"/>
    <n v="38702.699999999997"/>
    <n v="0.99036000000000002"/>
    <n v="1.1666666666666668E-4"/>
    <n v="236.63412610386882"/>
    <n v="35.276967999587555"/>
    <n v="0"/>
    <n v="0"/>
    <n v="0"/>
    <n v="3.5276967999587558"/>
    <n v="3.5276967999587558"/>
  </r>
  <r>
    <x v="345"/>
    <n v="30250.5"/>
    <n v="29303.89"/>
    <n v="946.61"/>
    <n v="754.71"/>
    <n v="668.73844100755696"/>
    <n v="20.00075"/>
    <n v="483.88433333333336"/>
    <n v="0"/>
    <n v="164.85335767422359"/>
    <n v="39592.966666666704"/>
    <n v="0.98750000000000004"/>
    <n v="1.1666666666666668E-4"/>
    <n v="85.971558992443079"/>
    <n v="34.982993266257658"/>
    <n v="0"/>
    <n v="0"/>
    <n v="0"/>
    <n v="3.4982993266257658"/>
    <n v="3.4982993266257658"/>
  </r>
  <r>
    <x v="346"/>
    <n v="30454.9"/>
    <n v="29515.64"/>
    <n v="939.26"/>
    <n v="700.15"/>
    <n v="458.74221986002004"/>
    <n v="7.8884166666666671"/>
    <n v="488.39816666666667"/>
    <n v="0"/>
    <n v="-37.544363473313275"/>
    <n v="39592.966666666704"/>
    <n v="0.99321999999999999"/>
    <n v="1.1666666666666668E-4"/>
    <n v="241.40778013997993"/>
    <n v="34.691468322372181"/>
    <n v="0"/>
    <n v="0"/>
    <n v="0"/>
    <n v="3.4691468322372181"/>
    <n v="3.4691468322372181"/>
  </r>
  <r>
    <x v="347"/>
    <n v="31139.01"/>
    <n v="29721.93"/>
    <n v="1417.08"/>
    <n v="698.22"/>
    <n v="66.108984557128224"/>
    <n v="7.8271666666666668"/>
    <n v="491.92733333333331"/>
    <n v="0"/>
    <n v="-433.64551544287173"/>
    <n v="39592.966666666704"/>
    <n v="0.99224999999999997"/>
    <n v="1.25E-4"/>
    <n v="632.1110154428718"/>
    <n v="34.40237275301908"/>
    <n v="0"/>
    <n v="0"/>
    <n v="0"/>
    <n v="3.4402372753019081"/>
    <n v="3.4402372753019081"/>
  </r>
  <r>
    <x v="348"/>
    <n v="31793.72"/>
    <n v="30010.61"/>
    <n v="1783.11"/>
    <n v="784.05"/>
    <n v="395.53626139279186"/>
    <n v="11.808999999999999"/>
    <n v="495.3655"/>
    <n v="0"/>
    <n v="-111.63823860720817"/>
    <n v="38815.1"/>
    <n v="0.99034999999999995"/>
    <n v="1.25E-4"/>
    <n v="388.5137386072081"/>
    <n v="34.115686313410585"/>
    <n v="0"/>
    <n v="0"/>
    <n v="0"/>
    <n v="3.4115686313410585"/>
    <n v="3.4115686313410585"/>
  </r>
  <r>
    <x v="349"/>
    <n v="32209.24"/>
    <n v="29509.55"/>
    <n v="2699.69"/>
    <n v="0"/>
    <n v="475.03726022827811"/>
    <n v="14.859249999999999"/>
    <n v="500.17683333333332"/>
    <n v="-10.790857788314053"/>
    <n v="-29.207965316741145"/>
    <n v="38815.1"/>
    <n v="0.99501000000000006"/>
    <n v="1.25E-4"/>
    <n v="-475.03726022827811"/>
    <n v="0"/>
    <n v="0"/>
    <n v="0"/>
    <n v="0"/>
    <n v="0"/>
    <n v="0"/>
  </r>
  <r>
    <x v="350"/>
    <n v="31908.66"/>
    <n v="30282.21"/>
    <n v="1626.45"/>
    <n v="1264.49"/>
    <n v="526.93331434666914"/>
    <n v="22.497416666666666"/>
    <n v="491.82583333333332"/>
    <n v="0"/>
    <n v="12.610064346669132"/>
    <n v="38815.1"/>
    <n v="0.99299000000000004"/>
    <n v="1.25E-4"/>
    <n v="737.55668565333087"/>
    <n v="0"/>
    <n v="0"/>
    <n v="0"/>
    <n v="0"/>
    <n v="0"/>
    <n v="0"/>
  </r>
  <r>
    <x v="351"/>
    <n v="31894.38"/>
    <n v="30636.62"/>
    <n v="1257.76"/>
    <n v="859.11"/>
    <n v="679.16869019654416"/>
    <n v="13.553750000000001"/>
    <n v="504.70349999999996"/>
    <n v="0"/>
    <n v="160.91144019654416"/>
    <n v="39645.533333333296"/>
    <n v="0.98832999999999993"/>
    <n v="1.25E-4"/>
    <n v="179.94130980345585"/>
    <n v="0"/>
    <n v="0"/>
    <n v="0"/>
    <n v="0"/>
    <n v="0"/>
    <n v="0"/>
  </r>
  <r>
    <x v="352"/>
    <n v="32025.91"/>
    <n v="30928.94"/>
    <n v="1096.97"/>
    <n v="802.93"/>
    <n v="482.01649074509419"/>
    <n v="10.481333333333334"/>
    <n v="510.6103333333333"/>
    <n v="0"/>
    <n v="-39.075175921572416"/>
    <n v="39645.533333333296"/>
    <n v="0.99448999999999999"/>
    <n v="1.25E-4"/>
    <n v="320.91350925490576"/>
    <n v="0"/>
    <n v="0"/>
    <n v="0"/>
    <n v="0"/>
    <n v="0"/>
    <n v="0"/>
  </r>
  <r>
    <x v="353"/>
    <n v="32036.34"/>
    <n v="31069.01"/>
    <n v="967.33"/>
    <n v="655.55"/>
    <n v="122.20013185917799"/>
    <n v="9.1414166666666663"/>
    <n v="515.48233333333326"/>
    <n v="0"/>
    <n v="-402.42361814082199"/>
    <n v="39645.533333333296"/>
    <n v="0.99504999999999999"/>
    <n v="1.3333333333333334E-4"/>
    <n v="533.34986814082197"/>
    <n v="0"/>
    <n v="0"/>
    <n v="0"/>
    <n v="0"/>
    <n v="0"/>
    <n v="0"/>
  </r>
  <r>
    <x v="354"/>
    <n v="32156.11"/>
    <n v="31205.37"/>
    <n v="950.74"/>
    <n v="654.17999999999995"/>
    <n v="582.19214804089154"/>
    <n v="8.0610833333333343"/>
    <n v="517.81683333333331"/>
    <n v="0"/>
    <n v="56.314231374224818"/>
    <n v="39955.333333333299"/>
    <n v="0.99358999999999997"/>
    <n v="1.3333333333333334E-4"/>
    <n v="71.987851959108411"/>
    <n v="0"/>
    <n v="0"/>
    <n v="0"/>
    <n v="0"/>
    <n v="0"/>
    <n v="0"/>
  </r>
  <r>
    <x v="355"/>
    <n v="32207.49"/>
    <n v="31220.14"/>
    <n v="987.35"/>
    <n v="534.86"/>
    <n v="502.25860621844134"/>
    <n v="7.9228333333333332"/>
    <n v="520.08949999999993"/>
    <n v="0"/>
    <n v="-25.753727114891866"/>
    <n v="39955.333333333299"/>
    <n v="0.99778000000000011"/>
    <n v="1.3333333333333334E-4"/>
    <n v="32.60139378155867"/>
    <n v="0"/>
    <n v="0"/>
    <n v="0"/>
    <n v="0"/>
    <n v="0"/>
    <n v="0"/>
  </r>
  <r>
    <x v="356"/>
    <n v="32278.82"/>
    <n v="31405.08"/>
    <n v="873.74"/>
    <n v="705.28"/>
    <n v="530.09526467035016"/>
    <n v="8.2279166666666672"/>
    <n v="520.33566666666661"/>
    <n v="0"/>
    <n v="1.5316813370168747"/>
    <n v="39955.333333333299"/>
    <n v="0.99753000000000003"/>
    <n v="1.3333333333333334E-4"/>
    <n v="175.18473532964981"/>
    <n v="0"/>
    <n v="0"/>
    <n v="0"/>
    <n v="0"/>
    <n v="0"/>
    <n v="0"/>
  </r>
  <r>
    <x v="357"/>
    <n v="32333.63"/>
    <n v="31541.37"/>
    <n v="792.26"/>
    <n v="659.71"/>
    <n v="217.42350574691244"/>
    <n v="7.2811666666666666"/>
    <n v="523.41800000000001"/>
    <n v="0"/>
    <n v="-313.27566091975422"/>
    <n v="40174.6"/>
    <n v="0.99447000000000008"/>
    <n v="1.4166666666666668E-4"/>
    <n v="442.2864942530876"/>
    <n v="0"/>
    <n v="0"/>
    <n v="0"/>
    <n v="0"/>
    <n v="0"/>
    <n v="0"/>
  </r>
  <r>
    <x v="358"/>
    <n v="32453.75"/>
    <n v="31607.73"/>
    <n v="846.02"/>
    <n v="592.04999999999995"/>
    <n v="522.55598224921607"/>
    <n v="6.6021666666666663"/>
    <n v="525.68949999999995"/>
    <n v="0"/>
    <n v="-9.7356844174506119"/>
    <n v="40174.6"/>
    <n v="0.99609999999999999"/>
    <n v="1.4166666666666668E-4"/>
    <n v="69.494017750783883"/>
    <n v="0"/>
    <n v="0"/>
    <n v="0"/>
    <n v="0"/>
    <n v="0"/>
    <n v="0"/>
  </r>
  <r>
    <x v="359"/>
    <n v="33352.76"/>
    <n v="31813.95"/>
    <n v="1538.81"/>
    <n v="733.02"/>
    <n v="194.3432164675221"/>
    <n v="7.0501666666666667"/>
    <n v="526.79549999999995"/>
    <n v="0"/>
    <n v="-339.5024501991445"/>
    <n v="40174.6"/>
    <n v="0.99686000000000008"/>
    <n v="1.4999999999999999E-4"/>
    <n v="538.67678353247788"/>
    <n v="0"/>
    <n v="0"/>
    <n v="0"/>
    <n v="0"/>
    <n v="0"/>
    <n v="0"/>
  </r>
  <r>
    <x v="360"/>
    <n v="34487.67"/>
    <n v="31626.21"/>
    <n v="2861.46"/>
    <n v="342.49"/>
    <n v="134.6356304009073"/>
    <n v="12.823416666666667"/>
    <n v="530.23249999999996"/>
    <n v="0"/>
    <n v="-408.42028626575927"/>
    <n v="39334.433333333298"/>
    <n v="0.99387000000000003"/>
    <n v="1.5833333333333332E-4"/>
    <n v="207.85436959909271"/>
    <n v="0"/>
    <n v="0"/>
    <n v="0"/>
    <n v="0"/>
    <n v="0"/>
    <n v="0"/>
  </r>
  <r>
    <x v="361"/>
    <n v="33933.760000000002"/>
    <n v="32286.73"/>
    <n v="1647.03"/>
    <n v="1187.6199999999999"/>
    <n v="259.53338836041428"/>
    <n v="23.845500000000001"/>
    <n v="527.10349999999994"/>
    <n v="22.401908127314158"/>
    <n v="-313.81751976689986"/>
    <n v="39334.433333333298"/>
    <n v="0.99953000000000003"/>
    <n v="1.6666666666666666E-4"/>
    <n v="928.08661163958561"/>
    <n v="185.61732232791712"/>
    <n v="0"/>
    <n v="0"/>
    <n v="0"/>
    <n v="18.561732232791712"/>
    <n v="18.561732232791712"/>
  </r>
  <r>
    <x v="362"/>
    <n v="33759.67"/>
    <n v="32659.759999999998"/>
    <n v="1099.9100000000001"/>
    <n v="911.14"/>
    <n v="550.80514644071297"/>
    <n v="13.725249999999999"/>
    <n v="538.11216666666667"/>
    <n v="0"/>
    <n v="-1.0322702259536647"/>
    <n v="39334.433333333298"/>
    <n v="0.99971999999999994"/>
    <n v="1.6666666666666666E-4"/>
    <n v="360.33485355928701"/>
    <n v="184.07051130851781"/>
    <n v="0"/>
    <n v="0"/>
    <n v="0"/>
    <n v="18.40705113085178"/>
    <n v="18.40705113085178"/>
  </r>
  <r>
    <x v="363"/>
    <n v="33844.65"/>
    <n v="32602.43"/>
    <n v="1242.22"/>
    <n v="487"/>
    <n v="660.23226185861427"/>
    <n v="9.1659166666666678"/>
    <n v="544.32933333333335"/>
    <n v="0"/>
    <n v="106.73701185861421"/>
    <n v="40025.166666666701"/>
    <n v="0.99753000000000003"/>
    <n v="1.6666666666666666E-4"/>
    <n v="-173.23226185861427"/>
    <n v="182.53659038094685"/>
    <n v="0"/>
    <n v="0"/>
    <n v="0"/>
    <n v="18.253659038094685"/>
    <n v="18.253659038094685"/>
  </r>
  <r>
    <x v="364"/>
    <n v="33823.230000000003"/>
    <n v="32779.11"/>
    <n v="1044.1199999999999"/>
    <n v="720.05"/>
    <n v="522.30245222675114"/>
    <n v="10.351833333333333"/>
    <n v="543.37383333333332"/>
    <n v="0"/>
    <n v="-31.423214439915554"/>
    <n v="40025.166666666701"/>
    <n v="1.00325"/>
    <n v="1.6666666666666666E-4"/>
    <n v="197.74754777324881"/>
    <n v="181.01545212777228"/>
    <n v="0"/>
    <n v="0"/>
    <n v="0"/>
    <n v="18.101545212777228"/>
    <n v="18.101545212777228"/>
  </r>
  <r>
    <x v="365"/>
    <n v="33852.699999999997"/>
    <n v="32961.81"/>
    <n v="890.89"/>
    <n v="729.02"/>
    <n v="570.70734773269862"/>
    <n v="8.7009999999999987"/>
    <n v="546.31849999999997"/>
    <n v="0"/>
    <n v="15.687847732698655"/>
    <n v="40025.166666666701"/>
    <n v="1.00038"/>
    <n v="1.6666666666666666E-4"/>
    <n v="158.31265226730136"/>
    <n v="179.50699002670751"/>
    <n v="0"/>
    <n v="0"/>
    <n v="0"/>
    <n v="17.950699002670753"/>
    <n v="17.950699002670753"/>
  </r>
  <r>
    <x v="366"/>
    <n v="34087.97"/>
    <n v="33163.339999999997"/>
    <n v="924.63"/>
    <n v="750.89"/>
    <n v="612.3759573356823"/>
    <n v="7.4240833333333329"/>
    <n v="549.36349999999993"/>
    <n v="0"/>
    <n v="55.588374002349042"/>
    <n v="40251.766666666699"/>
    <n v="0.99587000000000003"/>
    <n v="1.6666666666666666E-4"/>
    <n v="138.51404266431769"/>
    <n v="178.01109844315161"/>
    <n v="0"/>
    <n v="0"/>
    <n v="0"/>
    <n v="17.80110984431516"/>
    <n v="17.80110984431516"/>
  </r>
  <r>
    <x v="367"/>
    <n v="34369.089999999997"/>
    <n v="33515.440000000002"/>
    <n v="853.65"/>
    <n v="904.82"/>
    <n v="526.12809367120133"/>
    <n v="7.7052500000000004"/>
    <n v="552.72233333333327"/>
    <n v="0"/>
    <n v="-34.299489662131961"/>
    <n v="40251.766666666699"/>
    <n v="1.0020899999999999"/>
    <n v="1.6666666666666666E-4"/>
    <n v="378.69190632879872"/>
    <n v="176.52767262279201"/>
    <n v="0"/>
    <n v="0"/>
    <n v="0"/>
    <n v="17.652767262279202"/>
    <n v="17.652767262279202"/>
  </r>
  <r>
    <x v="368"/>
    <n v="34608.699999999997"/>
    <n v="33771.78"/>
    <n v="836.92"/>
    <n v="814.93"/>
    <n v="569.10688607441216"/>
    <n v="7.1137499999999996"/>
    <n v="558.59066666666672"/>
    <n v="0"/>
    <n v="3.4024694077454072"/>
    <n v="40251.766666666699"/>
    <n v="1.0014700000000001"/>
    <n v="1.6666666666666666E-4"/>
    <n v="245.82311392558779"/>
    <n v="175.05660868426875"/>
    <n v="0"/>
    <n v="0"/>
    <n v="0"/>
    <n v="17.505660868426876"/>
    <n v="17.505660868426876"/>
  </r>
  <r>
    <x v="369"/>
    <n v="34652.94"/>
    <n v="33846.959999999999"/>
    <n v="805.98"/>
    <n v="638.04"/>
    <n v="645.02297417035129"/>
    <n v="6.9743333333333331"/>
    <n v="562.86299999999994"/>
    <n v="0"/>
    <n v="75.185640837018056"/>
    <n v="40716.833333333299"/>
    <n v="0.99930000000000008"/>
    <n v="1.6666666666666666E-4"/>
    <n v="-6.9829741703513264"/>
    <n v="173.59780361189985"/>
    <n v="0"/>
    <n v="0"/>
    <n v="0"/>
    <n v="17.359780361189987"/>
    <n v="17.359780361189987"/>
  </r>
  <r>
    <x v="370"/>
    <n v="34856.57"/>
    <n v="34173.300000000003"/>
    <n v="683.27"/>
    <n v="890.46"/>
    <n v="552.90721750745865"/>
    <n v="6.7164999999999999"/>
    <n v="564.11599999999999"/>
    <n v="0"/>
    <n v="-17.925282492541321"/>
    <n v="40716.833333333299"/>
    <n v="1.00254"/>
    <n v="1.6666666666666666E-4"/>
    <n v="337.55278249254138"/>
    <n v="172.15115524846735"/>
    <n v="0"/>
    <n v="0"/>
    <n v="0"/>
    <n v="17.215115524846734"/>
    <n v="17.215115524846734"/>
  </r>
  <r>
    <x v="371"/>
    <n v="35674.94"/>
    <n v="34403.39"/>
    <n v="1271.55"/>
    <n v="799.65"/>
    <n v="-604.69962733833063"/>
    <n v="5.6939166666666665"/>
    <n v="569.55500000000006"/>
    <n v="0"/>
    <n v="-1179.9485440049973"/>
    <n v="40716.833333333299"/>
    <n v="1.0044499999999998"/>
    <n v="2.0833333333333335E-4"/>
    <n v="1404.3496273383307"/>
    <n v="170.71656228806344"/>
    <n v="0"/>
    <n v="0"/>
    <n v="0"/>
    <n v="17.071656228806344"/>
    <n v="17.071656228806344"/>
  </r>
  <r>
    <x v="372"/>
    <n v="37176.58"/>
    <n v="34268.99"/>
    <n v="2907.59"/>
    <n v="438.99"/>
    <n v="334.68186129799739"/>
    <n v="10.59625"/>
    <n v="573.38983333333329"/>
    <n v="-149.69194800598268"/>
    <n v="-99.612274029353259"/>
    <n v="39804.5"/>
    <n v="1.00204"/>
    <n v="2.0833333333333335E-4"/>
    <n v="104.30813870200262"/>
    <n v="20.861627740400525"/>
    <n v="0"/>
    <n v="0"/>
    <n v="0"/>
    <n v="2.0861627740400528"/>
    <n v="2.0861627740400528"/>
  </r>
  <r>
    <x v="373"/>
    <n v="36665.019999999997"/>
    <n v="35092.19"/>
    <n v="1572.83"/>
    <n v="1394.35"/>
    <n v="793.54520138592818"/>
    <n v="24.229916666666668"/>
    <n v="571.14983333333328"/>
    <n v="0"/>
    <n v="198.16545138592824"/>
    <n v="39804.5"/>
    <n v="1.0027900000000001"/>
    <n v="1.9999999999999998E-4"/>
    <n v="600.80479861407173"/>
    <n v="20.687780842563857"/>
    <n v="0"/>
    <n v="0"/>
    <n v="0"/>
    <n v="2.0687780842563859"/>
    <n v="2.0687780842563859"/>
  </r>
  <r>
    <x v="374"/>
    <n v="37059.26"/>
    <n v="35423.15"/>
    <n v="1636.11"/>
    <n v="915.83"/>
    <n v="1058.6182745527735"/>
    <n v="13.106916666666667"/>
    <n v="584.86983333333342"/>
    <n v="0"/>
    <n v="460.64152455277355"/>
    <n v="39804.5"/>
    <n v="0.99933000000000005"/>
    <n v="1.8333333333333334E-4"/>
    <n v="-142.78827455277349"/>
    <n v="20.515382668875823"/>
    <n v="0"/>
    <n v="0"/>
    <n v="0"/>
    <n v="2.0515382668875826"/>
    <n v="2.0515382668875826"/>
  </r>
  <r>
    <x v="375"/>
    <n v="37225.72"/>
    <n v="35572.879999999997"/>
    <n v="1652.84"/>
    <n v="740.12"/>
    <n v="502.3234590248295"/>
    <n v="13.63425"/>
    <n v="590.38583333333338"/>
    <n v="0"/>
    <n v="-101.69662430850386"/>
    <n v="35149.266666666699"/>
    <n v="0.99012"/>
    <n v="1.6666666666666666E-4"/>
    <n v="237.7965409751705"/>
    <n v="20.344421146635188"/>
    <n v="0"/>
    <n v="0"/>
    <n v="0"/>
    <n v="2.034442114663519"/>
    <n v="2.034442114663519"/>
  </r>
  <r>
    <x v="376"/>
    <n v="37358.720000000001"/>
    <n v="35839.440000000002"/>
    <n v="1519.28"/>
    <n v="859.44"/>
    <n v="1136.496329439201"/>
    <n v="13.773666666666665"/>
    <n v="592.88133333333326"/>
    <n v="0"/>
    <n v="529.84132943920088"/>
    <n v="35149.266666666699"/>
    <n v="0.99480000000000002"/>
    <n v="1.4999999999999999E-4"/>
    <n v="-277.05632943920091"/>
    <n v="20.174884303746563"/>
    <n v="0"/>
    <n v="0"/>
    <n v="0"/>
    <n v="2.0174884303746565"/>
    <n v="2.0174884303746565"/>
  </r>
  <r>
    <x v="377"/>
    <n v="37517.69"/>
    <n v="36294.160000000003"/>
    <n v="1223.53"/>
    <n v="1052.04"/>
    <n v="608.89936256552073"/>
    <n v="12.660666666666666"/>
    <n v="597.32400000000007"/>
    <n v="0"/>
    <n v="-1.0853041011459845"/>
    <n v="35149.266666666699"/>
    <n v="0.995"/>
    <n v="1.4999999999999999E-4"/>
    <n v="443.14063743447923"/>
    <n v="20.006760267882008"/>
    <n v="0"/>
    <n v="0"/>
    <n v="0"/>
    <n v="2.0006760267882009"/>
    <n v="2.0006760267882009"/>
  </r>
  <r>
    <x v="378"/>
    <n v="37663.01"/>
    <n v="36539.58"/>
    <n v="1123.43"/>
    <n v="850.32"/>
    <n v="2195.1662198676859"/>
    <n v="10.196083333333332"/>
    <n v="604.90266666666673"/>
    <n v="0"/>
    <n v="1580.0674698676858"/>
    <n v="38398.566666666702"/>
    <n v="0.99177999999999999"/>
    <n v="1.25E-4"/>
    <n v="-1344.8462198676857"/>
    <n v="19.840037265649656"/>
    <n v="-586.81201986768565"/>
    <n v="0"/>
    <n v="0"/>
    <n v="1.9840037265649657"/>
    <n v="1.9840037265649657"/>
  </r>
  <r>
    <x v="379"/>
    <n v="37718.870000000003"/>
    <n v="36812.370000000003"/>
    <n v="906.5"/>
    <n v="881.78"/>
    <n v="1600.5317333966254"/>
    <n v="9.3619166666666676"/>
    <n v="608.99300000000005"/>
    <n v="0"/>
    <n v="395.36479686227318"/>
    <n v="38398.566666666702"/>
    <n v="0.99807000000000001"/>
    <n v="1.1666666666666668E-4"/>
    <n v="-718.75173339662547"/>
    <n v="19.674703621769243"/>
    <n v="-180.37543339662551"/>
    <n v="0"/>
    <n v="0"/>
    <n v="1.9674703621769245"/>
    <n v="1.9674703621769245"/>
  </r>
  <r>
    <x v="380"/>
    <n v="37934.959999999999"/>
    <n v="37034.97"/>
    <n v="899.99"/>
    <n v="836.14"/>
    <n v="1264.7283462801427"/>
    <n v="7.5541666666666663"/>
    <n v="613.53950000000009"/>
    <n v="0"/>
    <n v="463.25924621685044"/>
    <n v="38398.566666666702"/>
    <n v="1.00139"/>
    <n v="1.0833333333333333E-4"/>
    <n v="-428.58834628014267"/>
    <n v="19.510747758254499"/>
    <n v="0"/>
    <n v="0"/>
    <n v="0"/>
    <n v="1.9510747758254501"/>
    <n v="1.9510747758254501"/>
  </r>
  <r>
    <x v="381"/>
    <n v="38218.81"/>
    <n v="37508.730000000003"/>
    <n v="710.08"/>
    <n v="1091.01"/>
    <n v="983.96792683072908"/>
    <n v="7.4999166666666666"/>
    <n v="617.24950000000001"/>
    <n v="0"/>
    <n v="359.21851016406237"/>
    <n v="40333.300000000003"/>
    <n v="0.99710999999999994"/>
    <n v="1.0833333333333333E-4"/>
    <n v="107.04207316927091"/>
    <n v="19.34815819360238"/>
    <n v="0"/>
    <n v="0"/>
    <n v="0"/>
    <n v="1.9348158193602381"/>
    <n v="1.9348158193602381"/>
  </r>
  <r>
    <x v="382"/>
    <n v="38488.31"/>
    <n v="37794.82"/>
    <n v="693.49"/>
    <n v="911.24"/>
    <n v="604.11905597950533"/>
    <n v="5.9173333333333336"/>
    <n v="625.14550000000008"/>
    <n v="0"/>
    <n v="-26.94377735382805"/>
    <n v="40333.300000000003"/>
    <n v="1.00105"/>
    <n v="1.0833333333333333E-4"/>
    <n v="307.12094402049468"/>
    <n v="19.186923541989028"/>
    <n v="0"/>
    <n v="0"/>
    <n v="0"/>
    <n v="1.9186923541989029"/>
    <n v="1.9186923541989029"/>
  </r>
  <r>
    <x v="383"/>
    <n v="39138.400000000001"/>
    <n v="37906.47"/>
    <n v="1231.93"/>
    <n v="741.56"/>
    <n v="610.85151238664685"/>
    <n v="5.7790833333333333"/>
    <n v="629.9136666666667"/>
    <n v="0"/>
    <n v="-24.841237613353176"/>
    <n v="40333.300000000003"/>
    <n v="1.0046899999999999"/>
    <n v="1.0833333333333333E-4"/>
    <n v="130.7084876133531"/>
    <n v="19.027032512472452"/>
    <n v="0"/>
    <n v="0"/>
    <n v="0"/>
    <n v="1.9027032512472453"/>
    <n v="1.9027032512472453"/>
  </r>
  <r>
    <x v="384"/>
    <n v="40232.15"/>
    <n v="38137.4"/>
    <n v="2094.75"/>
    <n v="862.7"/>
    <n v="1248.4597552372238"/>
    <n v="10.266083333333334"/>
    <n v="631.77449999999999"/>
    <n v="0"/>
    <n v="606.4191719038904"/>
    <n v="40595.033333333296"/>
    <n v="1.0044"/>
    <n v="9.9999999999999991E-5"/>
    <n v="-385.75975523722377"/>
    <n v="18.86847390820185"/>
    <n v="0"/>
    <n v="0"/>
    <n v="0"/>
    <n v="1.886847390820185"/>
    <n v="1.886847390820185"/>
  </r>
  <r>
    <x v="385"/>
    <n v="40304.81"/>
    <n v="37562.629999999997"/>
    <n v="2742.18"/>
    <n v="60.85"/>
    <n v="614.30727358300089"/>
    <n v="17.456250000000001"/>
    <n v="635.62333333333333"/>
    <n v="2.1561403738789267"/>
    <n v="-40.928450124211302"/>
    <n v="40595.033333333296"/>
    <n v="1.0101500000000001"/>
    <n v="9.9999999999999991E-5"/>
    <n v="-553.45727358300087"/>
    <n v="0"/>
    <n v="0"/>
    <n v="0"/>
    <n v="0"/>
    <n v="0"/>
    <n v="0"/>
  </r>
  <r>
    <x v="386"/>
    <n v="39799.550000000003"/>
    <n v="38402.21"/>
    <n v="1397.34"/>
    <n v="1465.62"/>
    <n v="633.01034244787945"/>
    <n v="22.851499999999998"/>
    <n v="626.04383333333328"/>
    <n v="0"/>
    <n v="-15.884990885453819"/>
    <n v="40595.033333333296"/>
    <n v="1.0123900000000001"/>
    <n v="9.9999999999999991E-5"/>
    <n v="832.60965755212044"/>
    <n v="0"/>
    <n v="0"/>
    <n v="0"/>
    <n v="0"/>
    <n v="0"/>
    <n v="0"/>
  </r>
  <r>
    <x v="387"/>
    <n v="39797.660000000003"/>
    <n v="38624.25"/>
    <n v="1173.4100000000001"/>
    <n v="862.08"/>
    <n v="681.65326784865476"/>
    <n v="11.644499999999999"/>
    <n v="640.03683333333333"/>
    <n v="0"/>
    <n v="29.971934515321408"/>
    <n v="40697.199999999997"/>
    <n v="1.0106999999999999"/>
    <n v="9.9999999999999991E-5"/>
    <n v="180.42673215134528"/>
    <n v="0"/>
    <n v="0"/>
    <n v="0"/>
    <n v="0"/>
    <n v="0"/>
    <n v="0"/>
  </r>
  <r>
    <x v="388"/>
    <n v="39859.26"/>
    <n v="38795.4"/>
    <n v="1063.8599999999999"/>
    <n v="814.89"/>
    <n v="595.7215274959234"/>
    <n v="9.7784166666666668"/>
    <n v="643.73749999999995"/>
    <n v="0"/>
    <n v="-57.794389170743237"/>
    <n v="40697.199999999997"/>
    <n v="1.0188299999999999"/>
    <n v="9.9999999999999991E-5"/>
    <n v="219.16847250407659"/>
    <n v="0"/>
    <n v="0"/>
    <n v="0"/>
    <n v="0"/>
    <n v="0"/>
    <n v="0"/>
  </r>
  <r>
    <x v="389"/>
    <n v="39994.01"/>
    <n v="39084.85"/>
    <n v="909.16"/>
    <n v="936.04"/>
    <n v="656.37407771898302"/>
    <n v="8.865499999999999"/>
    <n v="646.59"/>
    <n v="0"/>
    <n v="0.91857771898298246"/>
    <n v="40697.199999999997"/>
    <n v="1.0186999999999999"/>
    <n v="1E-4"/>
    <n v="279.66592228101695"/>
    <n v="0"/>
    <n v="0"/>
    <n v="0"/>
    <n v="0"/>
    <n v="0"/>
    <n v="0"/>
  </r>
  <r>
    <x v="390"/>
    <n v="40227.46"/>
    <n v="39163.46"/>
    <n v="1064"/>
    <n v="730.02"/>
    <n v="775.85643072992991"/>
    <n v="7.5763333333333334"/>
    <n v="651.41416666666669"/>
    <n v="0"/>
    <n v="116.86593072992989"/>
    <n v="41281.466666666704"/>
    <n v="1.0167200000000001"/>
    <n v="1E-4"/>
    <n v="-45.83643072992993"/>
    <n v="0"/>
    <n v="0"/>
    <n v="0"/>
    <n v="0"/>
    <n v="0"/>
    <n v="0"/>
  </r>
  <r>
    <x v="391"/>
    <n v="40298.65"/>
    <n v="39304.79"/>
    <n v="993.86"/>
    <n v="794.05"/>
    <n v="621.71252032291602"/>
    <n v="8.8666666666666671"/>
    <n v="652.72433333333333"/>
    <n v="0"/>
    <n v="-39.878479677083938"/>
    <n v="41281.466666666704"/>
    <n v="1.0223100000000001"/>
    <n v="1E-4"/>
    <n v="172.33747967708393"/>
    <n v="0"/>
    <n v="0"/>
    <n v="0"/>
    <n v="0"/>
    <n v="0"/>
    <n v="0"/>
  </r>
  <r>
    <x v="392"/>
    <n v="40413.660000000003"/>
    <n v="39429.040000000001"/>
    <n v="984.62"/>
    <n v="779.33"/>
    <n v="633.0648263813564"/>
    <n v="8.2821666666666669"/>
    <n v="655.07983333333334"/>
    <n v="0"/>
    <n v="-30.297173618643519"/>
    <n v="41281.466666666704"/>
    <n v="1.02657"/>
    <n v="1E-4"/>
    <n v="146.26517361864364"/>
    <n v="0"/>
    <n v="0"/>
    <n v="0"/>
    <n v="0"/>
    <n v="0"/>
    <n v="0"/>
  </r>
  <r>
    <x v="393"/>
    <n v="40682.81"/>
    <n v="39663.68"/>
    <n v="1019.13"/>
    <n v="891.79"/>
    <n v="912.59833329111211"/>
    <n v="8.2051666666666669"/>
    <n v="657.15066666666667"/>
    <n v="0"/>
    <n v="247.24249995777879"/>
    <n v="42813.5"/>
    <n v="1.0295000000000001"/>
    <n v="1E-4"/>
    <n v="-20.808333291112149"/>
    <n v="0"/>
    <n v="0"/>
    <n v="0"/>
    <n v="0"/>
    <n v="0"/>
    <n v="0"/>
  </r>
  <r>
    <x v="394"/>
    <n v="40922.839999999997"/>
    <n v="39820.76"/>
    <n v="1102.08"/>
    <n v="818.14"/>
    <n v="596.62831587383221"/>
    <n v="8.4927499999999991"/>
    <n v="661.06133333333332"/>
    <n v="0"/>
    <n v="-72.925767459501103"/>
    <n v="42813.5"/>
    <n v="1.03959"/>
    <n v="1E-4"/>
    <n v="221.51168412616778"/>
    <n v="0"/>
    <n v="0"/>
    <n v="0"/>
    <n v="0"/>
    <n v="0"/>
    <n v="0"/>
  </r>
  <r>
    <x v="395"/>
    <n v="41224.26"/>
    <n v="40107.83"/>
    <n v="1116.43"/>
    <n v="950.75"/>
    <n v="638.38427243233059"/>
    <n v="9.1839999999999993"/>
    <n v="663.67933333333337"/>
    <n v="0"/>
    <n v="-34.479060901002789"/>
    <n v="42813.5"/>
    <n v="1.0443899999999999"/>
    <n v="1E-4"/>
    <n v="312.36572756766941"/>
    <n v="0"/>
    <n v="0"/>
    <n v="0"/>
    <n v="0"/>
    <n v="0"/>
    <n v="0"/>
  </r>
  <r>
    <x v="396"/>
    <n v="41747.691722147807"/>
    <n v="40318.89599458014"/>
    <n v="1428.7957275676695"/>
    <n v="879.52982791347301"/>
    <n v="600.28409816673775"/>
    <n v="9.303583333333334"/>
    <n v="668.46383333333335"/>
    <n v="0"/>
    <n v="-77.483318499928984"/>
    <n v="42384.453998364857"/>
    <n v="1.0447199999999999"/>
    <n v="1E-4"/>
    <n v="279.24572974673526"/>
    <n v="0"/>
    <n v="0"/>
    <n v="0"/>
    <n v="0"/>
    <n v="0"/>
    <n v="0"/>
  </r>
  <r>
    <x v="397"/>
    <n v="42237.791577667391"/>
    <n v="40529.750120352983"/>
    <n v="1708.0414573144049"/>
    <n v="882.8357256825077"/>
    <n v="720.47257442642524"/>
    <n v="11.906631063063912"/>
    <n v="671.98159990966894"/>
    <n v="21.024614282080776"/>
    <n v="15.559729171611755"/>
    <n v="42549.318886685418"/>
    <n v="1.0465975972420696"/>
    <n v="1E-4"/>
    <n v="162.36315125608246"/>
    <n v="32.472630251216493"/>
    <n v="0"/>
    <n v="0"/>
    <n v="0"/>
    <n v="3.2472630251216494"/>
    <n v="3.2472630251216494"/>
  </r>
  <r>
    <x v="398"/>
    <n v="42610.800517035801"/>
    <n v="40740.395908465311"/>
    <n v="1870.4046085704872"/>
    <n v="886.1416234515425"/>
    <n v="703.80205770942257"/>
    <n v="14.233678810953373"/>
    <n v="675.49583533921634"/>
    <n v="0"/>
    <n v="14.072543559252802"/>
    <n v="42674.486869056032"/>
    <n v="1.0477013958631043"/>
    <n v="1E-4"/>
    <n v="182.33956574211993"/>
    <n v="32.202024999123026"/>
    <n v="0"/>
    <n v="0"/>
    <n v="0"/>
    <n v="3.2202024999123027"/>
    <n v="3.2202024999123027"/>
  </r>
  <r>
    <x v="399"/>
    <n v="43003.581005524073"/>
    <n v="40950.836831211469"/>
    <n v="2052.7441743126074"/>
    <n v="889.44752122057719"/>
    <n v="736.92940366603557"/>
    <n v="15.586705071420727"/>
    <n v="679.00659847442182"/>
    <n v="0"/>
    <n v="42.336100120193052"/>
    <n v="42961.457231834625"/>
    <n v="1.0488051944841392"/>
    <n v="1E-4"/>
    <n v="152.51811755454162"/>
    <n v="31.933674790796999"/>
    <n v="0"/>
    <n v="0"/>
    <n v="0"/>
    <n v="3.1933674790797002"/>
    <n v="3.1933674790797002"/>
  </r>
  <r>
    <x v="400"/>
    <n v="43366.338594881367"/>
    <n v="41161.076303014219"/>
    <n v="2205.2622918671491"/>
    <n v="892.75341898961199"/>
    <n v="752.09918850187228"/>
    <n v="17.10620145260506"/>
    <n v="682.51394718685776"/>
    <n v="0"/>
    <n v="52.479039862409422"/>
    <n v="43307.611904156147"/>
    <n v="1.0499089931051739"/>
    <n v="1E-4"/>
    <n v="140.65423048773971"/>
    <n v="31.667560834207027"/>
    <n v="0"/>
    <n v="0"/>
    <n v="0"/>
    <n v="3.1667560834207027"/>
    <n v="3.1667560834207027"/>
  </r>
  <r>
    <x v="401"/>
    <n v="43717.034203744188"/>
    <n v="41371.117681389296"/>
    <n v="2345.9165223548889"/>
    <n v="896.05931675864667"/>
    <n v="691.44530890069245"/>
    <n v="18.377185765559577"/>
    <n v="686.01793838357037"/>
    <n v="0"/>
    <n v="-12.949815248437561"/>
    <n v="43278.784265678456"/>
    <n v="1.0510127917262089"/>
    <n v="1E-4"/>
    <n v="204.61400785795422"/>
    <n v="31.403664493921966"/>
    <n v="0"/>
    <n v="0"/>
    <n v="0"/>
    <n v="3.1403664493921966"/>
    <n v="3.1403664493921966"/>
  </r>
  <r>
    <x v="402"/>
    <n v="44131.494798106658"/>
    <n v="41580.964267893818"/>
    <n v="2550.5305302128431"/>
    <n v="899.36521452768147"/>
    <n v="807.59003959894756"/>
    <n v="19.549304352957407"/>
    <n v="689.51862802315497"/>
    <n v="0"/>
    <n v="98.522107222835203"/>
    <n v="43891.555271431956"/>
    <n v="1.0521165903472436"/>
    <n v="1E-4"/>
    <n v="91.775174928733918"/>
    <n v="31.141967289805951"/>
    <n v="0"/>
    <n v="0"/>
    <n v="0"/>
    <n v="3.1141967289805952"/>
    <n v="3.1141967289805952"/>
  </r>
  <r>
    <x v="403"/>
    <n v="44432.925014200548"/>
    <n v="41790.619309058973"/>
    <n v="2642.3057051415772"/>
    <n v="902.67111229671616"/>
    <n v="669.14213714141488"/>
    <n v="21.254421085107026"/>
    <n v="693.01607113156365"/>
    <n v="0"/>
    <n v="-45.12835507525574"/>
    <n v="43677.282384102393"/>
    <n v="1.0532203889682785"/>
    <n v="1E-4"/>
    <n v="233.52897515530128"/>
    <n v="30.882450895724233"/>
    <n v="0"/>
    <n v="0"/>
    <n v="0"/>
    <n v="3.0882450895724234"/>
    <n v="3.0882450895724234"/>
  </r>
  <r>
    <x v="404"/>
    <n v="44875.92067760395"/>
    <n v="42000.085997307069"/>
    <n v="2875.8346802968786"/>
    <n v="905.97701006575096"/>
    <n v="705.13158560064767"/>
    <n v="22.019214209513144"/>
    <n v="696.51032181764958"/>
    <n v="0"/>
    <n v="-13.397950426515072"/>
    <n v="43645.920668848237"/>
    <n v="1.0543241875893132"/>
    <n v="1E-4"/>
    <n v="200.84542446510329"/>
    <n v="30.625097138259864"/>
    <n v="0"/>
    <n v="0"/>
    <n v="0"/>
    <n v="3.0625097138259867"/>
    <n v="3.0625097138259867"/>
  </r>
  <r>
    <x v="405"/>
    <n v="45286.047576615383"/>
    <n v="42209.367471853402"/>
    <n v="3076.680104761982"/>
    <n v="909.28290783478565"/>
    <n v="838.98336709893101"/>
    <n v="23.965289002473988"/>
    <n v="700.00143328845115"/>
    <n v="0"/>
    <n v="115.01664480800576"/>
    <n v="44356.018533606999"/>
    <n v="1.0554279862103482"/>
    <n v="1E-4"/>
    <n v="70.299540735854634"/>
    <n v="30.369887995441033"/>
    <n v="0"/>
    <n v="0"/>
    <n v="0"/>
    <n v="3.0369887995441034"/>
    <n v="3.0369887995441034"/>
  </r>
  <r>
    <x v="406"/>
    <n v="45565.446465090834"/>
    <n v="42418.466819592999"/>
    <n v="3146.9796454978368"/>
    <n v="912.58880560382045"/>
    <n v="667.88827536600434"/>
    <n v="25.639000873016517"/>
    <n v="703.48945786422337"/>
    <n v="0"/>
    <n v="-61.240183371235524"/>
    <n v="44048.023246339879"/>
    <n v="1.0565317848313829"/>
    <n v="1E-4"/>
    <n v="244.70053023781611"/>
    <n v="30.116805595479025"/>
    <n v="0"/>
    <n v="0"/>
    <n v="0"/>
    <n v="3.0116805595479028"/>
    <n v="3.0116805595479028"/>
  </r>
  <r>
    <x v="407"/>
    <n v="46019.067251708286"/>
    <n v="42627.387075972634"/>
    <n v="3391.6801757356529"/>
    <n v="915.89470337285525"/>
    <n v="705.71998506340924"/>
    <n v="26.224830379148639"/>
    <n v="706.9744469932167"/>
    <n v="0"/>
    <n v="-27.479292308956108"/>
    <n v="43935.486300855628"/>
    <n v="1.0576355834524176"/>
    <n v="1E-4"/>
    <n v="210.17471830944601"/>
    <n v="29.865832215516701"/>
    <n v="0"/>
    <n v="0"/>
    <n v="0"/>
    <n v="2.9865832215516703"/>
    <n v="2.9865832215516703"/>
  </r>
  <r>
    <x v="408"/>
    <n v="46437.986119893416"/>
    <n v="42836.131225848316"/>
    <n v="3601.8548940450992"/>
    <n v="919.20060114188993"/>
    <n v="656.13970454788807"/>
    <n v="28.264001464463774"/>
    <n v="710.45645126621059"/>
    <n v="0"/>
    <n v="-82.580748182786365"/>
    <n v="43506.565721795145"/>
    <n v="1.0587393820734525"/>
    <n v="1E-4"/>
    <n v="263.06089659400186"/>
    <n v="29.616950280387396"/>
    <n v="0"/>
    <n v="0"/>
    <n v="0"/>
    <n v="2.96169502803874"/>
    <n v="2.96169502803874"/>
  </r>
  <r>
    <x v="409"/>
    <n v="46909.617994967528"/>
    <n v="43044.702204328431"/>
    <n v="3864.915790639101"/>
    <n v="922.50649891092473"/>
    <n v="756.18756502542124"/>
    <n v="30.015457450375827"/>
    <n v="713.93552043080524"/>
    <n v="-8.5923359983066199"/>
    <n v="20.828923142546728"/>
    <n v="43671.430610115705"/>
    <n v="1.0598431806944872"/>
    <n v="1E-4"/>
    <n v="166.3189338855035"/>
    <n v="33.263786777100698"/>
    <n v="0"/>
    <n v="0"/>
    <n v="0"/>
    <n v="3.3263786777100699"/>
    <n v="3.3263786777100699"/>
  </r>
  <r>
    <x v="410"/>
    <n v="47284.337622127525"/>
    <n v="43253.102897602919"/>
    <n v="4031.2347245246046"/>
    <n v="925.81239667995942"/>
    <n v="763.49193235602945"/>
    <n v="32.207631588659176"/>
    <n v="717.41170340547387"/>
    <n v="0"/>
    <n v="13.872597361896448"/>
    <n v="43796.598592486327"/>
    <n v="1.0609469793155222"/>
    <n v="1E-4"/>
    <n v="162.32046432392997"/>
    <n v="32.986588553958192"/>
    <n v="0"/>
    <n v="0"/>
    <n v="0"/>
    <n v="3.2986588553958196"/>
    <n v="3.2986588553958196"/>
  </r>
  <r>
    <x v="411"/>
    <n v="47654.891332607061"/>
    <n v="43461.336143758526"/>
    <n v="4193.5551888485343"/>
    <n v="929.11829444899422"/>
    <n v="796.42857701166599"/>
    <n v="33.593622704371704"/>
    <n v="720.88504829338194"/>
    <n v="0"/>
    <n v="41.949906013912425"/>
    <n v="44083.568955264913"/>
    <n v="1.0620507779365569"/>
    <n v="1E-4"/>
    <n v="132.68971743732823"/>
    <n v="32.711700316008539"/>
    <n v="0"/>
    <n v="0"/>
    <n v="0"/>
    <n v="3.2711700316008541"/>
    <n v="3.2711700316008541"/>
  </r>
  <r>
    <x v="412"/>
    <n v="47995.649639866446"/>
    <n v="43669.404733580581"/>
    <n v="4326.2449062858623"/>
    <n v="932.42419221802891"/>
    <n v="811.33297563672409"/>
    <n v="34.946293240404451"/>
    <n v="724.35560239597544"/>
    <n v="0"/>
    <n v="52.03108000034424"/>
    <n v="44429.723627586434"/>
    <n v="1.0631545765575918"/>
    <n v="1E-4"/>
    <n v="121.09121658130482"/>
    <n v="32.439102813375136"/>
    <n v="80.395649509108807"/>
    <n v="12.059347426366321"/>
    <n v="16.079129901821762"/>
    <n v="3.2439102813375138"/>
    <n v="31.382387609525594"/>
  </r>
  <r>
    <x v="413"/>
    <n v="48244.251884699355"/>
    <n v="43877.311411341296"/>
    <n v="4366.9404733580586"/>
    <n v="935.73008998706371"/>
    <n v="750.90648861095883"/>
    <n v="36.05204088571552"/>
    <n v="727.82341222634307"/>
    <n v="0"/>
    <n v="-12.968964501099727"/>
    <n v="44400.895989108743"/>
    <n v="1.0642583751786265"/>
    <n v="1E-4"/>
    <n v="184.82360137610488"/>
    <n v="32.168776956597007"/>
    <n v="164.03293360003408"/>
    <n v="24.604940040005111"/>
    <n v="32.80658672000682"/>
    <n v="3.2168776956597007"/>
    <n v="60.628404455671628"/>
  </r>
  <r>
    <x v="414"/>
    <n v="48472.790016709165"/>
    <n v="44085.058875575036"/>
    <n v="4387.7311411341298"/>
    <n v="939.03598775609839"/>
    <n v="865.46504486633944"/>
    <n v="36.391170611317158"/>
    <n v="731.28852352235492"/>
    <n v="0"/>
    <n v="97.785350732667311"/>
    <n v="45013.666994862251"/>
    <n v="1.0653621737996615"/>
    <n v="1E-4"/>
    <n v="73.570942889758953"/>
    <n v="31.900703815292033"/>
    <n v="52.796196466384572"/>
    <n v="7.9194294699576853"/>
    <n v="10.559239293276915"/>
    <n v="3.1900703815292033"/>
    <n v="21.668739144763805"/>
  </r>
  <r>
    <x v="415"/>
    <n v="48701.155667398096"/>
    <n v="44292.649779840591"/>
    <n v="4408.5058875575041"/>
    <n v="942.34188552513319"/>
    <n v="726.37332844287562"/>
    <n v="36.564426176117749"/>
    <n v="734.75098125958391"/>
    <n v="0"/>
    <n v="-44.942078992826012"/>
    <n v="44799.39410753268"/>
    <n v="1.0664659724206962"/>
    <n v="1E-4"/>
    <n v="215.96855708225758"/>
    <n v="31.634864616831269"/>
    <n v="195.20946665570227"/>
    <n v="29.281419998355339"/>
    <n v="39.041893331140457"/>
    <n v="3.1634864616831271"/>
    <n v="71.48679979117891"/>
  </r>
  <r>
    <x v="416"/>
    <n v="48929.351711454809"/>
    <n v="44500.086733470751"/>
    <n v="4429.2649779840594"/>
    <n v="945.64778329416788"/>
    <n v="761.53414690404952"/>
    <n v="36.737549062979198"/>
    <n v="738.21082966400979"/>
    <n v="0"/>
    <n v="-13.414231822939401"/>
    <n v="44768.032392278525"/>
    <n v="1.0675697710417311"/>
    <n v="1E-4"/>
    <n v="184.11363639011836"/>
    <n v="31.371240745024341"/>
    <n v="163.36994102710287"/>
    <n v="24.505491154065428"/>
    <n v="32.673988205420578"/>
    <n v="3.1371240745024345"/>
    <n v="60.316603433988448"/>
  </r>
  <r>
    <x v="417"/>
    <n v="49157.380975656517"/>
    <n v="44707.372302309443"/>
    <n v="4450.0086733470753"/>
    <n v="948.95368106320268"/>
    <n v="892.76493583718923"/>
    <n v="36.910541483200497"/>
    <n v="741.66811222451247"/>
    <n v="0"/>
    <n v="114.18628212947621"/>
    <n v="45478.130257037286"/>
    <n v="1.0686735696627658"/>
    <n v="1E-4"/>
    <n v="56.188745226013452"/>
    <n v="31.109813738815806"/>
    <n v="35.460188342144647"/>
    <n v="5.3190282513216971"/>
    <n v="7.0920376684289295"/>
    <n v="3.1109813738815806"/>
    <n v="15.522047293632207"/>
  </r>
  <r>
    <x v="418"/>
    <n v="49385.246239667467"/>
    <n v="44914.509009436522"/>
    <n v="4470.7372302309441"/>
    <n v="952.25957883223737"/>
    <n v="721.25052021948898"/>
    <n v="37.083405611225629"/>
    <n v="745.12287170515742"/>
    <n v="0"/>
    <n v="-60.955757096894061"/>
    <n v="45170.134969770173"/>
    <n v="1.0697773682838008"/>
    <n v="1E-4"/>
    <n v="231.00905861274839"/>
    <n v="30.850565290992339"/>
    <n v="210.29538790003971"/>
    <n v="31.544308185005956"/>
    <n v="42.059077580007944"/>
    <n v="3.085056529099234"/>
    <n v="76.688442294113131"/>
  </r>
  <r>
    <x v="419"/>
    <n v="49612.950236824174"/>
    <n v="45121.499335880522"/>
    <n v="4491.4509009436524"/>
    <n v="955.56547660127217"/>
    <n v="758.42515815228035"/>
    <n v="37.256143585257867"/>
    <n v="748.5751501572754"/>
    <n v="0"/>
    <n v="-27.406135590252887"/>
    <n v="45057.598024285915"/>
    <n v="1.0708811669048355"/>
    <n v="1E-4"/>
    <n v="197.14031844899182"/>
    <n v="30.593477246900736"/>
    <n v="176.44128580459164"/>
    <n v="26.466192870688747"/>
    <n v="35.288257160918327"/>
    <n v="3.059347724690074"/>
    <n v="64.813797756297149"/>
  </r>
  <r>
    <x v="420"/>
    <n v="49840.495654907536"/>
    <n v="45328.345721319485"/>
    <n v="4512.1499335880526"/>
    <n v="958.87137437030697"/>
    <n v="707.30214951345067"/>
    <n v="37.428757507863772"/>
    <n v="752.02498893134202"/>
    <n v="0"/>
    <n v="-82.151596925755157"/>
    <n v="44628.677445225432"/>
    <n v="1.0719849655258702"/>
    <n v="1E-4"/>
    <n v="251.56922485685629"/>
    <n v="30.338531603176566"/>
    <n v="230.88458631296089"/>
    <n v="34.632687946944131"/>
    <n v="46.176917262592184"/>
    <n v="3.0338531603176566"/>
    <n v="83.843458369853977"/>
  </r>
  <r>
    <x v="421"/>
    <n v="50067.885136902121"/>
    <n v="45535.050564770172"/>
    <n v="4532.8345721319483"/>
    <n v="962.17727213934165"/>
    <n v="804.35080701415859"/>
    <n v="37.601249446567103"/>
    <n v="755.47242868865806"/>
    <n v="-9.31391732109579"/>
    <n v="20.591046200029261"/>
    <n v="44793.542333545993"/>
    <n v="1.0730887641469051"/>
    <n v="1E-4"/>
    <n v="157.82646512518306"/>
    <n v="31.565293025036613"/>
    <n v="137.15598078011408"/>
    <n v="20.573397117017112"/>
    <n v="27.431196156022818"/>
    <n v="3.1565293025036616"/>
    <n v="51.161122575543594"/>
  </r>
  <r>
    <x v="422"/>
    <n v="50295.121281742729"/>
    <n v="45741.616225265709"/>
    <n v="4553.5050564770172"/>
    <n v="965.48316990837634"/>
    <n v="810.37185882497261"/>
    <n v="37.773621434432904"/>
    <n v="758.91750941283624"/>
    <n v="0"/>
    <n v="13.680727977703398"/>
    <n v="44918.710315916614"/>
    <n v="1.0741925627679398"/>
    <n v="1E-4"/>
    <n v="155.11131108340373"/>
    <n v="31.302248916494641"/>
    <n v="134.45474503385049"/>
    <n v="20.168211755077571"/>
    <n v="26.8909490067701"/>
    <n v="3.1302248916494642"/>
    <n v="50.189385653497133"/>
  </r>
  <r>
    <x v="423"/>
    <n v="50522.206645048595"/>
    <n v="45948.045022522027"/>
    <n v="4574.1616225265707"/>
    <n v="968.78906767741114"/>
    <n v="841.88602328906336"/>
    <n v="37.945875470641809"/>
    <n v="762.36027042109515"/>
    <n v="0"/>
    <n v="41.579877397326456"/>
    <n v="45205.680678695207"/>
    <n v="1.0752963613889748"/>
    <n v="1E-4"/>
    <n v="126.90304438834778"/>
    <n v="31.041396842190519"/>
    <n v="106.2601646627154"/>
    <n v="15.939024699407309"/>
    <n v="21.252032932543081"/>
    <n v="3.1041396842190521"/>
    <n v="40.295197316169435"/>
  </r>
  <r>
    <x v="424"/>
    <n v="50749.143739845313"/>
    <n v="46154.339237593107"/>
    <n v="4594.8045022522028"/>
    <n v="972.09496544644594"/>
    <n v="855.52063548554747"/>
    <n v="38.118013521054756"/>
    <n v="765.8007503753671"/>
    <n v="0"/>
    <n v="51.601871589125608"/>
    <n v="45551.835351016722"/>
    <n v="1.0764001600100095"/>
    <n v="1E-4"/>
    <n v="116.57432996089847"/>
    <n v="30.782718535172265"/>
    <n v="95.944908453790049"/>
    <n v="14.391736268068506"/>
    <n v="19.188981690758013"/>
    <n v="3.0782718535172267"/>
    <n v="36.658989812343748"/>
  </r>
  <r>
    <x v="425"/>
    <n v="50975.935037274678"/>
    <n v="46360.501113515369"/>
    <n v="4615.4339237593113"/>
    <n v="975.40086321548063"/>
    <n v="794.5410987167138"/>
    <n v="38.290037518768358"/>
    <n v="769.23898729321843"/>
    <n v="0"/>
    <n v="-12.987926095273021"/>
    <n v="45523.007712539031"/>
    <n v="1.0775039586310444"/>
    <n v="1E-4"/>
    <n v="180.85976449876682"/>
    <n v="30.526195880712496"/>
    <n v="160.24357690654051"/>
    <n v="24.036536535981075"/>
    <n v="32.048715381308106"/>
    <n v="3.0526195880712499"/>
    <n v="59.137871505360437"/>
  </r>
  <r>
    <x v="426"/>
    <n v="51202.58296729283"/>
    <n v="46566.532855941296"/>
    <n v="4636.0501113515375"/>
    <n v="978.70676098451543"/>
    <n v="908.2165605490369"/>
    <n v="38.461949364660924"/>
    <n v="772.6750185585895"/>
    <n v="0"/>
    <n v="97.079592625786532"/>
    <n v="46135.778718292539"/>
    <n v="1.0786077572520791"/>
    <n v="1E-4"/>
    <n v="70.490200435478528"/>
    <n v="30.271810915039893"/>
    <n v="49.887026192885969"/>
    <n v="7.483053928932895"/>
    <n v="9.9774052385771945"/>
    <n v="3.0271810915039894"/>
    <n v="20.487640259014078"/>
  </r>
  <r>
    <x v="427"/>
    <n v="51429.089919356615"/>
    <n v="46772.436633762489"/>
    <n v="4656.6532855941296"/>
    <n v="982.01265875355011"/>
    <n v="769.97824761432548"/>
    <n v="38.633750927929476"/>
    <n v="776.10888093235496"/>
    <n v="0"/>
    <n v="-44.764384245958929"/>
    <n v="45921.505830962975"/>
    <n v="1.0797115558731141"/>
    <n v="1E-4"/>
    <n v="212.03441113922463"/>
    <n v="30.019545824081227"/>
    <n v="191.44403335710467"/>
    <n v="28.7166050035657"/>
    <n v="38.288806671420936"/>
    <n v="3.0019545824081231"/>
    <n v="70.00736625739475"/>
  </r>
  <r>
    <x v="428"/>
    <n v="51655.458243098612"/>
    <n v="46978.214579722364"/>
    <n v="4677.2436633762491"/>
    <n v="985.31855652258491"/>
    <n v="804.91561517138962"/>
    <n v="38.805444046617744"/>
    <n v="779.54061056270814"/>
    <n v="0"/>
    <n v="-13.430439437936228"/>
    <n v="45890.144115708812"/>
    <n v="1.0808153544941488"/>
    <n v="1E-4"/>
    <n v="180.4029413511953"/>
    <n v="29.769382942213884"/>
    <n v="159.82514675520815"/>
    <n v="23.973772013281224"/>
    <n v="31.965029351041633"/>
    <n v="2.9769382942213887"/>
    <n v="58.915739658544247"/>
  </r>
  <r>
    <x v="429"/>
    <n v="51881.690248990839"/>
    <n v="47183.868791018605"/>
    <n v="4697.8214579722362"/>
    <n v="988.6244542916196"/>
    <n v="935.33793546633535"/>
    <n v="38.977030528135408"/>
    <n v="782.9702429953727"/>
    <n v="0"/>
    <n v="113.39066194282729"/>
    <n v="46600.241980467574"/>
    <n v="1.0819191531151837"/>
    <n v="1E-4"/>
    <n v="53.286518825284247"/>
    <n v="29.521304751028769"/>
    <n v="32.721097695660319"/>
    <n v="4.908164654349048"/>
    <n v="6.5442195391320643"/>
    <n v="2.952130475102877"/>
    <n v="14.404514668583989"/>
  </r>
  <r>
    <x v="430"/>
    <n v="52107.788208997481"/>
    <n v="47389.40132989562"/>
    <n v="4718.3868791018604"/>
    <n v="991.9303520606544"/>
    <n v="764.86233273084849"/>
    <n v="39.148512149768635"/>
    <n v="786.39781318364339"/>
    <n v="0"/>
    <n v="-60.683992602563585"/>
    <n v="46292.246693200461"/>
    <n v="1.0830229517362184"/>
    <n v="1E-4"/>
    <n v="227.06801932980591"/>
    <n v="29.275293878103529"/>
    <n v="206.51476544210436"/>
    <n v="30.977214816315652"/>
    <n v="41.302953088420878"/>
    <n v="2.927529387810353"/>
    <n v="75.207697292546882"/>
  </r>
  <r>
    <x v="431"/>
    <n v="52333.754357216611"/>
    <n v="47594.814224227048"/>
    <n v="4738.9401329895618"/>
    <n v="995.23624982968909"/>
    <n v="801.80654232616268"/>
    <n v="39.319890659182171"/>
    <n v="789.8233554982603"/>
    <n v="0"/>
    <n v="-27.336703831279845"/>
    <n v="46179.70974771621"/>
    <n v="1.0841267503572531"/>
    <n v="1E-4"/>
    <n v="193.4297075035264"/>
    <n v="29.031333095786"/>
    <n v="172.88841807038352"/>
    <n v="25.933262710557528"/>
    <n v="34.577683614076705"/>
    <n v="2.9031333095786001"/>
    <n v="63.414079634212833"/>
  </r>
  <r>
    <x v="432"/>
    <n v="52559.590890511361"/>
    <n v="47800.109468088653"/>
    <n v="4759.4814224227048"/>
    <n v="998.54214759872389"/>
    <n v="750.99664351719161"/>
    <n v="39.491167774913016"/>
    <n v="793.24690373711746"/>
    <n v="0"/>
    <n v="-81.741427994838858"/>
    <n v="45750.78916865572"/>
    <n v="1.0852305489782881"/>
    <n v="1E-4"/>
    <n v="247.54550408153227"/>
    <n v="28.789405319987782"/>
    <n v="227.01597969537124"/>
    <n v="34.052396954305685"/>
    <n v="45.403195939074251"/>
    <n v="2.8789405319987784"/>
    <n v="82.334533425378709"/>
  </r>
  <r>
    <x v="433"/>
    <n v="52785.299969130465"/>
    <n v="48005.289022321602"/>
    <n v="4780.0109468088658"/>
    <n v="1001.8480453677587"/>
    <n v="848.92878158309168"/>
    <n v="39.662345186855873"/>
    <n v="796.66849113481089"/>
    <n v="-7.7647910379070062"/>
    <n v="20.362736299331871"/>
    <n v="45915.65405697628"/>
    <n v="1.0863343475993228"/>
    <n v="1E-4"/>
    <n v="152.91926378466701"/>
    <n v="30.583852756933403"/>
    <n v="132.40130836137268"/>
    <n v="19.860196254205903"/>
    <n v="26.480261672274537"/>
    <n v="3.0583852756933405"/>
    <n v="49.398843202173779"/>
  </r>
  <r>
    <x v="434"/>
    <n v="53010.883717318524"/>
    <n v="48210.354815086364"/>
    <n v="4800.5289022321604"/>
    <n v="1005.1539431367934"/>
    <n v="853.41801046900298"/>
    <n v="39.833424556740546"/>
    <n v="800.08815037202669"/>
    <n v="0"/>
    <n v="13.496435540235794"/>
    <n v="46040.822039346902"/>
    <n v="1.0874381462203577"/>
    <n v="1E-4"/>
    <n v="151.73593266779039"/>
    <n v="30.328987317292292"/>
    <n v="131.22935339131436"/>
    <n v="19.684403008697153"/>
    <n v="26.245870678262875"/>
    <n v="3.0328987317292295"/>
    <n v="48.963172418689254"/>
  </r>
  <r>
    <x v="435"/>
    <n v="53236.344223916065"/>
    <n v="48415.308742407426"/>
    <n v="4821.0354815086366"/>
    <n v="1008.4598409058281"/>
    <n v="884.73530958350727"/>
    <n v="40.004407518601333"/>
    <n v="803.50591358477277"/>
    <n v="0"/>
    <n v="41.224988480133177"/>
    <n v="46327.792402125495"/>
    <n v="1.0885419448413924"/>
    <n v="1E-4"/>
    <n v="123.72453132232079"/>
    <n v="30.076245756314854"/>
    <n v="103.22913859021537"/>
    <n v="15.484370788532305"/>
    <n v="20.645827718043076"/>
    <n v="3.0076245756314854"/>
    <n v="39.137823082206864"/>
  </r>
  <r>
    <x v="436"/>
    <n v="53461.683542949577"/>
    <n v="48620.152668708834"/>
    <n v="4841.5308742407424"/>
    <n v="1011.7657386748629"/>
    <n v="898.28733515190697"/>
    <n v="40.175295679238637"/>
    <n v="806.9218123734571"/>
    <n v="0"/>
    <n v="51.190227099211242"/>
    <n v="46673.947074447016"/>
    <n v="1.0896457434624274"/>
    <n v="1E-4"/>
    <n v="113.47840352295589"/>
    <n v="29.825610375012229"/>
    <n v="92.994010892814913"/>
    <n v="13.949101633922236"/>
    <n v="18.598802178562984"/>
    <n v="2.982561037501223"/>
    <n v="35.530464849986437"/>
  </r>
  <r>
    <x v="437"/>
    <n v="53686.903694211804"/>
    <n v="48824.88842734092"/>
    <n v="4862.0152668708834"/>
    <n v="1015.0716364438977"/>
    <n v="837.67528390740222"/>
    <n v="40.346090618672854"/>
    <n v="810.33587781181393"/>
    <n v="0"/>
    <n v="-13.006684523084559"/>
    <n v="46645.119435969318"/>
    <n v="1.0907495420834621"/>
    <n v="1E-4"/>
    <n v="177.39635253649544"/>
    <n v="29.577063621887127"/>
    <n v="156.92277667328653"/>
    <n v="23.53841650099298"/>
    <n v="31.384555334657307"/>
    <n v="2.9577063621887127"/>
    <n v="57.880678197839003"/>
  </r>
  <r>
    <x v="438"/>
    <n v="53912.006663832261"/>
    <n v="49029.517821098168"/>
    <n v="4882.488842734092"/>
    <n v="1018.3775342129323"/>
    <n v="950.66780266977094"/>
    <n v="40.516793890590698"/>
    <n v="813.74814045568201"/>
    <n v="0"/>
    <n v="96.402868323498197"/>
    <n v="47257.890441722826"/>
    <n v="1.091853340704497"/>
    <n v="1E-4"/>
    <n v="67.709731543161411"/>
    <n v="29.330588091704733"/>
    <n v="47.24679216743607"/>
    <n v="7.0870188251154103"/>
    <n v="9.4493584334872143"/>
    <n v="2.9330588091704737"/>
    <n v="19.469436067773096"/>
  </r>
  <r>
    <x v="439"/>
    <n v="54136.994404838319"/>
    <n v="49234.042622728499"/>
    <n v="4902.951782109817"/>
    <n v="1021.6834319819671"/>
    <n v="813.25134224127953"/>
    <n v="40.6874070227841"/>
    <n v="817.15863035163613"/>
    <n v="0"/>
    <n v="-44.594695133140696"/>
    <n v="47043.617554393262"/>
    <n v="1.0929571393255317"/>
    <n v="1E-4"/>
    <n v="208.43208974068762"/>
    <n v="29.08616652427386"/>
    <n v="187.97960957765463"/>
    <n v="28.196941436648192"/>
    <n v="37.59592191553093"/>
    <n v="2.9086166524273862"/>
    <n v="68.701480004606509"/>
  </r>
  <r>
    <x v="440"/>
    <n v="54361.868837706876"/>
    <n v="49438.464575434024"/>
    <n v="4923.4042622728502"/>
    <n v="1024.9893297510018"/>
    <n v="847.97875742160784"/>
    <n v="40.857931517581811"/>
    <n v="820.56737704547493"/>
    <n v="0"/>
    <n v="-13.446551141448916"/>
    <n v="47012.255839139107"/>
    <n v="1.0940609379465667"/>
    <n v="1E-4"/>
    <n v="177.01057232939399"/>
    <n v="28.843781803238244"/>
    <n v="156.56837705884118"/>
    <n v="23.485256558826176"/>
    <n v="31.313675411768237"/>
    <n v="2.8843781803238246"/>
    <n v="57.683310150918231"/>
  </r>
  <r>
    <x v="441"/>
    <n v="54586.631850906895"/>
    <n v="49642.785393363491"/>
    <n v="4943.8464575434027"/>
    <n v="1028.2952275200366"/>
    <n v="977.63037507808099"/>
    <n v="41.028368852273751"/>
    <n v="823.97440959056701"/>
    <n v="0"/>
    <n v="112.62759663524029"/>
    <n v="47722.353703897861"/>
    <n v="1.0951647365676014"/>
    <n v="1E-4"/>
    <n v="50.664852441955645"/>
    <n v="28.603416954877925"/>
    <n v="30.232770649009581"/>
    <n v="4.5349155973514366"/>
    <n v="6.0465541298019163"/>
    <n v="2.8603416954877927"/>
    <n v="13.441811422641145"/>
  </r>
  <r>
    <x v="442"/>
    <n v="54811.285301432858"/>
    <n v="49847.006762096506"/>
    <n v="4964.2785393363492"/>
    <n v="1031.6011252890714"/>
    <n v="808.15441644627492"/>
    <n v="41.198720479528355"/>
    <n v="827.37975655605817"/>
    <n v="0"/>
    <n v="-60.424060589311573"/>
    <n v="47414.358416630748"/>
    <n v="1.0962685351886361"/>
    <n v="1E-4"/>
    <n v="223.44670884279651"/>
    <n v="28.365055146920611"/>
    <n v="203.0245719694949"/>
    <n v="30.453685795424235"/>
    <n v="40.60491439389898"/>
    <n v="2.8365055146920612"/>
    <n v="73.895105704015279"/>
  </r>
  <r>
    <x v="443"/>
    <n v="55035.831015329321"/>
    <n v="50051.130339119671"/>
    <n v="4984.7006762096507"/>
    <n v="1034.907023058106"/>
    <n v="844.88170035850681"/>
    <n v="41.368987827802911"/>
    <n v="830.78344603494179"/>
    <n v="0"/>
    <n v="-27.270733504237928"/>
    <n v="47301.821471146497"/>
    <n v="1.097372333809671"/>
    <n v="1E-4"/>
    <n v="190.0253226995992"/>
    <n v="28.12867968736294"/>
    <n v="169.61296499728269"/>
    <n v="25.441944749592402"/>
    <n v="33.92259299945654"/>
    <n v="2.8128679687362941"/>
    <n v="62.177405717785234"/>
  </r>
  <r>
    <x v="444"/>
    <n v="55260.270788206792"/>
    <n v="50255.157754294822"/>
    <n v="5005.1130339119672"/>
    <n v="1038.2129208271408"/>
    <n v="794.37567902462615"/>
    <n v="41.539172301747087"/>
    <n v="834.1855056519945"/>
    <n v="0"/>
    <n v="-81.348998929115439"/>
    <n v="46872.900892086014"/>
    <n v="1.0984761324307057"/>
    <n v="1E-4"/>
    <n v="243.83724180251465"/>
    <n v="27.894274023301584"/>
    <n v="223.43450028499956"/>
    <n v="33.515175042749931"/>
    <n v="44.686900056999917"/>
    <n v="2.7894274023301584"/>
    <n v="80.99150250208001"/>
  </r>
  <r>
    <x v="445"/>
    <n v="55484.606385748899"/>
    <n v="50459.090610319414"/>
    <n v="5025.5157754294823"/>
    <n v="1041.5188185961756"/>
    <n v="892.56898452037751"/>
    <n v="41.709275282599727"/>
    <n v="837.58596257158035"/>
    <n v="-6.8696597412208078"/>
    <n v="20.14340640741834"/>
    <n v="47037.765780406568"/>
    <n v="1.0995799310517407"/>
    <n v="1E-4"/>
    <n v="148.94983407579809"/>
    <n v="29.78996681515962"/>
    <n v="128.55654847333881"/>
    <n v="19.283482271000821"/>
    <n v="25.711309694667762"/>
    <n v="2.9789966815159623"/>
    <n v="47.973788647184548"/>
  </r>
  <r>
    <x v="446"/>
    <n v="55708.839544211245"/>
    <n v="50662.930483179305"/>
    <n v="5045.9090610319417"/>
    <n v="1044.8247163652104"/>
    <n v="896.18340351099266"/>
    <n v="41.879298128579016"/>
    <n v="840.98484350532351"/>
    <n v="0"/>
    <n v="13.319261877090222"/>
    <n v="47162.933762777189"/>
    <n v="1.1006837296727754"/>
    <n v="1E-4"/>
    <n v="148.64131285421774"/>
    <n v="29.541717091699958"/>
    <n v="128.25732556822913"/>
    <n v="19.23859883523437"/>
    <n v="25.651465113645827"/>
    <n v="2.9541717091699962"/>
    <n v="47.844235658050195"/>
  </r>
  <r>
    <x v="447"/>
    <n v="55932.971970911822"/>
    <n v="50866.678922593892"/>
    <n v="5066.2930483179307"/>
    <n v="1048.1306141342452"/>
    <n v="927.31571736771355"/>
    <n v="42.04924217526618"/>
    <n v="844.38217471965504"/>
    <n v="0"/>
    <n v="40.88430047279234"/>
    <n v="47449.904125555782"/>
    <n v="1.1017875282938103"/>
    <n v="1E-4"/>
    <n v="120.81489676653166"/>
    <n v="29.295536115935793"/>
    <n v="100.44005282507351"/>
    <n v="15.066007923761026"/>
    <n v="20.088010565014702"/>
    <n v="2.9295536115935796"/>
    <n v="38.08357210036931"/>
  </r>
  <r>
    <x v="448"/>
    <n v="56157.005344713325"/>
    <n v="51070.337452453939"/>
    <n v="5086.6678922593892"/>
    <n v="1051.4365119032798"/>
    <n v="940.79215016013029"/>
    <n v="42.219108735982758"/>
    <n v="847.77798204323153"/>
    <n v="0"/>
    <n v="50.795059380915944"/>
    <n v="47796.058797877304"/>
    <n v="1.102891326914845"/>
    <n v="1E-4"/>
    <n v="110.64436174314949"/>
    <n v="29.051406648302994"/>
    <n v="90.278508757144664"/>
    <n v="13.541776313571699"/>
    <n v="18.055701751428934"/>
    <n v="2.9051406648302995"/>
    <n v="34.502618729830935"/>
  </r>
  <r>
    <x v="449"/>
    <n v="56380.941316497418"/>
    <n v="51273.907571252021"/>
    <n v="5107.0337452453941"/>
    <n v="1054.7424096723146"/>
    <n v="880.53596278416535"/>
    <n v="42.388899102161574"/>
    <n v="851.17229087423232"/>
    <n v="0"/>
    <n v="-13.025227192228474"/>
    <n v="47767.231159399613"/>
    <n v="1.10399512553588"/>
    <n v="1E-4"/>
    <n v="174.20644688814923"/>
    <n v="28.809311592900471"/>
    <n v="153.84943500834106"/>
    <n v="23.077415251251157"/>
    <n v="30.769887001668213"/>
    <n v="2.8809311592900473"/>
    <n v="56.72823341220942"/>
  </r>
  <r>
    <x v="450"/>
    <n v="56604.781509631037"/>
    <n v="51477.390752505838"/>
    <n v="5127.3907571252021"/>
    <n v="1058.0483074413494"/>
    <n v="992.87711966042593"/>
    <n v="42.55861454371162"/>
    <n v="854.56512618753368"/>
    <n v="0"/>
    <n v="95.753378929180641"/>
    <n v="48380.002165153113"/>
    <n v="1.1050989241569147"/>
    <n v="1E-4"/>
    <n v="65.171187780923447"/>
    <n v="28.569233996292965"/>
    <n v="44.822869655540671"/>
    <n v="6.7234304483311007"/>
    <n v="8.9645739311081343"/>
    <n v="2.8569233996292969"/>
    <n v="18.54492777906853"/>
  </r>
  <r>
    <x v="451"/>
    <n v="56828.527520425043"/>
    <n v="51680.788445174461"/>
    <n v="5147.7390752505844"/>
    <n v="1061.3542052103842"/>
    <n v="856.25228257019899"/>
    <n v="42.728256309376683"/>
    <n v="857.95651254176403"/>
    <n v="0"/>
    <n v="-44.432486280941681"/>
    <n v="48165.72927782355"/>
    <n v="1.1062027227779496"/>
    <n v="1E-4"/>
    <n v="205.10192264018519"/>
    <n v="28.33115704632386"/>
    <n v="184.76215337332269"/>
    <n v="27.714323005998402"/>
    <n v="36.952430674664541"/>
    <n v="2.833115704632386"/>
    <n v="67.499869385295327"/>
  </r>
  <r>
    <x v="452"/>
    <n v="57052.180918585087"/>
    <n v="51884.102074067639"/>
    <n v="5168.0788445174467"/>
    <n v="1064.6601029794188"/>
    <n v="890.78175149281276"/>
    <n v="42.897825627088203"/>
    <n v="861.34647408624107"/>
    <n v="0"/>
    <n v="-13.462548220516529"/>
    <n v="48134.367562569394"/>
    <n v="1.1073065213989843"/>
    <n v="1E-4"/>
    <n v="173.87835148660599"/>
    <n v="28.095064070937827"/>
    <n v="153.54698859728887"/>
    <n v="23.03204828959333"/>
    <n v="30.709397719457776"/>
    <n v="2.809506407093783"/>
    <n v="56.550952416144888"/>
  </r>
  <r>
    <x v="453"/>
    <n v="57275.743247655068"/>
    <n v="52087.333040248304"/>
    <n v="5188.4102074067641"/>
    <n v="1067.9660007484536"/>
    <n v="1019.6974400599254"/>
    <n v="43.067323704312052"/>
    <n v="864.73503456779395"/>
    <n v="0"/>
    <n v="111.89508178781945"/>
    <n v="48844.465427328156"/>
    <n v="1.108410320020019"/>
    <n v="1E-4"/>
    <n v="48.268560688528169"/>
    <n v="27.860938537013343"/>
    <n v="27.945464070461639"/>
    <n v="4.1918196105692456"/>
    <n v="5.5890928140923286"/>
    <n v="2.7860938537013347"/>
    <n v="12.567006278362909"/>
  </r>
  <r>
    <x v="454"/>
    <n v="57499.216025453148"/>
    <n v="52290.482721428321"/>
    <n v="5208.7333040248304"/>
    <n v="1071.2718985174884"/>
    <n v="851.18376611293195"/>
    <n v="43.236751728389699"/>
    <n v="868.12221733747174"/>
    <n v="0"/>
    <n v="-60.175202952929446"/>
    <n v="48536.470140061036"/>
    <n v="1.109514118641054"/>
    <n v="1E-4"/>
    <n v="220.0881324045564"/>
    <n v="27.6287640492049"/>
    <n v="199.77316428655467"/>
    <n v="29.965974642983198"/>
    <n v="39.954632857310941"/>
    <n v="2.7628764049204904"/>
    <n v="72.683483905214629"/>
  </r>
  <r>
    <x v="455"/>
    <n v="57722.600744500545"/>
    <n v="52493.552472357711"/>
    <n v="5229.0482721428325"/>
    <n v="1074.5777962865232"/>
    <n v="887.7061714037053"/>
    <n v="43.40611086687359"/>
    <n v="871.50804535713871"/>
    <n v="0"/>
    <n v="-27.207984820307068"/>
    <n v="48423.933194576784"/>
    <n v="1.1106179172620887"/>
    <n v="1E-4"/>
    <n v="186.87162488281785"/>
    <n v="27.398524348794858"/>
    <n v="166.56464978987879"/>
    <n v="24.984697468481816"/>
    <n v="33.312929957975761"/>
    <n v="2.7398524348794862"/>
    <n v="61.037479861337069"/>
  </r>
  <r>
    <x v="456"/>
    <n v="57945.898872443075"/>
    <n v="52696.543625207305"/>
    <n v="5249.3552472357715"/>
    <n v="1077.883694055558"/>
    <n v="837.49476923993325"/>
    <n v="43.575402267856937"/>
    <n v="874.89254120596183"/>
    <n v="0"/>
    <n v="-80.973174233885558"/>
    <n v="47995.012615516302"/>
    <n v="1.1117217158831236"/>
    <n v="1E-4"/>
    <n v="240.3889248156247"/>
    <n v="27.170203312554904"/>
    <n v="220.08980953066566"/>
    <n v="33.013471429599846"/>
    <n v="44.017961906133138"/>
    <n v="2.7170203312554904"/>
    <n v="79.748453666988468"/>
  </r>
  <r>
    <x v="457"/>
    <n v="58169.111852465838"/>
    <n v="52899.457489945111"/>
    <n v="5269.6543625207305"/>
    <n v="1081.1895918245925"/>
    <n v="935.8072829996546"/>
    <n v="43.744627060298093"/>
    <n v="878.27572708678838"/>
    <n v="-6.1455890304741274"/>
    <n v="19.932517883042401"/>
    <n v="48159.877503836862"/>
    <n v="1.1128255145041583"/>
    <n v="1E-4"/>
    <n v="145.38230882493792"/>
    <n v="29.076461764987585"/>
    <n v="125.09092235115713"/>
    <n v="18.763638352673571"/>
    <n v="25.018184470231429"/>
    <n v="2.9076461764987585"/>
    <n v="46.689468999403758"/>
  </r>
  <r>
    <x v="458"/>
    <n v="58392.241103700828"/>
    <n v="53102.295354706315"/>
    <n v="5289.9457489945116"/>
    <n v="1084.4954895936273"/>
    <n v="938.7201973392182"/>
    <n v="43.913786354339422"/>
    <n v="881.65762483241849"/>
    <n v="0"/>
    <n v="13.148786152460247"/>
    <n v="48285.045486207477"/>
    <n v="1.1139293131251933"/>
    <n v="1E-4"/>
    <n v="145.77529225440912"/>
    <n v="28.834157916946022"/>
    <n v="125.49150577828823"/>
    <n v="18.823725866743235"/>
    <n v="25.098301155657648"/>
    <n v="2.8834157916946026"/>
    <n v="46.805442814095485"/>
  </r>
  <r>
    <x v="459"/>
    <n v="58615.288021627835"/>
    <n v="53305.058486157206"/>
    <n v="5310.2295354706321"/>
    <n v="1087.8013873626621"/>
    <n v="969.6780895503606"/>
    <n v="44.082881241620932"/>
    <n v="885.0382559117719"/>
    <n v="0"/>
    <n v="40.556952396967738"/>
    <n v="48572.01584898607"/>
    <n v="1.115033111746228"/>
    <n v="1E-4"/>
    <n v="118.12329781230153"/>
    <n v="28.593873267638138"/>
    <n v="97.846984667212382"/>
    <n v="14.677047700081857"/>
    <n v="19.569396933442476"/>
    <n v="2.8593873267638141"/>
    <n v="37.10583196028815"/>
  </r>
  <r>
    <x v="460"/>
    <n v="58838.253978468667"/>
    <n v="53507.748129852946"/>
    <n v="5330.5058486157213"/>
    <n v="1091.1072851316967"/>
    <n v="983.08492533828814"/>
    <n v="44.251912795588602"/>
    <n v="888.41764143595344"/>
    <n v="0"/>
    <n v="50.415371106746129"/>
    <n v="48918.170521307591"/>
    <n v="1.1161369103672629"/>
    <n v="1E-4"/>
    <n v="108.02235979340855"/>
    <n v="28.355590990407823"/>
    <n v="87.753395423834263"/>
    <n v="13.16300931357514"/>
    <n v="17.550679084766852"/>
    <n v="2.8355590990407826"/>
    <n v="33.54924749738278"/>
  </r>
  <r>
    <x v="461"/>
    <n v="59061.140323574757"/>
    <n v="53710.365510589458"/>
    <n v="5350.7748129852953"/>
    <n v="1094.4131829007315"/>
    <n v="923.1731402333686"/>
    <n v="44.420882071797678"/>
    <n v="891.79580216421573"/>
    <n v="0"/>
    <n v="-13.043544002644762"/>
    <n v="48889.3428828299"/>
    <n v="1.1172407089882976"/>
    <n v="1E-4"/>
    <n v="171.2400426673629"/>
    <n v="28.11929439882109"/>
    <n v="150.97830459371198"/>
    <n v="22.646745689056797"/>
    <n v="30.195660918742398"/>
    <n v="2.8119294398821091"/>
    <n v="55.654336047681298"/>
  </r>
  <r>
    <x v="462"/>
    <n v="59283.948383808347"/>
    <n v="53912.9118327494"/>
    <n v="5371.0365510589463"/>
    <n v="1097.7190806697663"/>
    <n v="1034.8920224950314"/>
    <n v="44.589790108210792"/>
    <n v="895.17275850982435"/>
    <n v="0"/>
    <n v="95.129473876996244"/>
    <n v="49502.113888583408"/>
    <n v="1.1183445076093326"/>
    <n v="1E-4"/>
    <n v="62.82705817473493"/>
    <n v="27.884966945497581"/>
    <n v="42.572425958740496"/>
    <n v="6.3858638938110746"/>
    <n v="8.5144851917480988"/>
    <n v="2.7884966945497585"/>
    <n v="17.688845780108934"/>
  </r>
  <r>
    <x v="463"/>
    <n v="59506.679463917317"/>
    <n v="54115.388280642379"/>
    <n v="5391.2911832749405"/>
    <n v="1101.0249784388011"/>
    <n v="899.02989121928908"/>
    <n v="44.758637925491222"/>
    <n v="898.54853054582338"/>
    <n v="0"/>
    <n v="-44.277277252025556"/>
    <n v="49287.841001253837"/>
    <n v="1.1194483062303673"/>
    <n v="1E-4"/>
    <n v="201.99508721951202"/>
    <n v="27.652592220951767"/>
    <n v="181.74744243021451"/>
    <n v="27.262116364532176"/>
    <n v="36.349488486042901"/>
    <n v="2.7652592220951768"/>
    <n v="66.376864072670259"/>
  </r>
  <r>
    <x v="464"/>
    <n v="59729.334846903745"/>
    <n v="54317.796018839508"/>
    <n v="5411.5388280642383"/>
    <n v="1104.3308762078359"/>
    <n v="933.37214962830114"/>
    <n v="44.927426527291168"/>
    <n v="901.92313801070634"/>
    <n v="0"/>
    <n v="-13.478414909696353"/>
    <n v="49256.479285999681"/>
    <n v="1.1205521048514022"/>
    <n v="1E-4"/>
    <n v="170.95872657953475"/>
    <n v="27.422153952443839"/>
    <n v="150.71795275982186"/>
    <n v="22.607692913973278"/>
    <n v="30.143590551964373"/>
    <n v="2.7422153952443842"/>
    <n v="55.493498861182033"/>
  </r>
  <r>
    <x v="465"/>
    <n v="59951.915794386332"/>
    <n v="54520.136192502381"/>
    <n v="5431.7796018839508"/>
    <n v="1107.6367739768705"/>
    <n v="1061.5840343457239"/>
    <n v="45.09615690053532"/>
    <n v="905.2966003139918"/>
    <n v="0"/>
    <n v="111.19127713119687"/>
    <n v="49966.577150758443"/>
    <n v="1.1216559034724369"/>
    <n v="1E-4"/>
    <n v="46.052739631146551"/>
    <n v="27.19363600284014"/>
    <n v="25.818722264858479"/>
    <n v="3.8728083397287718"/>
    <n v="5.163744452971696"/>
    <n v="2.719363600284014"/>
    <n v="11.755916392984481"/>
  </r>
  <r>
    <x v="466"/>
    <n v="60174.423546956823"/>
    <n v="54722.409927706583"/>
    <n v="5452.0136192502387"/>
    <n v="1110.9426717459053"/>
    <n v="893.9970412905285"/>
    <n v="45.264830015699587"/>
    <n v="908.66893654170633"/>
    <n v="0"/>
    <n v="-59.936725266877403"/>
    <n v="49658.58186349133"/>
    <n v="1.1227597020934716"/>
    <n v="1E-4"/>
    <n v="216.94563045537677"/>
    <n v="26.967022369483139"/>
    <n v="196.71825693495703"/>
    <n v="29.507738540243551"/>
    <n v="39.343651386991411"/>
    <n v="2.696702236948314"/>
    <n v="71.548092164183274"/>
  </r>
  <r>
    <x v="467"/>
    <n v="60396.859324530407"/>
    <n v="54924.618331759746"/>
    <n v="5472.2409927706585"/>
    <n v="1114.2485695149401"/>
    <n v="930.32537314712988"/>
    <n v="45.433446827085319"/>
    <n v="912.04016546177638"/>
    <n v="0"/>
    <n v="-27.148239141731782"/>
    <n v="49546.044918007072"/>
    <n v="1.1238635007145066"/>
    <n v="1E-4"/>
    <n v="183.92319636781019"/>
    <n v="26.742297183070779"/>
    <n v="163.70235596249404"/>
    <n v="24.555353394374105"/>
    <n v="32.740471192498809"/>
    <n v="2.6742297183070782"/>
    <n v="59.970054305179985"/>
  </r>
  <r>
    <x v="468"/>
    <n v="60619.224326690368"/>
    <n v="55126.76249351439"/>
    <n v="5492.4618331759748"/>
    <n v="1117.5544672839749"/>
    <n v="880.39939977165818"/>
    <n v="45.602008273088821"/>
    <n v="915.41030552932909"/>
    <n v="0"/>
    <n v="-80.612914030759697"/>
    <n v="49117.124338946589"/>
    <n v="1.1249672993355413"/>
    <n v="1E-4"/>
    <n v="237.15506751231669"/>
    <n v="26.51944470654519"/>
    <n v="216.94065133685217"/>
    <n v="32.541097700527821"/>
    <n v="43.388130267370435"/>
    <n v="2.6519444706545192"/>
    <n v="78.58117243855277"/>
  </r>
  <r>
    <x v="469"/>
    <n v="60841.519733026929"/>
    <n v="55328.84348367549"/>
    <n v="5512.6762493514398"/>
    <n v="1120.8603650530094"/>
    <n v="978.784635233264"/>
    <n v="45.770515276466455"/>
    <n v="918.77937489190651"/>
    <n v="-5.4948304244644142"/>
    <n v="19.729575489355504"/>
    <n v="49281.98922726715"/>
    <n v="1.1260710979565762"/>
    <n v="1E-4"/>
    <n v="142.07572981974545"/>
    <n v="28.41514596394909"/>
    <n v="121.86763080363653"/>
    <n v="18.280144620545478"/>
    <n v="24.373526160727309"/>
    <n v="2.8415145963949091"/>
    <n v="45.495185377667696"/>
  </r>
  <r>
    <x v="470"/>
    <n v="61063.746703470497"/>
    <n v="55530.862355102945"/>
    <n v="5532.8843483675491"/>
    <n v="1124.1662628220442"/>
    <n v="981.07098119330874"/>
    <n v="45.938968744595329"/>
    <n v="922.14739139459152"/>
    <n v="0"/>
    <n v="12.984621054121963"/>
    <n v="49407.157209637771"/>
    <n v="1.1271748965776109"/>
    <n v="1E-4"/>
    <n v="143.09528162873551"/>
    <n v="28.178353080916182"/>
    <n v="122.89339448599003"/>
    <n v="18.434009172898502"/>
    <n v="24.578678897198007"/>
    <n v="2.8178353080916185"/>
    <n v="45.830523378188126"/>
  </r>
  <r>
    <x v="471"/>
    <n v="61285.906378619271"/>
    <n v="55732.820143108976"/>
    <n v="5553.0862355102945"/>
    <n v="1127.472160591079"/>
    <n v="1011.8638952061441"/>
    <n v="46.107369569729578"/>
    <n v="925.51437258504905"/>
    <n v="0"/>
    <n v="40.242153051365413"/>
    <n v="49694.127572416357"/>
    <n v="1.1282786951986459"/>
    <n v="1E-4"/>
    <n v="115.60826538493495"/>
    <n v="27.943533471908548"/>
    <n v="95.412486584331418"/>
    <n v="14.311872987649712"/>
    <n v="19.082497316866284"/>
    <n v="2.7943533471908548"/>
    <n v="36.188723651706852"/>
  </r>
  <r>
    <x v="472"/>
    <n v="61507.999880061507"/>
    <n v="55934.717865750608"/>
    <n v="5573.2820143108984"/>
    <n v="1130.7780583601138"/>
    <n v="1025.2062998825913"/>
    <n v="46.275718629252452"/>
    <n v="928.88033571848291"/>
    <n v="0"/>
    <n v="50.050245534855918"/>
    <n v="50040.282244737879"/>
    <n v="1.1293824938196806"/>
    <n v="1E-4"/>
    <n v="105.57175847752251"/>
    <n v="27.710670692975974"/>
    <n v="85.381986213360506"/>
    <n v="12.807297932004076"/>
    <n v="17.076397242672101"/>
    <n v="2.7710670692975974"/>
    <n v="32.654762243973778"/>
  </r>
  <r>
    <x v="473"/>
    <n v="61730.028310692316"/>
    <n v="56136.556524117252"/>
    <n v="5593.4717865750608"/>
    <n v="1134.0839561291486"/>
    <n v="965.62768756206322"/>
    <n v="46.444016785924155"/>
    <n v="932.24529776251018"/>
    <n v="0"/>
    <n v="-13.061626986371119"/>
    <n v="50011.454606260188"/>
    <n v="1.1304862924407155"/>
    <n v="1E-4"/>
    <n v="168.45626856708543"/>
    <n v="27.479748437201174"/>
    <n v="148.27240273042025"/>
    <n v="22.240860409563037"/>
    <n v="29.654480546084052"/>
    <n v="2.7479748437201175"/>
    <n v="54.643315799367201"/>
  </r>
  <r>
    <x v="474"/>
    <n v="61951.992755025203"/>
    <n v="56338.337102613477"/>
    <n v="5613.6556524117259"/>
    <n v="1137.3898538981832"/>
    <n v="1076.7511760298303"/>
    <n v="46.612264888125509"/>
    <n v="935.60927540195416"/>
    <n v="0"/>
    <n v="94.529635739750631"/>
    <n v="50624.225612013695"/>
    <n v="1.1315900910617502"/>
    <n v="1E-4"/>
    <n v="60.638677868352943"/>
    <n v="27.250750533557831"/>
    <n v="40.460620018730879"/>
    <n v="6.0690930028096313"/>
    <n v="8.0921240037461768"/>
    <n v="2.7250750533557833"/>
    <n v="16.886292059911593"/>
  </r>
  <r>
    <x v="475"/>
    <n v="62173.894279498491"/>
    <n v="56540.060569237139"/>
    <n v="5633.8337102613477"/>
    <n v="1140.695751667218"/>
    <n v="941.62412097981758"/>
    <n v="46.780463770097718"/>
    <n v="938.97228504355792"/>
    <n v="0"/>
    <n v="-44.128627833838095"/>
    <n v="50409.952724684132"/>
    <n v="1.1326938896827852"/>
    <n v="1E-4"/>
    <n v="199.07163068740044"/>
    <n v="27.023660945778182"/>
    <n v="178.89928402503392"/>
    <n v="26.834892603755087"/>
    <n v="35.779856805006787"/>
    <n v="2.7023660945778185"/>
    <n v="65.317115503339693"/>
  </r>
  <r>
    <x v="476"/>
    <n v="62395.733932776478"/>
    <n v="56741.727875852768"/>
    <n v="5654.0060569237139"/>
    <n v="1144.0016494362528"/>
    <n v="975.78881908320932"/>
    <n v="46.948614252177897"/>
    <n v="942.33434282061899"/>
    <n v="0"/>
    <n v="-13.494137989587555"/>
    <n v="50378.591009429969"/>
    <n v="1.1337976883038199"/>
    <n v="1E-4"/>
    <n v="168.2128303530435"/>
    <n v="26.798463771230033"/>
    <n v="148.04609969147987"/>
    <n v="22.206914953721981"/>
    <n v="29.609219938295976"/>
    <n v="2.6798463771230034"/>
    <n v="54.495981269140962"/>
  </r>
  <r>
    <x v="477"/>
    <n v="62617.512746045788"/>
    <n v="56943.339958460507"/>
    <n v="5674.1727875852775"/>
    <n v="1147.3075472052874"/>
    <n v="1103.3266715918342"/>
    <n v="47.116717141030946"/>
    <n v="945.69546459754611"/>
    <n v="0"/>
    <n v="110.51448985325715"/>
    <n v="51088.688874188731"/>
    <n v="1.1349014869248548"/>
    <n v="1E-4"/>
    <n v="43.980875613453236"/>
    <n v="26.575143239803118"/>
    <n v="23.819667352679971"/>
    <n v="3.5729501029019954"/>
    <n v="4.7639334705359948"/>
    <n v="2.6575143239803118"/>
    <n v="10.994397897418303"/>
  </r>
  <r>
    <x v="478"/>
    <n v="62839.231733306537"/>
    <n v="57144.897737460487"/>
    <n v="5694.333995846051"/>
    <n v="1150.6134449743222"/>
    <n v="936.63244900163943"/>
    <n v="47.28477322987731"/>
    <n v="949.05566597434176"/>
    <n v="0"/>
    <n v="-59.70799020257963"/>
    <n v="50780.693586921618"/>
    <n v="1.1360052855458895"/>
    <n v="1E-4"/>
    <n v="213.98099597268276"/>
    <n v="26.353683712804759"/>
    <n v="193.82521807268495"/>
    <n v="29.073782710902741"/>
    <n v="38.765043614536992"/>
    <n v="2.6353683712804763"/>
    <n v="70.474194696720204"/>
  </r>
  <r>
    <x v="479"/>
    <n v="63060.891891658881"/>
    <n v="57346.402117912832"/>
    <n v="5714.4897737460487"/>
    <n v="1153.919342743357"/>
    <n v="972.77644886589701"/>
    <n v="47.452783298717094"/>
    <n v="952.41496229100812"/>
    <n v="0"/>
    <n v="-27.091296723828261"/>
    <n v="50668.156641437366"/>
    <n v="1.1371090841669242"/>
    <n v="1E-4"/>
    <n v="181.14289387745998"/>
    <n v="26.13406968186472"/>
    <n v="160.99245583222455"/>
    <n v="24.148868374833683"/>
    <n v="32.19849116644491"/>
    <n v="2.6134069681864722"/>
    <n v="58.960766509465067"/>
  </r>
  <r>
    <x v="480"/>
    <n v="63282.494201584632"/>
    <n v="57547.853989793344"/>
    <n v="5734.6402117912839"/>
    <n v="1157.2252405123918"/>
    <n v="923.12685261458466"/>
    <n v="47.620748114550409"/>
    <n v="955.77336863188054"/>
    <n v="0"/>
    <n v="-80.267264131846318"/>
    <n v="50239.236062376876"/>
    <n v="1.1382128827879592"/>
    <n v="1E-4"/>
    <n v="234.09838789780713"/>
    <n v="25.916285767849178"/>
    <n v="213.95320070975595"/>
    <n v="32.092980106463393"/>
    <n v="42.790640141951194"/>
    <n v="2.5916285767849181"/>
    <n v="77.4752488251995"/>
  </r>
  <r>
    <x v="481"/>
    <n v="63504.039627224214"/>
    <n v="57749.254228244878"/>
    <n v="5754.7853989793348"/>
    <n v="1160.5311382814266"/>
    <n v="1021.5620197959297"/>
    <n v="47.788668431594033"/>
    <n v="959.13089982988902"/>
    <n v="-4.8916714857684021"/>
    <n v="19.534123020215063"/>
    <n v="50404.100950697437"/>
    <n v="1.1393166814089939"/>
    <n v="1E-4"/>
    <n v="138.96911848549689"/>
    <n v="27.793823697099381"/>
    <n v="118.8290946403431"/>
    <n v="17.824364196051466"/>
    <n v="23.765818928068622"/>
    <n v="2.7793823697099382"/>
    <n v="44.369565493830024"/>
  </r>
  <r>
    <x v="482"/>
    <n v="63725.529116649086"/>
    <n v="57950.603693824596"/>
    <n v="5774.9254228244881"/>
    <n v="1163.8370360504614"/>
    <n v="1023.2705249082528"/>
    <n v="47.956544991494454"/>
    <n v="962.48757047074798"/>
    <n v="0"/>
    <n v="12.826409446010437"/>
    <n v="50529.268933068059"/>
    <n v="1.1404204800300288"/>
    <n v="1E-4"/>
    <n v="140.56651114220858"/>
    <n v="27.562208499623555"/>
    <n v="120.43156458423709"/>
    <n v="18.064734687635564"/>
    <n v="24.086312916847419"/>
    <n v="2.7562208499623555"/>
    <n v="44.907268454445337"/>
  </r>
  <r>
    <x v="483"/>
    <n v="63946.963602129472"/>
    <n v="58151.903232747012"/>
    <n v="5795.0603693824596"/>
    <n v="1167.142933819496"/>
    <n v="1053.9069473860659"/>
    <n v="48.124378523537402"/>
    <n v="965.84339489707656"/>
    <n v="0"/>
    <n v="39.939173965451879"/>
    <n v="50816.239295846652"/>
    <n v="1.1415242786510635"/>
    <n v="1E-4"/>
    <n v="113.23598643343007"/>
    <n v="27.332523428793358"/>
    <n v="93.106032541188142"/>
    <n v="13.96590488117822"/>
    <n v="18.621206508237631"/>
    <n v="2.7332523428793358"/>
    <n v="35.320363732295192"/>
  </r>
  <r>
    <x v="484"/>
    <n v="64168.344000397796"/>
    <n v="58353.153677123097"/>
    <n v="5815.1903232747018"/>
    <n v="1170.4488315885308"/>
    <n v="1067.1893953601661"/>
    <n v="48.29216974485383"/>
    <n v="969.19838721245026"/>
    <n v="0"/>
    <n v="49.698838402862158"/>
    <n v="51162.393968168166"/>
    <n v="1.1426280772720985"/>
    <n v="1E-4"/>
    <n v="103.25943622836462"/>
    <n v="27.104752400220082"/>
    <n v="83.134391790756126"/>
    <n v="12.470158768613418"/>
    <n v="16.626878358151227"/>
    <n v="2.7104752400220082"/>
    <n v="31.807512366786654"/>
  </r>
  <r>
    <x v="485"/>
    <n v="64389.67121290759"/>
    <n v="58554.355845195278"/>
    <n v="5835.31536771231"/>
    <n v="1173.7547293575656"/>
    <n v="1007.9330106456925"/>
    <n v="48.459919360622514"/>
    <n v="972.55256128538497"/>
    <n v="0"/>
    <n v="-13.079470000314908"/>
    <n v="51133.566329690475"/>
    <n v="1.1437318758931332"/>
    <n v="1E-4"/>
    <n v="165.82171871187302"/>
    <n v="26.878879463551581"/>
    <n v="145.70150190465574"/>
    <n v="21.85522528569836"/>
    <n v="29.140300380931151"/>
    <n v="2.6878879463551582"/>
    <n v="53.683413612984673"/>
  </r>
  <r>
    <x v="486"/>
    <n v="64610.946126088151"/>
    <n v="58755.510541568627"/>
    <n v="5855.4355845195278"/>
    <n v="1177.0606271266001"/>
    <n v="1118.4860257037128"/>
    <n v="48.627628064269253"/>
    <n v="975.90593075325467"/>
    <n v="0"/>
    <n v="93.952466886188844"/>
    <n v="51746.337335443983"/>
    <n v="1.1448356745141681"/>
    <n v="1E-4"/>
    <n v="58.574601422887326"/>
    <n v="26.654888801355316"/>
    <n v="38.459131785552017"/>
    <n v="5.7688697678328023"/>
    <n v="7.6918263571104042"/>
    <n v="2.6654888801355319"/>
    <n v="16.126185005078739"/>
  </r>
  <r>
    <x v="487"/>
    <n v="64832.169611594989"/>
    <n v="58956.618557438123"/>
    <n v="5875.5510541568628"/>
    <n v="1180.3665248956349"/>
    <n v="984.06767165432768"/>
    <n v="48.795296537662729"/>
    <n v="979.25850902614377"/>
    <n v="0"/>
    <n v="-43.986133909478767"/>
    <n v="51532.064448114419"/>
    <n v="1.1459394731352028"/>
    <n v="1E-4"/>
    <n v="196.29885324130726"/>
    <n v="26.432764728010689"/>
    <n v="176.18805165435788"/>
    <n v="26.428207748153682"/>
    <n v="35.237610330871576"/>
    <n v="2.6432764728010691"/>
    <n v="64.30909455182632"/>
  </r>
  <r>
    <x v="488"/>
    <n v="65053.342526555971"/>
    <n v="59157.680670812158"/>
    <n v="5895.6618557438123"/>
    <n v="1183.6724226646697"/>
    <n v="1018.0635282992426"/>
    <n v="48.962925451307193"/>
    <n v="982.61030929063543"/>
    <n v="0"/>
    <n v="-13.509706442699937"/>
    <n v="51500.702732860263"/>
    <n v="1.1470432717562375"/>
    <n v="1E-4"/>
    <n v="165.60889436542709"/>
    <n v="26.212491688610601"/>
    <n v="145.50268302802306"/>
    <n v="21.825402454203459"/>
    <n v="29.100536605604614"/>
    <n v="2.6212491688610604"/>
    <n v="53.547188228669135"/>
  </r>
  <r>
    <x v="489"/>
    <n v="65274.465713813552"/>
    <n v="59358.697646732333"/>
    <n v="5915.768067081216"/>
    <n v="1186.9783204337045"/>
    <n v="1144.9550199021578"/>
    <n v="49.130515464531769"/>
    <n v="985.96134451353601"/>
    <n v="0"/>
    <n v="109.86315992408997"/>
    <n v="52210.800597619018"/>
    <n v="1.1481470703772725"/>
    <n v="1E-4"/>
    <n v="42.023300531546738"/>
    <n v="25.994054257872179"/>
    <n v="21.921602939529294"/>
    <n v="3.2882404409293939"/>
    <n v="4.3843205879058589"/>
    <n v="2.5994054257872179"/>
    <n v="10.27196645462247"/>
  </r>
  <r>
    <x v="490"/>
    <n v="65495.540002162765"/>
    <n v="59559.670237489532"/>
    <n v="5935.8697646732335"/>
    <n v="1190.2842182027393"/>
    <n v="979.12128291848398"/>
    <n v="49.298067225676803"/>
    <n v="989.31162744553887"/>
    <n v="0"/>
    <n v="-59.4884117527317"/>
    <n v="51902.805310351905"/>
    <n v="1.1492508689983072"/>
    <n v="1E-4"/>
    <n v="211.16293528425535"/>
    <n v="25.777437139056577"/>
    <n v="191.06567620853548"/>
    <n v="28.65985143128032"/>
    <n v="38.2131352417071"/>
    <n v="2.577743713905658"/>
    <n v="69.450730386893085"/>
  </r>
  <r>
    <x v="491"/>
    <n v="65716.566206585441"/>
    <n v="59760.599182836486"/>
    <n v="5955.9670237489536"/>
    <n v="1193.5901159717741"/>
    <n v="1015.089777258036"/>
    <n v="49.465581372276944"/>
    <n v="992.66117062482556"/>
    <n v="0"/>
    <n v="-27.036974739066544"/>
    <n v="51790.268364867654"/>
    <n v="1.1503546676193421"/>
    <n v="1E-4"/>
    <n v="178.50033871373819"/>
    <n v="25.562625162897771"/>
    <n v="158.40744417904352"/>
    <n v="23.761116626856527"/>
    <n v="31.681488835808707"/>
    <n v="2.5562625162897774"/>
    <n v="57.998867978955012"/>
  </r>
  <r>
    <x v="492"/>
    <n v="65937.545128480328"/>
    <n v="59961.485210196683"/>
    <n v="5976.0599182836486"/>
    <n v="1196.8960137408087"/>
    <n v="965.70769757928633"/>
    <n v="49.633058531241282"/>
    <n v="996.0099863806081"/>
    <n v="0"/>
    <n v="-79.935347332562984"/>
    <n v="51361.347785807171"/>
    <n v="1.1514584662403768"/>
    <n v="1E-4"/>
    <n v="231.18831616152238"/>
    <n v="25.34960328654029"/>
    <n v="211.09971342550216"/>
    <n v="31.664957013825322"/>
    <n v="42.219942685100435"/>
    <n v="2.5349603286540292"/>
    <n v="76.419860027579773"/>
  </r>
  <r>
    <x v="493"/>
    <n v="66158.477555889578"/>
    <n v="60162.329034869916"/>
    <n v="5996.1485210196688"/>
    <n v="1200.2019115098435"/>
    <n v="1064.1793366038637"/>
    <n v="49.800499319030408"/>
    <n v="999.35808683661139"/>
    <n v="-4.3249890044595141"/>
    <n v="19.345739452681372"/>
    <n v="51526.212674127732"/>
    <n v="1.1525622648614118"/>
    <n v="1E-4"/>
    <n v="136.02257490597981"/>
    <n v="27.204514981195963"/>
    <n v="115.9381924386571"/>
    <n v="17.390728865798565"/>
    <n v="23.187638487731419"/>
    <n v="2.7204514981195964"/>
    <n v="43.298818851649578"/>
  </r>
  <r>
    <x v="494"/>
    <n v="66379.364263721291"/>
    <n v="60363.131360234293"/>
    <n v="6016.2329034869917"/>
    <n v="1203.5078092788783"/>
    <n v="1065.3472096770795"/>
    <n v="49.967904341830575"/>
    <n v="1002.7054839144986"/>
    <n v="0"/>
    <n v="12.673821420750397"/>
    <n v="51651.380656498346"/>
    <n v="1.1536660634824465"/>
    <n v="1E-4"/>
    <n v="138.16059960179882"/>
    <n v="26.977810689685999"/>
    <n v="118.08036706536132"/>
    <n v="17.712055059804197"/>
    <n v="23.616073413072264"/>
    <n v="2.6977810689686001"/>
    <n v="44.02590954184506"/>
  </r>
  <r>
    <x v="495"/>
    <n v="66600.206013968404"/>
    <n v="60563.892877944971"/>
    <n v="6036.3131360234293"/>
    <n v="1206.8137070479129"/>
    <n v="1095.834806733691"/>
    <n v="50.135274195724932"/>
    <n v="1006.0521893372382"/>
    <n v="0"/>
    <n v="39.647343200727768"/>
    <n v="51938.351019276939"/>
    <n v="1.1547698621034814"/>
    <n v="1E-4"/>
    <n v="110.97890031422185"/>
    <n v="26.752995600605281"/>
    <n v="90.902748543153393"/>
    <n v="13.635412281473009"/>
    <n v="18.180549708630679"/>
    <n v="2.6752995600605285"/>
    <n v="34.491261550164218"/>
  </r>
  <r>
    <x v="496"/>
    <n v="66821.003555923991"/>
    <n v="60764.614268129495"/>
    <n v="6056.3892877944972"/>
    <n v="1210.1196048169477"/>
    <n v="1109.0611948917783"/>
    <n v="50.302609466861909"/>
    <n v="1009.3982146324162"/>
    <n v="0"/>
    <n v="49.360370792500177"/>
    <n v="52284.505691598461"/>
    <n v="1.1558736607245161"/>
    <n v="1E-4"/>
    <n v="101.05840992516937"/>
    <n v="26.530053970600239"/>
    <n v="80.986270906716527"/>
    <n v="12.147940636007478"/>
    <n v="16.197254181343308"/>
    <n v="2.6530053970600243"/>
    <n v="30.998200214410812"/>
  </r>
  <r>
    <x v="497"/>
    <n v="67041.757626392937"/>
    <n v="60965.296199579985"/>
    <n v="6076.4614268129499"/>
    <n v="1213.4255025859825"/>
    <n v="1050.1164134033922"/>
    <n v="50.469910731620807"/>
    <n v="1012.7435711354916"/>
    <n v="0"/>
    <n v="-13.097068463720316"/>
    <n v="52255.678053120762"/>
    <n v="1.1569774593455511"/>
    <n v="1E-4"/>
    <n v="163.30908918259024"/>
    <n v="26.308970187511907"/>
    <n v="143.24089603754146"/>
    <n v="21.486134405631219"/>
    <n v="28.648179207508292"/>
    <n v="2.6308970187511909"/>
    <n v="52.765210631890703"/>
  </r>
  <r>
    <x v="498"/>
    <n v="67262.468949900009"/>
    <n v="61165.939329942004"/>
    <n v="6096.5296199579989"/>
    <n v="1216.7314003550173"/>
    <n v="1160.1221262779766"/>
    <n v="50.637178556774579"/>
    <n v="1016.0882699929997"/>
    <n v="0"/>
    <n v="93.396677728202391"/>
    <n v="52868.44905887427"/>
    <n v="1.1580812579665858"/>
    <n v="1E-4"/>
    <n v="56.609274077040709"/>
    <n v="26.08972876928264"/>
    <n v="36.544961040838643"/>
    <n v="5.4817441561257967"/>
    <n v="7.3089922081677292"/>
    <n v="2.6089728769282643"/>
    <n v="15.399709241221791"/>
  </r>
  <r>
    <x v="499"/>
    <n v="67483.138238894549"/>
    <n v="61366.544305900352"/>
    <n v="6116.5939329942012"/>
    <n v="1220.0372981240521"/>
    <n v="1026.3873118371218"/>
    <n v="50.804413499649989"/>
    <n v="1019.4323221657"/>
    <n v="0"/>
    <n v="-43.849423828228367"/>
    <n v="52654.176171544706"/>
    <n v="1.1591850565876207"/>
    <n v="1E-4"/>
    <n v="193.64998628693024"/>
    <n v="25.872314362871954"/>
    <n v="173.58948869109645"/>
    <n v="26.038423303664466"/>
    <n v="34.717897738219293"/>
    <n v="2.5872314362871958"/>
    <n v="63.343552478170956"/>
  </r>
  <r>
    <x v="500"/>
    <n v="67703.7661939518"/>
    <n v="61567.111763361769"/>
    <n v="6136.6544305900352"/>
    <n v="1223.3431958930867"/>
    <n v="1060.2222433821337"/>
    <n v="50.971616108285012"/>
    <n v="1022.7757384316725"/>
    <n v="0"/>
    <n v="-13.525111157823817"/>
    <n v="52622.814456290551"/>
    <n v="1.1602888552086554"/>
    <n v="1E-4"/>
    <n v="163.12095251095297"/>
    <n v="25.656711743181354"/>
    <n v="143.06420676481139"/>
    <n v="21.459631014721708"/>
    <n v="28.612841352962278"/>
    <n v="2.5656711743181355"/>
    <n v="52.638143542002119"/>
  </r>
  <r>
    <x v="501"/>
    <n v="67924.353503970706"/>
    <n v="61767.642327634523"/>
    <n v="6156.7111763361772"/>
    <n v="1226.6490936621215"/>
    <n v="1186.4931634681388"/>
    <n v="51.138786921583623"/>
    <n v="1026.1185293893627"/>
    <n v="0"/>
    <n v="109.2358471571925"/>
    <n v="53332.912321049313"/>
    <n v="1.1613926538296901"/>
    <n v="1E-4"/>
    <n v="40.155930193982613"/>
    <n v="25.442905811988176"/>
    <n v="20.10287376670658"/>
    <n v="3.0154310650059868"/>
    <n v="4.0205747533413163"/>
    <n v="2.5442905811988177"/>
    <n v="9.5802963995461212"/>
  </r>
  <r>
    <x v="502"/>
    <n v="68144.90084636856"/>
    <n v="61968.136613605107"/>
    <n v="6176.764232763453"/>
    <n v="1229.9549914311563"/>
    <n v="1021.4891817848576"/>
    <n v="51.30592646946814"/>
    <n v="1029.4607054605754"/>
    <n v="0"/>
    <n v="-59.277450145185981"/>
    <n v="53024.917033782192"/>
    <n v="1.1624964524507251"/>
    <n v="1E-4"/>
    <n v="208.46580964629868"/>
    <n v="25.230881596888274"/>
    <n v="188.41638104924095"/>
    <n v="28.262457157386141"/>
    <n v="37.683276209848195"/>
    <n v="2.5230881596888275"/>
    <n v="68.468821526923165"/>
  </r>
  <r>
    <x v="503"/>
    <n v="68365.408887272395"/>
    <n v="62168.595225911879"/>
    <n v="6196.8136613605111"/>
    <n v="1233.2608892001908"/>
    <n v="1057.2902066235802"/>
    <n v="51.473035273028778"/>
    <n v="1032.8022768934184"/>
    <n v="0"/>
    <n v="-26.985105542866965"/>
    <n v="52912.380088297941"/>
    <n v="1.1636002510717598"/>
    <n v="1E-4"/>
    <n v="175.97068257661067"/>
    <n v="25.020624250247536"/>
    <n v="155.9248213459332"/>
    <n v="23.388723201889977"/>
    <n v="31.18496426918664"/>
    <n v="2.5020624250247536"/>
    <n v="57.07574989610137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3">
  <r>
    <x v="0"/>
    <n v="4520.04"/>
    <n v="4342.17"/>
    <n v="177.87"/>
    <m/>
    <m/>
    <m/>
    <m/>
    <m/>
    <m/>
    <n v="6877.5666666666702"/>
    <n v="0.59616000000000002"/>
    <n v="2.4916666666666668E-3"/>
    <n v="-53.549999999999358"/>
    <m/>
    <n v="0"/>
    <m/>
    <m/>
    <m/>
    <m/>
  </r>
  <r>
    <x v="1"/>
    <n v="4361.7"/>
    <n v="4237.38"/>
    <n v="124.32"/>
    <n v="0"/>
    <n v="78.202834712015999"/>
    <n v="1.4822500000000001"/>
    <n v="72.369500000000002"/>
    <n v="11.561288641355166"/>
    <n v="-7.2102039293391549"/>
    <n v="6877.5666666666702"/>
    <n v="0.59772999999999998"/>
    <n v="2.5249999999999999E-3"/>
    <n v="-78.202834712015999"/>
    <n v="0"/>
    <n v="0"/>
    <n v="0"/>
    <n v="0"/>
    <n v="0"/>
    <n v="0"/>
  </r>
  <r>
    <x v="2"/>
    <n v="4356.45"/>
    <n v="4252.6400000000003"/>
    <n v="103.81"/>
    <n v="85.88"/>
    <n v="69.142596886209802"/>
    <n v="1.036"/>
    <n v="70.623000000000005"/>
    <n v="0"/>
    <n v="-2.516403113790199"/>
    <n v="6877.5666666666702"/>
    <n v="0.59714"/>
    <n v="2.5416666666666665E-3"/>
    <n v="16.737403113790194"/>
    <n v="0"/>
    <n v="0"/>
    <n v="0"/>
    <n v="0"/>
    <n v="0"/>
    <n v="0"/>
  </r>
  <r>
    <x v="3"/>
    <n v="4341.6099999999997"/>
    <n v="4267.83"/>
    <n v="73.78"/>
    <n v="86.07"/>
    <n v="81.746420627234571"/>
    <n v="0.86508333333333332"/>
    <n v="70.87733333333334"/>
    <n v="0"/>
    <n v="10.004003960567905"/>
    <n v="7372.4"/>
    <n v="0.60057000000000005"/>
    <n v="2.65E-3"/>
    <n v="4.3235793727654226"/>
    <n v="0"/>
    <n v="0"/>
    <n v="0"/>
    <n v="0"/>
    <n v="0"/>
    <n v="0"/>
  </r>
  <r>
    <x v="4"/>
    <n v="4375.1400000000003"/>
    <n v="4262.6499999999996"/>
    <n v="112.49"/>
    <n v="65.95"/>
    <n v="58.57394400230848"/>
    <n v="0.61483333333333334"/>
    <n v="71.130499999999998"/>
    <n v="0"/>
    <n v="-13.171389331024853"/>
    <n v="7372.4"/>
    <n v="0.60482000000000002"/>
    <n v="2.7083333333333334E-3"/>
    <n v="7.3760559976915232"/>
    <n v="0"/>
    <n v="0"/>
    <n v="0"/>
    <n v="0"/>
    <n v="0"/>
    <n v="0"/>
  </r>
  <r>
    <x v="5"/>
    <n v="4388.0200000000004"/>
    <n v="4297.16"/>
    <n v="90.86"/>
    <n v="105.55"/>
    <n v="65.748364106649532"/>
    <n v="0.93741666666666668"/>
    <n v="71.044166666666655"/>
    <n v="0"/>
    <n v="-6.2332192266837891"/>
    <n v="7372.4"/>
    <n v="0.60756999999999994"/>
    <n v="2.7333333333333328E-3"/>
    <n v="39.801635893350465"/>
    <n v="0"/>
    <n v="0"/>
    <n v="0"/>
    <n v="0"/>
    <n v="0"/>
    <n v="0"/>
  </r>
  <r>
    <x v="6"/>
    <n v="4394.04"/>
    <n v="4287.6400000000003"/>
    <n v="106.4"/>
    <n v="62.1"/>
    <n v="83.62842043755262"/>
    <n v="0.75716666666666665"/>
    <n v="71.61933333333333"/>
    <n v="0"/>
    <n v="11.251920437552629"/>
    <n v="7577.9333333333298"/>
    <n v="0.60931000000000002"/>
    <n v="2.7333333333333328E-3"/>
    <n v="-21.528420437552619"/>
    <n v="0"/>
    <n v="0"/>
    <n v="0"/>
    <n v="0"/>
    <n v="0"/>
    <n v="0"/>
  </r>
  <r>
    <x v="7"/>
    <n v="4430.0200000000004"/>
    <n v="4309.6899999999996"/>
    <n v="120.33"/>
    <n v="93.51"/>
    <n v="71.789083726296582"/>
    <n v="0.88666666666666671"/>
    <n v="71.460666666666668"/>
    <n v="0"/>
    <n v="-0.55824960703675686"/>
    <n v="7577.9333333333298"/>
    <n v="0.61004999999999998"/>
    <n v="2.7333333333333328E-3"/>
    <n v="21.720916273703423"/>
    <n v="0"/>
    <n v="0"/>
    <n v="0"/>
    <n v="0"/>
    <n v="0"/>
    <n v="0"/>
  </r>
  <r>
    <x v="8"/>
    <n v="4441.08"/>
    <n v="4367.3"/>
    <n v="73.78"/>
    <n v="129.44"/>
    <n v="72.861064371467407"/>
    <n v="1.00275"/>
    <n v="71.828166666666661"/>
    <n v="0"/>
    <n v="3.0147704800735486E-2"/>
    <n v="7577.9333333333298"/>
    <n v="0.61000999999999994"/>
    <n v="2.7333333333333328E-3"/>
    <n v="56.578935628532591"/>
    <n v="0"/>
    <n v="0"/>
    <n v="0"/>
    <n v="0"/>
    <n v="0"/>
    <n v="0"/>
  </r>
  <r>
    <x v="9"/>
    <n v="4505.55"/>
    <n v="4365.13"/>
    <n v="140.41999999999999"/>
    <n v="70.62"/>
    <n v="82.354014592030737"/>
    <n v="0.61483333333333334"/>
    <n v="72.788333333333341"/>
    <n v="0"/>
    <n v="8.9508479253640534"/>
    <n v="7764.4333333333298"/>
    <n v="0.61309000000000002"/>
    <n v="2.7333333333333328E-3"/>
    <n v="-11.734014592030732"/>
    <n v="0"/>
    <n v="0"/>
    <n v="0"/>
    <n v="0"/>
    <n v="0"/>
    <n v="0"/>
  </r>
  <r>
    <x v="10"/>
    <n v="4533.62"/>
    <n v="4388.58"/>
    <n v="145.04"/>
    <n v="96.2"/>
    <n v="69.317672081696116"/>
    <n v="1.1701666666666666"/>
    <n v="72.752166666666668"/>
    <n v="0"/>
    <n v="-4.6046612516372045"/>
    <n v="7764.4333333333298"/>
    <n v="0.61541000000000001"/>
    <n v="2.7500000000000003E-3"/>
    <n v="26.882327918303886"/>
    <n v="0"/>
    <n v="0"/>
    <n v="0"/>
    <n v="0"/>
    <n v="0"/>
    <n v="0"/>
  </r>
  <r>
    <x v="11"/>
    <n v="4714.92"/>
    <n v="4626.93"/>
    <n v="87.99"/>
    <n v="311.49"/>
    <n v="66.797261141988031"/>
    <n v="1.2086666666666666"/>
    <n v="73.143000000000001"/>
    <n v="0"/>
    <n v="-7.5544055246786499"/>
    <n v="7764.4333333333298"/>
    <n v="0.61616000000000004"/>
    <n v="2.7916666666666667E-3"/>
    <n v="244.69273885801198"/>
    <n v="0"/>
    <n v="0"/>
    <n v="0"/>
    <n v="0"/>
    <n v="0"/>
    <n v="0"/>
  </r>
  <r>
    <x v="12"/>
    <n v="5142.2700000000004"/>
    <n v="4894.75"/>
    <n v="247.52"/>
    <n v="344.94"/>
    <n v="65.188955145278015"/>
    <n v="0.73324999999999996"/>
    <n v="77.115500000000011"/>
    <n v="12.052300320610277"/>
    <n v="-24.712095175332259"/>
    <n v="7841.2333333333299"/>
    <n v="0.61965999999999999"/>
    <n v="2.9583333333333332E-3"/>
    <n v="279.75104485472195"/>
    <n v="55.950208970944395"/>
    <n v="37.796044854721913"/>
    <n v="5.6694067282082869"/>
    <n v="7.5592089709443826"/>
    <n v="5.5950208970944395"/>
    <n v="18.823636596247109"/>
  </r>
  <r>
    <x v="13"/>
    <n v="4761.68"/>
    <n v="4641.7"/>
    <n v="119.98"/>
    <n v="0"/>
    <n v="48.969783919543104"/>
    <n v="2.0626666666666669"/>
    <n v="81.579166666666666"/>
    <n v="0"/>
    <n v="-34.672049413790234"/>
    <n v="7841.2333333333299"/>
    <n v="0.62087000000000003"/>
    <n v="3.1916666666666669E-3"/>
    <n v="-48.969783919543104"/>
    <n v="55.483957229519859"/>
    <n v="0"/>
    <n v="0"/>
    <n v="0"/>
    <n v="5.5483957229519865"/>
    <n v="5.5483957229519865"/>
  </r>
  <r>
    <x v="14"/>
    <n v="4742.08"/>
    <n v="4641.3500000000004"/>
    <n v="100.73"/>
    <n v="77.010000000000005"/>
    <n v="68.460319278493714"/>
    <n v="0.99983333333333335"/>
    <n v="77.361666666666665"/>
    <n v="0"/>
    <n v="-9.901180721506277"/>
    <n v="7841.2333333333299"/>
    <n v="0.61907000000000001"/>
    <n v="3.2750000000000001E-3"/>
    <n v="8.5496807215062915"/>
    <n v="55.021590919273862"/>
    <n v="0"/>
    <n v="0"/>
    <n v="0"/>
    <n v="5.5021590919273864"/>
    <n v="5.5021590919273864"/>
  </r>
  <r>
    <x v="15"/>
    <n v="4791.29"/>
    <n v="4679.43"/>
    <n v="111.86"/>
    <n v="115.44"/>
    <n v="32.849934419699018"/>
    <n v="0.8394166666666667"/>
    <n v="77.355833333333337"/>
    <n v="0"/>
    <n v="-45.345315580300984"/>
    <n v="8017.6666666666697"/>
    <n v="0.62253999999999998"/>
    <n v="3.7083333333333339E-3"/>
    <n v="82.590065580300973"/>
    <n v="54.563077661613242"/>
    <n v="0"/>
    <n v="0"/>
    <n v="0"/>
    <n v="5.4563077661613244"/>
    <n v="5.4563077661613244"/>
  </r>
  <r>
    <x v="16"/>
    <n v="4724.3"/>
    <n v="4608.1000000000004"/>
    <n v="116.2"/>
    <n v="6.66"/>
    <n v="73.285006420421254"/>
    <n v="0.9321666666666667"/>
    <n v="77.990500000000011"/>
    <n v="0"/>
    <n v="-5.6376602462454208"/>
    <n v="8017.6666666666697"/>
    <n v="0.62414999999999998"/>
    <n v="3.7499999999999999E-3"/>
    <n v="-66.625006420421258"/>
    <n v="54.108385347766465"/>
    <n v="0"/>
    <n v="0"/>
    <n v="0"/>
    <n v="5.410838534776647"/>
    <n v="5.410838534776647"/>
  </r>
  <r>
    <x v="17"/>
    <n v="4712.3999999999996"/>
    <n v="4614.3999999999996"/>
    <n v="98"/>
    <n v="83.1"/>
    <n v="39.16718024236426"/>
    <n v="0.96833333333333338"/>
    <n v="76.801666666666677"/>
    <n v="0"/>
    <n v="-38.60281975763575"/>
    <n v="8017.6666666666697"/>
    <n v="0.62500999999999995"/>
    <n v="4.1250000000000002E-3"/>
    <n v="43.932819757635734"/>
    <n v="53.65748213653508"/>
    <n v="0"/>
    <n v="0"/>
    <n v="0"/>
    <n v="5.3657482136535082"/>
    <n v="5.3657482136535082"/>
  </r>
  <r>
    <x v="18"/>
    <n v="4762.03"/>
    <n v="4601.24"/>
    <n v="160.79"/>
    <n v="63.75"/>
    <n v="78.503604002143859"/>
    <n v="0.81666666666666665"/>
    <n v="76.906666666666666"/>
    <n v="0"/>
    <n v="0.78027066881053031"/>
    <n v="8248.5333333333292"/>
    <n v="0.62529999999999997"/>
    <n v="4.2333333333333329E-3"/>
    <n v="-14.753604002143859"/>
    <n v="53.210336452063956"/>
    <n v="0"/>
    <n v="0"/>
    <n v="0"/>
    <n v="5.3210336452063958"/>
    <n v="5.3210336452063958"/>
  </r>
  <r>
    <x v="19"/>
    <n v="4810.1899999999996"/>
    <n v="4677.54"/>
    <n v="132.65"/>
    <n v="152.99"/>
    <n v="69.050209961267001"/>
    <n v="1.3399166666666666"/>
    <n v="76.687333333333328"/>
    <n v="0"/>
    <n v="-8.9770400387329889"/>
    <n v="8248.5333333333292"/>
    <n v="0.62753000000000003"/>
    <n v="4.3166666666666666E-3"/>
    <n v="83.939790038733008"/>
    <n v="52.766916981630089"/>
    <n v="0"/>
    <n v="0"/>
    <n v="0"/>
    <n v="5.2766916981630096"/>
    <n v="5.2766916981630096"/>
  </r>
  <r>
    <x v="20"/>
    <n v="4798.01"/>
    <n v="4699.17"/>
    <n v="98.84"/>
    <n v="99.59"/>
    <n v="74.923800380882668"/>
    <n v="1.1054166666666667"/>
    <n v="77.959000000000003"/>
    <n v="0"/>
    <n v="-4.140616285784005"/>
    <n v="8248.5333333333292"/>
    <n v="0.63180999999999998"/>
    <n v="4.333333333333334E-3"/>
    <n v="24.666199619117336"/>
    <n v="52.327192673449844"/>
    <n v="0"/>
    <n v="0"/>
    <n v="0"/>
    <n v="5.2327192673449847"/>
    <n v="5.2327192673449847"/>
  </r>
  <r>
    <x v="21"/>
    <n v="4820.2700000000004"/>
    <n v="4694.83"/>
    <n v="125.44"/>
    <n v="73.98"/>
    <n v="82.763253704747243"/>
    <n v="0.82366666666666666"/>
    <n v="78.319500000000005"/>
    <n v="0"/>
    <n v="3.6200870380805732"/>
    <n v="8391.1333333333296"/>
    <n v="0.63682000000000005"/>
    <n v="4.333333333333334E-3"/>
    <n v="-8.7832537047472385"/>
    <n v="51.891132734504431"/>
    <n v="0"/>
    <n v="0"/>
    <n v="0"/>
    <n v="5.1891132734504435"/>
    <n v="5.1891132734504435"/>
  </r>
  <r>
    <x v="22"/>
    <n v="4858.63"/>
    <n v="4541.04"/>
    <n v="317.58999999999997"/>
    <n v="0"/>
    <n v="83.960274965412196"/>
    <n v="1.0453333333333332"/>
    <n v="78.247166666666672"/>
    <n v="0"/>
    <n v="4.6677749654121916"/>
    <n v="8391.1333333333296"/>
    <n v="0.63666"/>
    <n v="4.2833333333333326E-3"/>
    <n v="-83.960274965412196"/>
    <n v="51.45870662838356"/>
    <n v="0"/>
    <n v="0"/>
    <n v="0"/>
    <n v="5.1458706628383561"/>
    <n v="5.1458706628383561"/>
  </r>
  <r>
    <x v="23"/>
    <n v="5055.6099999999997"/>
    <n v="4975.95"/>
    <n v="79.66"/>
    <n v="510.59"/>
    <n v="83.471636499574913"/>
    <n v="2.6465833333333331"/>
    <n v="75.683999999999997"/>
    <n v="0"/>
    <n v="5.1410531662415835"/>
    <n v="8391.1333333333296"/>
    <n v="0.63968999999999998"/>
    <n v="4.208333333333333E-3"/>
    <n v="427.11836350042506"/>
    <n v="51.029884073147031"/>
    <n v="9.1833635004250027"/>
    <n v="1.3775045250637503"/>
    <n v="1.8366727000850007"/>
    <n v="5.1029884073147036"/>
    <n v="8.3171656324634551"/>
  </r>
  <r>
    <x v="24"/>
    <n v="5273.17"/>
    <n v="5027.47"/>
    <n v="245.7"/>
    <n v="134.44999999999999"/>
    <n v="123.57655304321139"/>
    <n v="0.66383333333333328"/>
    <n v="82.93249999999999"/>
    <n v="0"/>
    <n v="39.980219709878078"/>
    <n v="8344.1666666666697"/>
    <n v="0.64036000000000004"/>
    <n v="3.7916666666666667E-3"/>
    <n v="10.873446956788598"/>
    <n v="50.60463503920414"/>
    <n v="0"/>
    <n v="0"/>
    <n v="0"/>
    <n v="5.0604635039204142"/>
    <n v="5.0604635039204142"/>
  </r>
  <r>
    <x v="25"/>
    <n v="5250.49"/>
    <n v="5090.3999999999996"/>
    <n v="160.09"/>
    <n v="146.72"/>
    <n v="44.458739595228209"/>
    <n v="2.0474999999999999"/>
    <n v="83.791166666666669"/>
    <n v="-37.945112798568957"/>
    <n v="-3.4348142728695006"/>
    <n v="8344.1666666666697"/>
    <n v="0.64559"/>
    <n v="3.7916666666666667E-3"/>
    <n v="102.26126040477179"/>
    <n v="20.452252080954359"/>
    <n v="0"/>
    <n v="0"/>
    <n v="0"/>
    <n v="2.0452252080954358"/>
    <n v="2.0452252080954358"/>
  </r>
  <r>
    <x v="26"/>
    <n v="5165.3"/>
    <n v="5027.12"/>
    <n v="138.18"/>
    <n v="21.56"/>
    <n v="90.980864983682778"/>
    <n v="1.3340833333333333"/>
    <n v="84.839999999999989"/>
    <n v="0"/>
    <n v="4.8067816503494463"/>
    <n v="8344.1666666666697"/>
    <n v="0.64249000000000001"/>
    <n v="3.7666666666666664E-3"/>
    <n v="-69.420864983682776"/>
    <n v="20.281816646946407"/>
    <n v="0"/>
    <n v="0"/>
    <n v="0"/>
    <n v="2.0281816646946407"/>
    <n v="2.0281816646946407"/>
  </r>
  <r>
    <x v="27"/>
    <n v="5119.38"/>
    <n v="4991.21"/>
    <n v="128.16999999999999"/>
    <n v="47.88"/>
    <n v="92.67551660278184"/>
    <n v="1.1515"/>
    <n v="83.785333333333327"/>
    <n v="0"/>
    <n v="7.7386832694485079"/>
    <n v="8541.3333333333303"/>
    <n v="0.64583000000000002"/>
    <n v="3.7666666666666664E-3"/>
    <n v="-44.795516602781838"/>
    <n v="20.112801508221853"/>
    <n v="0"/>
    <n v="0"/>
    <n v="0"/>
    <n v="2.0112801508221856"/>
    <n v="2.0112801508221856"/>
  </r>
  <r>
    <x v="28"/>
    <n v="5118.54"/>
    <n v="4999.3999999999996"/>
    <n v="119.14"/>
    <n v="91.38"/>
    <n v="81.92264582724674"/>
    <n v="1.0680833333333333"/>
    <n v="83.18683333333334"/>
    <n v="0"/>
    <n v="-2.3322708394199276"/>
    <n v="8541.3333333333303"/>
    <n v="0.64792000000000005"/>
    <n v="3.7750000000000001E-3"/>
    <n v="9.4573541727532557"/>
    <n v="19.945194828986669"/>
    <n v="0"/>
    <n v="0"/>
    <n v="0"/>
    <n v="1.994519482898667"/>
    <n v="1.994519482898667"/>
  </r>
  <r>
    <x v="29"/>
    <n v="5111.96"/>
    <n v="4981.4799999999996"/>
    <n v="130.47999999999999"/>
    <n v="65.400000000000006"/>
    <n v="51.163388431723952"/>
    <n v="0.99283333333333335"/>
    <n v="83.323333333333323"/>
    <n v="0"/>
    <n v="-33.152778234942708"/>
    <n v="8541.3333333333303"/>
    <n v="0.64942999999999995"/>
    <n v="4.0749999999999996E-3"/>
    <n v="14.236611568276054"/>
    <n v="19.778984872078446"/>
    <n v="0"/>
    <n v="0"/>
    <n v="0"/>
    <n v="1.9778984872078447"/>
    <n v="1.9778984872078447"/>
  </r>
  <r>
    <x v="30"/>
    <n v="5035.7299999999996"/>
    <n v="4894.68"/>
    <n v="141.05000000000001"/>
    <n v="0"/>
    <n v="92.328371090289679"/>
    <n v="1.0873333333333333"/>
    <n v="83.024666666666661"/>
    <n v="0"/>
    <n v="8.2163710902896785"/>
    <n v="8848.5"/>
    <n v="0.65028999999999992"/>
    <n v="4.1333333333333335E-3"/>
    <n v="-92.328371090289679"/>
    <n v="19.614159998144462"/>
    <n v="-0.22517109028967042"/>
    <n v="0"/>
    <n v="0"/>
    <n v="1.9614159998144463"/>
    <n v="1.9614159998144463"/>
  </r>
  <r>
    <x v="31"/>
    <n v="5048.96"/>
    <n v="4945.99"/>
    <n v="102.97"/>
    <n v="132.88999999999999"/>
    <n v="84.482888534949836"/>
    <n v="1.1754166666666668"/>
    <n v="81.578000000000003"/>
    <n v="0"/>
    <n v="1.5043007779934998"/>
    <n v="8848.5"/>
    <n v="0.65189999999999992"/>
    <n v="4.1083333333333328E-3"/>
    <n v="48.40711146505015"/>
    <n v="19.450708664826593"/>
    <n v="0"/>
    <n v="0"/>
    <n v="0"/>
    <n v="1.9450708664826593"/>
    <n v="1.9450708664826593"/>
  </r>
  <r>
    <x v="32"/>
    <n v="5025.6499999999996"/>
    <n v="4918.62"/>
    <n v="107.03"/>
    <n v="55.06"/>
    <n v="87.809213474302567"/>
    <n v="0.85808333333333331"/>
    <n v="82.433166666666665"/>
    <n v="0"/>
    <n v="4.517963474302567"/>
    <n v="8848.5"/>
    <n v="0.65153000000000005"/>
    <n v="4.0666666666666663E-3"/>
    <n v="-32.749213474302564"/>
    <n v="19.288619425953037"/>
    <n v="0"/>
    <n v="0"/>
    <n v="0"/>
    <n v="1.9288619425953037"/>
    <n v="1.9288619425953037"/>
  </r>
  <r>
    <x v="33"/>
    <n v="5045.95"/>
    <n v="4931.92"/>
    <n v="114.03"/>
    <n v="95.28"/>
    <n v="102.07768800715895"/>
    <n v="0.89191666666666669"/>
    <n v="81.977000000000004"/>
    <n v="0"/>
    <n v="19.208771340492294"/>
    <n v="8938.2000000000007"/>
    <n v="0.65182000000000007"/>
    <n v="3.9250000000000005E-3"/>
    <n v="-6.7976880071589534"/>
    <n v="19.127880930736762"/>
    <n v="0"/>
    <n v="0"/>
    <n v="0"/>
    <n v="1.9127880930736763"/>
    <n v="1.9127880930736763"/>
  </r>
  <r>
    <x v="34"/>
    <n v="5140.66"/>
    <n v="5016.83"/>
    <n v="123.83"/>
    <n v="167.11"/>
    <n v="85.220366680365544"/>
    <n v="0.95025000000000004"/>
    <n v="82.198666666666668"/>
    <n v="0"/>
    <n v="2.0714500136988856"/>
    <n v="8938.2000000000007"/>
    <n v="0.65286"/>
    <n v="3.8999999999999994E-3"/>
    <n v="81.88963331963447"/>
    <n v="18.968481922980622"/>
    <n v="0"/>
    <n v="0"/>
    <n v="0"/>
    <n v="1.8968481922980622"/>
    <n v="1.8968481922980622"/>
  </r>
  <r>
    <x v="35"/>
    <n v="5351.99"/>
    <n v="5247.97"/>
    <n v="104.02"/>
    <n v="314.75"/>
    <n v="171.46807242220723"/>
    <n v="1.0319166666666666"/>
    <n v="83.613833333333332"/>
    <n v="0"/>
    <n v="86.822322422207222"/>
    <n v="8938.2000000000007"/>
    <n v="0.65808000000000011"/>
    <n v="3.1999999999999997E-3"/>
    <n v="143.28192757779277"/>
    <n v="18.810411240289117"/>
    <n v="0"/>
    <n v="0"/>
    <n v="0"/>
    <n v="1.8810411240289118"/>
    <n v="1.8810411240289118"/>
  </r>
  <r>
    <x v="36"/>
    <n v="5804.19"/>
    <n v="5669.51"/>
    <n v="134.68"/>
    <n v="509.01"/>
    <n v="132.79047382224999"/>
    <n v="0.86683333333333334"/>
    <n v="87.466166666666666"/>
    <n v="0"/>
    <n v="44.457473822249995"/>
    <n v="8817.9666666666708"/>
    <n v="0.65808000000000011"/>
    <n v="2.8833333333333332E-3"/>
    <n v="376.21952617775003"/>
    <n v="18.653657813286706"/>
    <n v="0"/>
    <n v="0"/>
    <n v="0"/>
    <n v="1.8653657813286708"/>
    <n v="1.8653657813286708"/>
  </r>
  <r>
    <x v="37"/>
    <n v="5520.9"/>
    <n v="5397.7"/>
    <n v="123.2"/>
    <n v="0"/>
    <n v="147.33580314775645"/>
    <n v="1.1223333333333334"/>
    <n v="94.491833333333332"/>
    <n v="-5.5654928264866719"/>
    <n v="57.28712930757645"/>
    <n v="8817.9666666666708"/>
    <n v="0.65718999999999994"/>
    <n v="2.5833333333333333E-3"/>
    <n v="-147.33580314775645"/>
    <n v="0"/>
    <n v="-78.112803147756438"/>
    <n v="0"/>
    <n v="0"/>
    <n v="0"/>
    <n v="0"/>
  </r>
  <r>
    <x v="38"/>
    <n v="5502.63"/>
    <n v="5323.57"/>
    <n v="179.06"/>
    <n v="15.83"/>
    <n v="170.03540060267719"/>
    <n v="1.0266666666666666"/>
    <n v="89.961666666666659"/>
    <n v="0"/>
    <n v="0.934264121587422"/>
    <n v="8817.9666666666708"/>
    <n v="0.65602999999999989"/>
    <n v="2.5833333333333333E-3"/>
    <n v="-154.20540060267717"/>
    <n v="0"/>
    <n v="-28.381100602677172"/>
    <n v="0"/>
    <n v="0"/>
    <n v="0"/>
    <n v="0"/>
  </r>
  <r>
    <x v="39"/>
    <n v="5520.41"/>
    <n v="5414.92"/>
    <n v="105.49"/>
    <n v="180.08"/>
    <n v="126.25106879690958"/>
    <n v="1.4921666666666666"/>
    <n v="88.726166666666657"/>
    <n v="0"/>
    <n v="7.6516348608990912"/>
    <n v="9001.3333333333303"/>
    <n v="0.66015000000000001"/>
    <n v="2.5833333333333333E-3"/>
    <n v="53.828931203090434"/>
    <n v="0"/>
    <n v="0"/>
    <n v="0"/>
    <n v="0"/>
    <n v="0"/>
    <n v="0"/>
  </r>
  <r>
    <x v="40"/>
    <n v="5511.73"/>
    <n v="5399.52"/>
    <n v="112.21"/>
    <n v="74.849999999999994"/>
    <n v="88.346220542104049"/>
    <n v="0.87908333333333333"/>
    <n v="90.248666666666665"/>
    <n v="0"/>
    <n v="-2.7815294578959464"/>
    <n v="9001.3333333333303"/>
    <n v="0.66356999999999999"/>
    <n v="2.5833333333333333E-3"/>
    <n v="-13.496220542104055"/>
    <n v="0"/>
    <n v="0"/>
    <n v="0"/>
    <n v="0"/>
    <n v="0"/>
    <n v="0"/>
  </r>
  <r>
    <x v="41"/>
    <n v="5513.76"/>
    <n v="5380.41"/>
    <n v="133.35"/>
    <n v="70.88"/>
    <n v="99.640132370129379"/>
    <n v="0.93508333333333327"/>
    <n v="89.992000000000004"/>
    <n v="0"/>
    <n v="8.7130490367960309"/>
    <n v="9001.3333333333303"/>
    <n v="0.66364999999999996"/>
    <n v="2.5416666666666665E-3"/>
    <n v="-28.760132370129384"/>
    <n v="0"/>
    <n v="0"/>
    <n v="0"/>
    <n v="0"/>
    <n v="0"/>
    <n v="0"/>
  </r>
  <r>
    <x v="42"/>
    <n v="5560.59"/>
    <n v="5403.65"/>
    <n v="156.94"/>
    <n v="112.91"/>
    <n v="161.19707347155233"/>
    <n v="1.1112499999999998"/>
    <n v="89.673500000000004"/>
    <n v="0"/>
    <n v="70.412323471552327"/>
    <n v="9440.7999999999993"/>
    <n v="0.66650000000000009"/>
    <n v="2.3416666666666668E-3"/>
    <n v="-48.287073471552333"/>
    <n v="0"/>
    <n v="0"/>
    <n v="0"/>
    <n v="0"/>
    <n v="0"/>
    <n v="0"/>
  </r>
  <r>
    <x v="43"/>
    <n v="5576.55"/>
    <n v="5412.68"/>
    <n v="163.87"/>
    <n v="99.09"/>
    <n v="100.72597350608473"/>
    <n v="1.3078333333333334"/>
    <n v="90.060833333333321"/>
    <n v="0"/>
    <n v="9.3573068394180723"/>
    <n v="9440.7999999999993"/>
    <n v="0.66531999999999991"/>
    <n v="2.3083333333333332E-3"/>
    <n v="-1.6359735060847242"/>
    <n v="0"/>
    <n v="0"/>
    <n v="0"/>
    <n v="0"/>
    <n v="0"/>
    <n v="0"/>
  </r>
  <r>
    <x v="44"/>
    <n v="5604.06"/>
    <n v="5423.81"/>
    <n v="180.25"/>
    <n v="101.34"/>
    <n v="138.09690629960207"/>
    <n v="1.3655833333333334"/>
    <n v="90.211333333333343"/>
    <n v="0"/>
    <n v="46.519989632935399"/>
    <n v="9440.7999999999993"/>
    <n v="0.66576999999999997"/>
    <n v="2.1333333333333334E-3"/>
    <n v="-36.756906299602065"/>
    <n v="0"/>
    <n v="0"/>
    <n v="0"/>
    <n v="0"/>
    <n v="0"/>
    <n v="0"/>
  </r>
  <r>
    <x v="45"/>
    <n v="5629.47"/>
    <n v="5525.1"/>
    <n v="104.37"/>
    <n v="191.69"/>
    <n v="132.66549562937988"/>
    <n v="1.5020833333333334"/>
    <n v="90.396833333333333"/>
    <n v="0"/>
    <n v="40.766578962713218"/>
    <n v="9714.2666666666701"/>
    <n v="0.66742999999999997"/>
    <n v="2.0500000000000002E-3"/>
    <n v="59.024504370620122"/>
    <n v="0"/>
    <n v="0"/>
    <n v="0"/>
    <n v="0"/>
    <n v="0"/>
    <n v="0"/>
  </r>
  <r>
    <x v="46"/>
    <n v="5659.22"/>
    <n v="5546.38"/>
    <n v="112.84"/>
    <n v="113.37"/>
    <n v="91.182424997798023"/>
    <n v="0.86975000000000002"/>
    <n v="92.085000000000008"/>
    <n v="0"/>
    <n v="-1.7723250022019792"/>
    <n v="9714.2666666666701"/>
    <n v="0.66930999999999996"/>
    <n v="2.0500000000000002E-3"/>
    <n v="22.187575002201982"/>
    <n v="0"/>
    <n v="0"/>
    <n v="0"/>
    <n v="0"/>
    <n v="0"/>
    <n v="0"/>
  </r>
  <r>
    <x v="47"/>
    <n v="5887.84"/>
    <n v="5795.44"/>
    <n v="92.4"/>
    <n v="341.5"/>
    <n v="92.862486965385344"/>
    <n v="0.94033333333333335"/>
    <n v="92.439666666666668"/>
    <n v="0"/>
    <n v="-0.51751303461464726"/>
    <n v="9714.2666666666701"/>
    <n v="0.66986000000000001"/>
    <n v="2.0500000000000002E-3"/>
    <n v="248.63751303461464"/>
    <n v="0"/>
    <n v="0"/>
    <n v="0"/>
    <n v="0"/>
    <n v="0"/>
    <n v="0"/>
  </r>
  <r>
    <x v="48"/>
    <n v="6223.49"/>
    <n v="6036.87"/>
    <n v="186.62"/>
    <n v="338.02"/>
    <n v="99.343906517988827"/>
    <n v="0.77"/>
    <n v="96.590666666666664"/>
    <n v="13.748890960870302"/>
    <n v="-11.765651109548129"/>
    <n v="9608.2000000000007"/>
    <n v="0.67500000000000004"/>
    <n v="2.0500000000000002E-3"/>
    <n v="238.67609348201114"/>
    <n v="47.735218696402228"/>
    <n v="0"/>
    <n v="0"/>
    <n v="0"/>
    <n v="4.7735218696402226"/>
    <n v="4.7735218696402226"/>
  </r>
  <r>
    <x v="49"/>
    <n v="5928.37"/>
    <n v="5803.21"/>
    <n v="125.16"/>
    <n v="0"/>
    <n v="105.11018919982523"/>
    <n v="1.5551666666666668"/>
    <n v="100.61449999999999"/>
    <n v="0"/>
    <n v="2.9405225331585649"/>
    <n v="9608.2000000000007"/>
    <n v="0.67183999999999999"/>
    <n v="2.0500000000000002E-3"/>
    <n v="-105.11018919982523"/>
    <n v="47.337425207265547"/>
    <n v="-37.982289199825232"/>
    <n v="0"/>
    <n v="0"/>
    <n v="4.7337425207265547"/>
    <n v="4.7337425207265547"/>
  </r>
  <r>
    <x v="50"/>
    <n v="6004.53"/>
    <n v="5811.75"/>
    <n v="192.78"/>
    <n v="105.26"/>
    <n v="182.86168455225084"/>
    <n v="1.0429999999999999"/>
    <n v="96.720166666666671"/>
    <n v="0"/>
    <n v="47.116228685758919"/>
    <n v="9608.2000000000007"/>
    <n v="0.67347999999999997"/>
    <n v="1.8999999999999998E-3"/>
    <n v="-77.601684552250831"/>
    <n v="46.942946663871666"/>
    <n v="0"/>
    <n v="0"/>
    <n v="0"/>
    <n v="4.694294666387167"/>
    <n v="4.694294666387167"/>
  </r>
  <r>
    <x v="51"/>
    <n v="5992.42"/>
    <n v="5878.25"/>
    <n v="114.17"/>
    <n v="163.36000000000001"/>
    <n v="133.25718844319792"/>
    <n v="1.6065"/>
    <n v="96.862499999999997"/>
    <n v="0"/>
    <n v="34.788188443197924"/>
    <n v="10111"/>
    <n v="0.67546000000000006"/>
    <n v="1.8916666666666667E-3"/>
    <n v="30.102811556802095"/>
    <n v="46.551755441672739"/>
    <n v="0"/>
    <n v="0"/>
    <n v="0"/>
    <n v="4.6551755441672737"/>
    <n v="4.6551755441672737"/>
  </r>
  <r>
    <x v="52"/>
    <n v="6034.28"/>
    <n v="5890.85"/>
    <n v="143.43"/>
    <n v="110.57"/>
    <n v="97.06114185375786"/>
    <n v="0.95141666666666669"/>
    <n v="97.970833333333331"/>
    <n v="0"/>
    <n v="-1.8611081462421273"/>
    <n v="10111"/>
    <n v="0.67732999999999999"/>
    <n v="1.8916666666666667E-3"/>
    <n v="13.508858146242133"/>
    <n v="46.163824146325467"/>
    <n v="0"/>
    <n v="0"/>
    <n v="0"/>
    <n v="4.6163824146325467"/>
    <n v="4.6163824146325467"/>
  </r>
  <r>
    <x v="53"/>
    <n v="6075.23"/>
    <n v="5853.26"/>
    <n v="221.97"/>
    <n v="60.59"/>
    <n v="99.14763168459713"/>
    <n v="1.1952500000000001"/>
    <n v="98.180833333333339"/>
    <n v="0"/>
    <n v="-0.22845164873620458"/>
    <n v="10111"/>
    <n v="0.67756000000000005"/>
    <n v="1.8916666666666667E-3"/>
    <n v="-38.557631684597126"/>
    <n v="45.779125611772756"/>
    <n v="0"/>
    <n v="0"/>
    <n v="0"/>
    <n v="4.5779125611772757"/>
    <n v="4.5779125611772757"/>
  </r>
  <r>
    <x v="54"/>
    <n v="6072.01"/>
    <n v="5912.41"/>
    <n v="159.6"/>
    <n v="156.69999999999999"/>
    <n v="123.66242527753136"/>
    <n v="1.84975"/>
    <n v="97.554333333333332"/>
    <n v="0"/>
    <n v="24.25834194419803"/>
    <n v="10526.8666666667"/>
    <n v="0.68078000000000005"/>
    <n v="1.8916666666666667E-3"/>
    <n v="33.037574722468634"/>
    <n v="45.397632898341314"/>
    <n v="0"/>
    <n v="0"/>
    <n v="0"/>
    <n v="4.5397632898341316"/>
    <n v="4.5397632898341316"/>
  </r>
  <r>
    <x v="55"/>
    <n v="6120.66"/>
    <n v="5898.34"/>
    <n v="222.32"/>
    <n v="84.47"/>
    <n v="100.95133129702505"/>
    <n v="1.3299999999999998"/>
    <n v="98.540166666666664"/>
    <n v="0"/>
    <n v="1.0811646303583857"/>
    <n v="10526.8666666667"/>
    <n v="0.67971000000000004"/>
    <n v="1.8916666666666667E-3"/>
    <n v="-16.481331297025051"/>
    <n v="45.019319290855137"/>
    <n v="0"/>
    <n v="0"/>
    <n v="0"/>
    <n v="4.5019319290855142"/>
    <n v="4.5019319290855142"/>
  </r>
  <r>
    <x v="56"/>
    <n v="6140.12"/>
    <n v="5877.41"/>
    <n v="262.70999999999998"/>
    <n v="77.38"/>
    <n v="96.763998072248242"/>
    <n v="1.8526666666666667"/>
    <n v="98.305666666666667"/>
    <n v="0"/>
    <n v="-3.3943352610850894"/>
    <n v="10526.8666666667"/>
    <n v="0.68007999999999991"/>
    <n v="1.8999999999999998E-3"/>
    <n v="-19.383998072248247"/>
    <n v="44.64415829676468"/>
    <n v="0"/>
    <n v="0"/>
    <n v="0"/>
    <n v="4.4644158296764678"/>
    <n v="4.4644158296764678"/>
  </r>
  <r>
    <x v="57"/>
    <n v="6168.68"/>
    <n v="5915.42"/>
    <n v="253.26"/>
    <n v="135.97"/>
    <n v="132.25813868062571"/>
    <n v="2.1892499999999999"/>
    <n v="97.956833333333336"/>
    <n v="0"/>
    <n v="32.112055347292369"/>
    <n v="10965.4333333333"/>
    <n v="0.68248999999999993"/>
    <n v="1.8833333333333332E-3"/>
    <n v="3.7118613193742931"/>
    <n v="44.272123644291646"/>
    <n v="0"/>
    <n v="0"/>
    <n v="0"/>
    <n v="4.427212364429165"/>
    <n v="4.427212364429165"/>
  </r>
  <r>
    <x v="58"/>
    <n v="6192.55"/>
    <n v="5966.73"/>
    <n v="225.82"/>
    <n v="149.9"/>
    <n v="98.489217391082263"/>
    <n v="2.1105"/>
    <n v="98.590333333333334"/>
    <n v="0"/>
    <n v="-2.2116159422510706"/>
    <n v="10965.4333333333"/>
    <n v="0.68462999999999996"/>
    <n v="1.8833333333333332E-3"/>
    <n v="51.410782608917742"/>
    <n v="43.903189280589217"/>
    <n v="0"/>
    <n v="0"/>
    <n v="0"/>
    <n v="4.3903189280589219"/>
    <n v="4.3903189280589219"/>
  </r>
  <r>
    <x v="59"/>
    <n v="6351.31"/>
    <n v="6259.47"/>
    <n v="91.84"/>
    <n v="392.19"/>
    <n v="98.912637084365855"/>
    <n v="1.8818333333333332"/>
    <n v="99.445499999999996"/>
    <n v="0"/>
    <n v="-2.4146962489674664"/>
    <n v="10965.4333333333"/>
    <n v="0.68697000000000008"/>
    <n v="1.8833333333333332E-3"/>
    <n v="293.27736291563417"/>
    <n v="43.537329369917643"/>
    <n v="0"/>
    <n v="0"/>
    <n v="0"/>
    <n v="4.3537329369917641"/>
    <n v="4.3537329369917641"/>
  </r>
  <r>
    <x v="60"/>
    <n v="6600.3"/>
    <n v="6309.8"/>
    <n v="290.5"/>
    <n v="154.65"/>
    <n v="27.961493757396696"/>
    <n v="0.76533333333333331"/>
    <n v="104.3245"/>
    <n v="0"/>
    <n v="-77.128339575936636"/>
    <n v="10904.1333333333"/>
    <n v="0.69045000000000001"/>
    <n v="2.0833333333333333E-3"/>
    <n v="126.68850624260331"/>
    <n v="43.174518291834993"/>
    <n v="0"/>
    <n v="0"/>
    <n v="0"/>
    <n v="4.3174518291834998"/>
    <n v="4.3174518291834998"/>
  </r>
  <r>
    <x v="61"/>
    <n v="6563.34"/>
    <n v="6338.57"/>
    <n v="224.77"/>
    <n v="133.93"/>
    <n v="33.083663655266193"/>
    <n v="2.4208333333333334"/>
    <n v="105.16333333333334"/>
    <n v="-28.750776624174328"/>
    <n v="-45.749726387226147"/>
    <n v="10904.1333333333"/>
    <n v="0.69269000000000003"/>
    <n v="2.225E-3"/>
    <n v="100.84633634473381"/>
    <n v="20.169267268946765"/>
    <n v="0"/>
    <n v="0"/>
    <n v="0"/>
    <n v="2.0169267268946767"/>
    <n v="2.0169267268946767"/>
  </r>
  <r>
    <x v="62"/>
    <n v="6466.25"/>
    <n v="6302.94"/>
    <n v="163.31"/>
    <n v="70.010000000000005"/>
    <n v="110.77503393498237"/>
    <n v="1.8730833333333334"/>
    <n v="105.64283333333333"/>
    <n v="0"/>
    <n v="3.2591172683157255"/>
    <n v="10904.1333333333"/>
    <n v="0.68921999999999994"/>
    <n v="2.225E-3"/>
    <n v="-40.76503393498237"/>
    <n v="20.001190041705545"/>
    <n v="0"/>
    <n v="0"/>
    <n v="0"/>
    <n v="2.0001190041705548"/>
    <n v="2.0001190041705548"/>
  </r>
  <r>
    <x v="63"/>
    <n v="6473.04"/>
    <n v="6313.79"/>
    <n v="159.25"/>
    <n v="115.9"/>
    <n v="80.912708513852891"/>
    <n v="1.3609166666666668"/>
    <n v="105.04899999999999"/>
    <n v="0"/>
    <n v="-25.497208152813776"/>
    <n v="11155.766666666699"/>
    <n v="0.69440000000000002"/>
    <n v="2.3500000000000001E-3"/>
    <n v="34.987291486147114"/>
    <n v="19.834513458024666"/>
    <n v="0"/>
    <n v="0"/>
    <n v="0"/>
    <n v="1.9834513458024667"/>
    <n v="1.9834513458024667"/>
  </r>
  <r>
    <x v="64"/>
    <n v="6503.56"/>
    <n v="6270.11"/>
    <n v="233.45"/>
    <n v="61.55"/>
    <n v="85.431366503635289"/>
    <n v="1.3270833333333334"/>
    <n v="105.22983333333333"/>
    <n v="0"/>
    <n v="-21.125550163031374"/>
    <n v="11155.766666666699"/>
    <n v="0.69790999999999992"/>
    <n v="2.4166666666666664E-3"/>
    <n v="-23.881366503635292"/>
    <n v="19.669225845874461"/>
    <n v="0"/>
    <n v="0"/>
    <n v="0"/>
    <n v="1.9669225845874463"/>
    <n v="1.9669225845874463"/>
  </r>
  <r>
    <x v="65"/>
    <n v="6490.33"/>
    <n v="6268.64"/>
    <n v="221.69"/>
    <n v="103.03"/>
    <n v="103.41575140015662"/>
    <n v="1.9454166666666666"/>
    <n v="104.50183333333332"/>
    <n v="0"/>
    <n v="-3.0314985998433714"/>
    <n v="11155.766666666699"/>
    <n v="0.70123999999999997"/>
    <n v="2.4166666666666664E-3"/>
    <n v="-0.38575140015662157"/>
    <n v="19.505315630492174"/>
    <n v="0"/>
    <n v="0"/>
    <n v="0"/>
    <n v="1.9505315630492175"/>
    <n v="1.9505315630492175"/>
  </r>
  <r>
    <x v="66"/>
    <n v="6468.07"/>
    <n v="6309.52"/>
    <n v="158.55000000000001"/>
    <n v="145.36000000000001"/>
    <n v="139.61882862020875"/>
    <n v="1.8474166666666667"/>
    <n v="104.47733333333333"/>
    <n v="0"/>
    <n v="33.294078620208751"/>
    <n v="11768.766666666699"/>
    <n v="0.70259000000000005"/>
    <n v="2.4166666666666664E-3"/>
    <n v="5.7411713797912682"/>
    <n v="19.342771333571406"/>
    <n v="0"/>
    <n v="0"/>
    <n v="0"/>
    <n v="1.9342771333571407"/>
    <n v="1.9342771333571407"/>
  </r>
  <r>
    <x v="67"/>
    <n v="6459.11"/>
    <n v="6279.42"/>
    <n v="179.69"/>
    <n v="75.06"/>
    <n v="54.63022136187751"/>
    <n v="1.32125"/>
    <n v="105.15866666666668"/>
    <n v="0"/>
    <n v="-51.849695304789172"/>
    <n v="11768.766666666699"/>
    <n v="0.70349000000000006"/>
    <n v="2.6166666666666669E-3"/>
    <n v="20.429778638122492"/>
    <n v="19.18158157245831"/>
    <n v="0"/>
    <n v="0"/>
    <n v="0"/>
    <n v="1.9181581572458311"/>
    <n v="1.9181581572458311"/>
  </r>
  <r>
    <x v="68"/>
    <n v="6489"/>
    <n v="6345.15"/>
    <n v="143.85"/>
    <n v="170.39"/>
    <n v="105.91302473930995"/>
    <n v="1.4974166666666666"/>
    <n v="104.657"/>
    <n v="0"/>
    <n v="-0.24139192735671677"/>
    <n v="11768.766666666699"/>
    <n v="0.70376000000000005"/>
    <n v="2.6166666666666669E-3"/>
    <n v="64.47697526069004"/>
    <n v="19.021735059354491"/>
    <n v="0"/>
    <n v="0"/>
    <n v="0"/>
    <n v="1.9021735059354492"/>
    <n v="1.9021735059354492"/>
  </r>
  <r>
    <x v="69"/>
    <n v="6516.23"/>
    <n v="6374.41"/>
    <n v="141.82"/>
    <n v="135.01"/>
    <n v="114.76419924485238"/>
    <n v="1.19875"/>
    <n v="105.7525"/>
    <n v="0"/>
    <n v="7.8129492448523772"/>
    <n v="11955.5333333333"/>
    <n v="0.70616000000000001"/>
    <n v="2.6166666666666669E-3"/>
    <n v="20.245800755147613"/>
    <n v="18.863220600526535"/>
    <n v="0"/>
    <n v="0"/>
    <n v="0"/>
    <n v="1.8863220600526536"/>
    <n v="1.8863220600526536"/>
  </r>
  <r>
    <x v="70"/>
    <n v="6544.44"/>
    <n v="6335.56"/>
    <n v="208.88"/>
    <n v="67.39"/>
    <n v="17.710973909026634"/>
    <n v="1.1818333333333333"/>
    <n v="106.24016666666667"/>
    <n v="0"/>
    <n v="-89.711026090973363"/>
    <n v="11955.5333333333"/>
    <n v="0.7087699999999999"/>
    <n v="3.0166666666666671E-3"/>
    <n v="49.679026090973366"/>
    <n v="18.706027095522145"/>
    <n v="0"/>
    <n v="0"/>
    <n v="0"/>
    <n v="1.8706027095522146"/>
    <n v="1.8706027095522146"/>
  </r>
  <r>
    <x v="71"/>
    <n v="6664.14"/>
    <n v="6594.21"/>
    <n v="69.930000000000007"/>
    <n v="364.24"/>
    <n v="109.04595888426805"/>
    <n v="1.7406666666666666"/>
    <n v="105.59266666666667"/>
    <n v="0"/>
    <n v="1.7126255509347081"/>
    <n v="11955.5333333333"/>
    <n v="0.70672000000000001"/>
    <n v="3.0166666666666671E-3"/>
    <n v="255.19404111573198"/>
    <n v="18.550143536392795"/>
    <n v="0"/>
    <n v="0"/>
    <n v="0"/>
    <n v="1.8550143536392796"/>
    <n v="1.8550143536392796"/>
  </r>
  <r>
    <x v="72"/>
    <n v="7471.38"/>
    <n v="7219.24"/>
    <n v="252.14"/>
    <n v="734.93"/>
    <n v="81.861812453672073"/>
    <n v="0.5827500000000001"/>
    <n v="109.90349999999999"/>
    <n v="-3.3983148543882677"/>
    <n v="-25.226122691939665"/>
    <n v="11477.3"/>
    <n v="0.70825999999999989"/>
    <n v="3.0166666666666671E-3"/>
    <n v="653.06818754632786"/>
    <n v="130.61363750926557"/>
    <n v="183.28418754632787"/>
    <n v="27.492628131949179"/>
    <n v="36.656837509265578"/>
    <n v="13.061363750926558"/>
    <n v="77.210829392141321"/>
  </r>
  <r>
    <x v="73"/>
    <n v="6926.15"/>
    <n v="6699.14"/>
    <n v="227.01"/>
    <n v="0"/>
    <n v="121.82349125186852"/>
    <n v="2.1011666666666664"/>
    <n v="120.32066666666667"/>
    <n v="0"/>
    <n v="-0.59834208146481915"/>
    <n v="11477.3"/>
    <n v="0.70899000000000001"/>
    <n v="3.0166666666666671E-3"/>
    <n v="-121.82349125186852"/>
    <n v="129.52519053002169"/>
    <n v="0"/>
    <n v="0"/>
    <n v="0"/>
    <n v="12.95251905300217"/>
    <n v="12.95251905300217"/>
  </r>
  <r>
    <x v="74"/>
    <n v="6799.24"/>
    <n v="6615.21"/>
    <n v="184.03"/>
    <n v="27.72"/>
    <n v="115.32815856944303"/>
    <n v="1.8917499999999998"/>
    <n v="111.65233333333335"/>
    <n v="0"/>
    <n v="1.784075236109691"/>
    <n v="11477.3"/>
    <n v="0.70680999999999994"/>
    <n v="3.0166666666666671E-3"/>
    <n v="-87.608158569443034"/>
    <n v="128.44581394227151"/>
    <n v="0"/>
    <n v="0"/>
    <n v="0"/>
    <n v="12.844581394227152"/>
    <n v="12.844581394227152"/>
  </r>
  <r>
    <x v="75"/>
    <n v="6828.64"/>
    <n v="6716.22"/>
    <n v="112.42"/>
    <n v="211.26"/>
    <n v="134.3110781923524"/>
    <n v="1.5335833333333333"/>
    <n v="110.2535"/>
    <n v="0"/>
    <n v="22.523994859019055"/>
    <n v="11982.8666666667"/>
    <n v="0.71022000000000007"/>
    <n v="3.0166666666666671E-3"/>
    <n v="76.948921807647594"/>
    <n v="127.37543215941925"/>
    <n v="0"/>
    <n v="0"/>
    <n v="0"/>
    <n v="12.737543215941926"/>
    <n v="12.737543215941926"/>
  </r>
  <r>
    <x v="76"/>
    <n v="6836.55"/>
    <n v="6623.96"/>
    <n v="212.59"/>
    <n v="19.68"/>
    <n v="110.58062407200539"/>
    <n v="0.9368333333333333"/>
    <n v="111.937"/>
    <n v="0"/>
    <n v="-2.2932092613279473"/>
    <n v="11982.8666666667"/>
    <n v="0.71296000000000004"/>
    <n v="3.0166666666666671E-3"/>
    <n v="-90.9006240720054"/>
    <n v="126.31397022475743"/>
    <n v="0"/>
    <n v="0"/>
    <n v="0"/>
    <n v="12.631397022475744"/>
    <n v="12.631397022475744"/>
  </r>
  <r>
    <x v="77"/>
    <n v="6793.01"/>
    <n v="6664.98"/>
    <n v="128.03"/>
    <n v="151.41999999999999"/>
    <n v="140.28111944056903"/>
    <n v="1.7715833333333333"/>
    <n v="110.39933333333333"/>
    <n v="0"/>
    <n v="28.110202773902365"/>
    <n v="11982.8666666667"/>
    <n v="0.71400999999999992"/>
    <n v="2.8750000000000004E-3"/>
    <n v="11.138880559430959"/>
    <n v="125.26135380621778"/>
    <n v="0"/>
    <n v="0"/>
    <n v="0"/>
    <n v="12.526135380621779"/>
    <n v="12.526135380621779"/>
  </r>
  <r>
    <x v="78"/>
    <n v="6786.22"/>
    <n v="6647.27"/>
    <n v="138.94999999999999"/>
    <n v="93.37"/>
    <n v="150.98568549569944"/>
    <n v="1.0669166666666667"/>
    <n v="111.083"/>
    <n v="0"/>
    <n v="38.835768829032787"/>
    <n v="12739.0666666667"/>
    <n v="0.71287999999999996"/>
    <n v="2.8750000000000004E-3"/>
    <n v="-57.615685495699438"/>
    <n v="124.21750919116597"/>
    <n v="0"/>
    <n v="0"/>
    <n v="0"/>
    <n v="12.421750919116597"/>
    <n v="12.421750919116597"/>
  </r>
  <r>
    <x v="79"/>
    <n v="6823.46"/>
    <n v="6660.36"/>
    <n v="163.1"/>
    <n v="123.88"/>
    <n v="119.11985869521801"/>
    <n v="1.1579166666666665"/>
    <n v="110.78783333333334"/>
    <n v="0"/>
    <n v="7.1741086952180151"/>
    <n v="12739.0666666667"/>
    <n v="0.71308000000000005"/>
    <n v="2.8416666666666664E-3"/>
    <n v="4.7601413047819818"/>
    <n v="123.18236328123959"/>
    <n v="0"/>
    <n v="0"/>
    <n v="0"/>
    <n v="12.318236328123959"/>
    <n v="12.318236328123959"/>
  </r>
  <r>
    <x v="80"/>
    <n v="6851.32"/>
    <n v="6707.89"/>
    <n v="143.43"/>
    <n v="158.54"/>
    <n v="112.32970703673593"/>
    <n v="1.3591666666666666"/>
    <n v="111.006"/>
    <n v="0"/>
    <n v="-3.5459629930742413E-2"/>
    <n v="12739.0666666667"/>
    <n v="0.71311999999999998"/>
    <n v="2.8416666666666664E-3"/>
    <n v="46.210292963264067"/>
    <n v="122.15584358722927"/>
    <n v="0"/>
    <n v="0"/>
    <n v="0"/>
    <n v="12.215584358722928"/>
    <n v="12.215584358722928"/>
  </r>
  <r>
    <x v="81"/>
    <n v="6880.3"/>
    <n v="6631.1"/>
    <n v="249.2"/>
    <n v="35.01"/>
    <n v="118.79423415307782"/>
    <n v="1.1952500000000001"/>
    <n v="111.79816666666667"/>
    <n v="0"/>
    <n v="5.8008174864111508"/>
    <n v="12870.166666666701"/>
    <n v="0.71389999999999998"/>
    <n v="2.8416666666666664E-3"/>
    <n v="-83.784234153077819"/>
    <n v="121.13787822400236"/>
    <n v="0"/>
    <n v="0"/>
    <n v="0"/>
    <n v="12.113787822400237"/>
    <n v="12.113787822400237"/>
  </r>
  <r>
    <x v="82"/>
    <n v="6915.16"/>
    <n v="6688.71"/>
    <n v="226.45"/>
    <n v="168.13"/>
    <n v="111.30309648223799"/>
    <n v="2.0766666666666667"/>
    <n v="110.51833333333335"/>
    <n v="0"/>
    <n v="-1.2919035177620206"/>
    <n v="12870.166666666701"/>
    <n v="0.71534999999999993"/>
    <n v="2.8416666666666664E-3"/>
    <n v="56.826903517762005"/>
    <n v="120.12839590546901"/>
    <n v="0"/>
    <n v="0"/>
    <n v="0"/>
    <n v="12.012839590546902"/>
    <n v="12.012839590546902"/>
  </r>
  <r>
    <x v="83"/>
    <n v="7037.73"/>
    <n v="6934.55"/>
    <n v="103.18"/>
    <n v="357.32"/>
    <n v="115.74750958889867"/>
    <n v="1.8870833333333332"/>
    <n v="111.4785"/>
    <n v="0"/>
    <n v="2.3819262555653351"/>
    <n v="12870.166666666701"/>
    <n v="0.71266999999999991"/>
    <n v="2.8416666666666664E-3"/>
    <n v="241.57249041110134"/>
    <n v="119.12732593959009"/>
    <n v="0"/>
    <n v="0"/>
    <n v="0"/>
    <n v="11.91273259395901"/>
    <n v="11.91273259395901"/>
  </r>
  <r>
    <x v="84"/>
    <n v="7123.06"/>
    <n v="6814.36"/>
    <n v="308.7"/>
    <n v="0"/>
    <n v="112.20842298558038"/>
    <n v="0.85983333333333334"/>
    <n v="115.57583333333334"/>
    <n v="0"/>
    <n v="-4.227243681086275"/>
    <n v="12820.233333333301"/>
    <n v="0.71463999999999994"/>
    <n v="2.8416666666666664E-3"/>
    <n v="-112.20842298558038"/>
    <n v="118.13459822342683"/>
    <n v="0"/>
    <n v="0"/>
    <n v="0"/>
    <n v="11.813459822342685"/>
    <n v="11.813459822342685"/>
  </r>
  <r>
    <x v="85"/>
    <n v="7388.43"/>
    <n v="7187.25"/>
    <n v="201.18"/>
    <n v="486.46"/>
    <n v="8.5952442471057093"/>
    <n v="2.5724999999999998"/>
    <n v="113.57266666666666"/>
    <n v="-102.33369976153308"/>
    <n v="-5.2162226580278759"/>
    <n v="12820.233333333301"/>
    <n v="0.72049999999999992"/>
    <n v="2.8416666666666664E-3"/>
    <n v="477.86475575289427"/>
    <n v="95.572951150578859"/>
    <n v="0"/>
    <n v="0"/>
    <n v="0"/>
    <n v="9.5572951150578866"/>
    <n v="9.5572951150578866"/>
  </r>
  <r>
    <x v="86"/>
    <n v="7117.6"/>
    <n v="6633.13"/>
    <n v="484.47"/>
    <n v="0"/>
    <n v="124.24777406783835"/>
    <n v="1.6765000000000001"/>
    <n v="119.78749999999999"/>
    <n v="0"/>
    <n v="2.7837740678383454"/>
    <n v="12820.233333333301"/>
    <n v="0.71735000000000004"/>
    <n v="2.8416666666666664E-3"/>
    <n v="-124.24777406783835"/>
    <n v="94.776509890990695"/>
    <n v="0"/>
    <n v="0"/>
    <n v="0"/>
    <n v="9.4776509890990699"/>
    <n v="9.4776509890990699"/>
  </r>
  <r>
    <x v="87"/>
    <n v="7213.92"/>
    <n v="6662.32"/>
    <n v="551.6"/>
    <n v="139.74"/>
    <n v="123.56861311511715"/>
    <n v="4.0372500000000002"/>
    <n v="110.55216666666666"/>
    <n v="0"/>
    <n v="8.9791964484504749"/>
    <n v="13015.8"/>
    <n v="0.71813000000000005"/>
    <n v="2.8416666666666664E-3"/>
    <n v="16.171386884882864"/>
    <n v="93.986705641899107"/>
    <n v="0"/>
    <n v="0"/>
    <n v="0"/>
    <n v="9.3986705641899118"/>
    <n v="9.3986705641899118"/>
  </r>
  <r>
    <x v="88"/>
    <n v="7213.57"/>
    <n v="7004.27"/>
    <n v="209.3"/>
    <n v="452.99"/>
    <n v="112.56904143622573"/>
    <n v="4.5966666666666667"/>
    <n v="111.03866666666666"/>
    <n v="0"/>
    <n v="-3.0662918971075848"/>
    <n v="13015.8"/>
    <n v="0.72156000000000009"/>
    <n v="2.8416666666666664E-3"/>
    <n v="340.42095856377426"/>
    <n v="93.203483094883282"/>
    <n v="0"/>
    <n v="0"/>
    <n v="0"/>
    <n v="9.3203483094883293"/>
    <n v="9.3203483094883293"/>
  </r>
  <r>
    <x v="89"/>
    <n v="7098.28"/>
    <n v="6972.14"/>
    <n v="126.14"/>
    <n v="84.61"/>
    <n v="117.84048263562669"/>
    <n v="1.7441666666666669"/>
    <n v="116.73783333333334"/>
    <n v="0"/>
    <n v="-0.64151736437332152"/>
    <n v="13015.8"/>
    <n v="0.72227999999999992"/>
    <n v="2.8416666666666664E-3"/>
    <n v="-33.230482635626686"/>
    <n v="92.426787402425916"/>
    <n v="0"/>
    <n v="0"/>
    <n v="0"/>
    <n v="9.2426787402425923"/>
    <n v="9.2426787402425923"/>
  </r>
  <r>
    <x v="90"/>
    <n v="7115.57"/>
    <n v="6907.11"/>
    <n v="208.46"/>
    <n v="51.17"/>
    <n v="130.11919282312948"/>
    <n v="1.0511666666666666"/>
    <n v="116.20233333333334"/>
    <n v="0"/>
    <n v="12.86569282312948"/>
    <n v="13277.8666666667"/>
    <n v="0.72230000000000005"/>
    <n v="2.8416666666666664E-3"/>
    <n v="-78.949192823129479"/>
    <n v="91.656564174072372"/>
    <n v="0"/>
    <n v="0"/>
    <n v="0"/>
    <n v="9.1656564174072379"/>
    <n v="9.1656564174072379"/>
  </r>
  <r>
    <x v="91"/>
    <n v="7101.08"/>
    <n v="6960.8"/>
    <n v="140.28"/>
    <n v="168.81"/>
    <n v="115.94712082469229"/>
    <n v="1.7371666666666667"/>
    <n v="115.1185"/>
    <n v="0"/>
    <n v="-0.90854584197437838"/>
    <n v="13277.8666666667"/>
    <n v="0.72331000000000001"/>
    <n v="2.8416666666666664E-3"/>
    <n v="52.862879175307711"/>
    <n v="90.892759472621762"/>
    <n v="0"/>
    <n v="0"/>
    <n v="0"/>
    <n v="9.0892759472621769"/>
    <n v="9.0892759472621769"/>
  </r>
  <r>
    <x v="92"/>
    <n v="7068.67"/>
    <n v="6914.6"/>
    <n v="154.07"/>
    <n v="69.81"/>
    <n v="116.88575882581759"/>
    <n v="1.169"/>
    <n v="116.01333333333334"/>
    <n v="0"/>
    <n v="-0.29657450751574016"/>
    <n v="13277.8666666667"/>
    <n v="0.72364000000000006"/>
    <n v="2.8416666666666664E-3"/>
    <n v="-47.075758825817587"/>
    <n v="90.135319810349912"/>
    <n v="0"/>
    <n v="0"/>
    <n v="0"/>
    <n v="9.0135319810349923"/>
    <n v="9.0135319810349923"/>
  </r>
  <r>
    <x v="93"/>
    <n v="7110.88"/>
    <n v="6900.25"/>
    <n v="210.63"/>
    <n v="100.89"/>
    <n v="133.07567539494173"/>
    <n v="1.2839166666666666"/>
    <n v="115.24333333333334"/>
    <n v="0"/>
    <n v="16.548425394941717"/>
    <n v="13621.666666666701"/>
    <n v="0.72384000000000004"/>
    <n v="2.8416666666666664E-3"/>
    <n v="-32.185675394941725"/>
    <n v="89.384192145263654"/>
    <n v="0"/>
    <n v="0"/>
    <n v="0"/>
    <n v="8.9384192145263661"/>
    <n v="8.9384192145263661"/>
  </r>
  <r>
    <x v="94"/>
    <n v="7188.37"/>
    <n v="6985.37"/>
    <n v="203"/>
    <n v="200.12"/>
    <n v="115.17535484846499"/>
    <n v="1.75525"/>
    <n v="115.00416666666666"/>
    <n v="0"/>
    <n v="-1.5840618182016755"/>
    <n v="13621.666666666701"/>
    <n v="0.72558000000000011"/>
    <n v="2.8416666666666664E-3"/>
    <n v="84.944645151535013"/>
    <n v="88.63932387738646"/>
    <n v="0"/>
    <n v="0"/>
    <n v="0"/>
    <n v="8.8639323877386467"/>
    <n v="8.8639323877386467"/>
  </r>
  <r>
    <x v="95"/>
    <n v="7364.63"/>
    <n v="7205.17"/>
    <n v="159.46"/>
    <n v="336.22"/>
    <n v="116.89622314500394"/>
    <n v="1.6916666666666667"/>
    <n v="116.42283333333333"/>
    <n v="0"/>
    <n v="-1.2182768549960477"/>
    <n v="13621.666666666701"/>
    <n v="0.7269199999999999"/>
    <n v="2.8416666666666664E-3"/>
    <n v="219.32377685499608"/>
    <n v="87.900662845074905"/>
    <n v="0"/>
    <n v="0"/>
    <n v="0"/>
    <n v="8.7900662845074908"/>
    <n v="8.7900662845074908"/>
  </r>
  <r>
    <x v="96"/>
    <n v="7918.82"/>
    <n v="7704.9"/>
    <n v="213.92"/>
    <n v="619.82000000000005"/>
    <n v="116.84350637273756"/>
    <n v="1.3288333333333333"/>
    <n v="120.08616666666667"/>
    <n v="0"/>
    <n v="-4.5714936272624414"/>
    <n v="13556.333333333299"/>
    <n v="0.72846"/>
    <n v="2.8416666666666664E-3"/>
    <n v="502.97649362726247"/>
    <n v="87.168157321365939"/>
    <n v="0"/>
    <n v="0"/>
    <n v="0"/>
    <n v="8.7168157321365936"/>
    <n v="8.7168157321365936"/>
  </r>
  <r>
    <x v="97"/>
    <n v="7824.95"/>
    <n v="7598.85"/>
    <n v="226.1"/>
    <n v="22.36"/>
    <n v="56.178992711441765"/>
    <n v="1.7826666666666666"/>
    <n v="128.41499999999999"/>
    <n v="-70.639584387670567"/>
    <n v="-3.3790895675543289"/>
    <n v="13556.333333333299"/>
    <n v="0.7321899999999999"/>
    <n v="2.8416666666666664E-3"/>
    <n v="-33.818992711441766"/>
    <n v="0"/>
    <n v="0"/>
    <n v="0"/>
    <n v="0"/>
    <n v="0"/>
    <n v="0"/>
  </r>
  <r>
    <x v="98"/>
    <n v="7676.2"/>
    <n v="7507.85"/>
    <n v="168.35"/>
    <n v="35.65"/>
    <n v="131.77651712903454"/>
    <n v="1.8841666666666665"/>
    <n v="126.64750000000001"/>
    <n v="0"/>
    <n v="3.2448504623678773"/>
    <n v="13556.333333333299"/>
    <n v="0.72858999999999996"/>
    <n v="2.8416666666666664E-3"/>
    <n v="-96.126517129034539"/>
    <n v="0"/>
    <n v="-2.8550171290345503"/>
    <n v="0"/>
    <n v="0"/>
    <n v="0"/>
    <n v="0"/>
  </r>
  <r>
    <x v="99"/>
    <n v="7594.37"/>
    <n v="7431.2"/>
    <n v="163.16999999999999"/>
    <n v="48.48"/>
    <n v="159.63275662798156"/>
    <n v="1.4029166666666666"/>
    <n v="125.13083333333334"/>
    <n v="0"/>
    <n v="30.243989498947002"/>
    <n v="14247.9666666667"/>
    <n v="0.73194999999999988"/>
    <n v="2.8416666666666664E-3"/>
    <n v="-111.15275662798157"/>
    <n v="0"/>
    <n v="-22.294756627981585"/>
    <n v="0"/>
    <n v="0"/>
    <n v="0"/>
    <n v="0"/>
  </r>
  <r>
    <x v="100"/>
    <n v="7594.3"/>
    <n v="7439.04"/>
    <n v="155.26"/>
    <n v="131.69"/>
    <n v="146.10984752380875"/>
    <n v="1.3597499999999998"/>
    <n v="123.85333333333332"/>
    <n v="0"/>
    <n v="-1.3979924375061672"/>
    <n v="14247.9666666667"/>
    <n v="0.73346"/>
    <n v="2.8416666666666664E-3"/>
    <n v="-14.419847523808755"/>
    <n v="0"/>
    <n v="0"/>
    <n v="0"/>
    <n v="0"/>
    <n v="0"/>
    <n v="0"/>
  </r>
  <r>
    <x v="101"/>
    <n v="7501.41"/>
    <n v="7355.53"/>
    <n v="145.88"/>
    <n v="40.47"/>
    <n v="124.0940944622468"/>
    <n v="1.2938333333333332"/>
    <n v="123.98399999999999"/>
    <n v="0"/>
    <n v="-1.1837388710865395"/>
    <n v="14247.9666666667"/>
    <n v="0.73474000000000006"/>
    <n v="2.8416666666666664E-3"/>
    <n v="-83.624094462246802"/>
    <n v="0"/>
    <n v="-11.299394462246809"/>
    <n v="0"/>
    <n v="0"/>
    <n v="0"/>
    <n v="0"/>
  </r>
  <r>
    <x v="102"/>
    <n v="7482.93"/>
    <n v="7281.12"/>
    <n v="201.81"/>
    <n v="48.18"/>
    <n v="155.30148937884763"/>
    <n v="1.2156666666666667"/>
    <n v="122.59216666666666"/>
    <n v="0"/>
    <n v="20.194261583267522"/>
    <n v="14730.766666666699"/>
    <n v="0.73760999999999999"/>
    <n v="2.8416666666666664E-3"/>
    <n v="-107.12148937884763"/>
    <n v="0"/>
    <n v="0"/>
    <n v="0"/>
    <n v="0"/>
    <n v="0"/>
    <n v="0"/>
  </r>
  <r>
    <x v="103"/>
    <n v="7459.34"/>
    <n v="7354.83"/>
    <n v="104.51"/>
    <n v="195.06"/>
    <n v="120.6697993649977"/>
    <n v="1.6817500000000001"/>
    <n v="121.352"/>
    <n v="0"/>
    <n v="-2.3639506350022965"/>
    <n v="14730.766666666699"/>
    <n v="0.74013000000000007"/>
    <n v="2.8416666666666664E-3"/>
    <n v="74.390200635002302"/>
    <n v="0"/>
    <n v="0"/>
    <n v="0"/>
    <n v="0"/>
    <n v="0"/>
    <n v="0"/>
  </r>
  <r>
    <x v="104"/>
    <n v="7431.9"/>
    <n v="7217.56"/>
    <n v="214.34"/>
    <n v="0"/>
    <n v="122.00035493081887"/>
    <n v="0.87091666666666667"/>
    <n v="122.5805"/>
    <n v="0"/>
    <n v="-1.4510617358477969"/>
    <n v="14730.766666666699"/>
    <n v="0.74168000000000012"/>
    <n v="2.8416666666666664E-3"/>
    <n v="-122.00035493081887"/>
    <n v="0"/>
    <n v="0"/>
    <n v="0"/>
    <n v="0"/>
    <n v="0"/>
    <n v="0"/>
  </r>
  <r>
    <x v="105"/>
    <n v="7473.27"/>
    <n v="7308.91"/>
    <n v="164.36"/>
    <n v="211.64"/>
    <n v="114.90624720364571"/>
    <n v="1.7861666666666667"/>
    <n v="120.29266666666668"/>
    <n v="0"/>
    <n v="-7.1725861296876463"/>
    <n v="14586.1"/>
    <n v="0.74204999999999999"/>
    <n v="2.8416666666666664E-3"/>
    <n v="96.733752796354281"/>
    <n v="0"/>
    <n v="0"/>
    <n v="0"/>
    <n v="0"/>
    <n v="0"/>
    <n v="0"/>
  </r>
  <r>
    <x v="106"/>
    <n v="7494.97"/>
    <n v="7309.61"/>
    <n v="185.36"/>
    <n v="122.52"/>
    <n v="112.68083088562119"/>
    <n v="1.3696666666666668"/>
    <n v="121.81516666666667"/>
    <n v="0"/>
    <n v="-10.504002447712132"/>
    <n v="14586.1"/>
    <n v="0.74257999999999991"/>
    <n v="2.8833333333333332E-3"/>
    <n v="9.8391691143788051"/>
    <n v="0"/>
    <n v="0"/>
    <n v="0"/>
    <n v="0"/>
    <n v="0"/>
    <n v="0"/>
  </r>
  <r>
    <x v="107"/>
    <n v="7649.67"/>
    <n v="7492.66"/>
    <n v="157.01"/>
    <n v="304.88"/>
    <n v="12.638106035081094"/>
    <n v="1.5446666666666669"/>
    <n v="121.82683333333333"/>
    <n v="0"/>
    <n v="-110.7333939649189"/>
    <n v="14586.1"/>
    <n v="0.74180999999999997"/>
    <n v="3.4166666666666664E-3"/>
    <n v="292.24189396491892"/>
    <n v="0"/>
    <n v="0"/>
    <n v="0"/>
    <n v="0"/>
    <n v="0"/>
    <n v="0"/>
  </r>
  <r>
    <x v="108"/>
    <n v="8547.7000000000007"/>
    <n v="8215.34"/>
    <n v="332.36"/>
    <n v="847.56"/>
    <n v="-24.337107390237094"/>
    <n v="1.3084166666666666"/>
    <n v="124.87766666666667"/>
    <n v="17.198466717467451"/>
    <n v="-167.72165744103788"/>
    <n v="13760.666666666701"/>
    <n v="0.73951999999999996"/>
    <n v="4.3083333333333333E-3"/>
    <n v="871.89710739023701"/>
    <n v="149.85320000000002"/>
    <n v="382.72310739023692"/>
    <n v="57.408466108535535"/>
    <n v="76.544621478047389"/>
    <n v="14.985320000000002"/>
    <n v="148.93840758658291"/>
  </r>
  <r>
    <x v="109"/>
    <n v="7668.08"/>
    <n v="7540.12"/>
    <n v="127.96"/>
    <n v="0"/>
    <n v="134.82911101153721"/>
    <n v="2.7696666666666667"/>
    <n v="136.92233333333334"/>
    <n v="0"/>
    <n v="-4.8628889884628084"/>
    <n v="13760.666666666701"/>
    <n v="0.73903999999999992"/>
    <n v="4.3499999999999997E-3"/>
    <n v="-134.82911101153721"/>
    <n v="148.60442333333333"/>
    <n v="-82.270311011537217"/>
    <n v="0"/>
    <n v="0"/>
    <n v="14.860442333333333"/>
    <n v="14.860442333333333"/>
  </r>
  <r>
    <x v="110"/>
    <n v="7494.48"/>
    <n v="7327.04"/>
    <n v="167.44"/>
    <n v="0"/>
    <n v="218.03288402118224"/>
    <n v="1.0663333333333334"/>
    <n v="125.66866666666667"/>
    <n v="0"/>
    <n v="9.0275730096450246"/>
    <n v="13760.666666666701"/>
    <n v="0.73524"/>
    <n v="4.3E-3"/>
    <n v="-218.03288402118224"/>
    <n v="147.36605313888887"/>
    <n v="-123.86328402118224"/>
    <n v="0"/>
    <n v="0"/>
    <n v="14.736605313888887"/>
    <n v="14.736605313888887"/>
  </r>
  <r>
    <x v="111"/>
    <n v="7439.04"/>
    <n v="7307.16"/>
    <n v="131.88"/>
    <n v="102.24"/>
    <n v="252.69412831283424"/>
    <n v="1.3953333333333333"/>
    <n v="122.11733333333333"/>
    <n v="0"/>
    <n v="5.318177624985343"/>
    <n v="13903.8"/>
    <n v="0.73565999999999998"/>
    <n v="4.3E-3"/>
    <n v="-150.45412831283426"/>
    <n v="146.1380026960648"/>
    <n v="-91.645728312834265"/>
    <n v="0"/>
    <n v="0"/>
    <n v="14.613800269606481"/>
    <n v="14.613800269606481"/>
  </r>
  <r>
    <x v="112"/>
    <n v="7435.89"/>
    <n v="7238.63"/>
    <n v="197.26"/>
    <n v="53.26"/>
    <n v="209.53388945199805"/>
    <n v="1.099"/>
    <n v="121.786"/>
    <n v="0"/>
    <n v="-4.9968388608362018"/>
    <n v="13903.8"/>
    <n v="0.73392999999999997"/>
    <n v="4.3499999999999997E-3"/>
    <n v="-156.27388945199806"/>
    <n v="144.92018600693095"/>
    <n v="-31.400189451998074"/>
    <n v="0"/>
    <n v="0"/>
    <n v="14.492018600693095"/>
    <n v="14.492018600693095"/>
  </r>
  <r>
    <x v="113"/>
    <n v="7317.8"/>
    <n v="7077.49"/>
    <n v="240.31"/>
    <n v="0"/>
    <n v="154.13045698349345"/>
    <n v="1.6438333333333333"/>
    <n v="120.64383333333333"/>
    <n v="0"/>
    <n v="0.44260086482868782"/>
    <n v="13903.8"/>
    <n v="0.73333000000000004"/>
    <n v="4.3499999999999997E-3"/>
    <n v="-154.13045698349345"/>
    <n v="143.71251779020653"/>
    <n v="0"/>
    <n v="0"/>
    <n v="0"/>
    <n v="14.371251779020653"/>
    <n v="14.371251779020653"/>
  </r>
  <r>
    <x v="114"/>
    <n v="7260.4"/>
    <n v="7076.44"/>
    <n v="183.96"/>
    <n v="116.91"/>
    <n v="122.83186201052018"/>
    <n v="2.0025833333333334"/>
    <n v="117.95816666666666"/>
    <n v="0"/>
    <n v="2.8711120105201906"/>
    <n v="13991.8666666667"/>
    <n v="0.73408000000000007"/>
    <n v="4.3499999999999997E-3"/>
    <n v="-5.9218620105201865"/>
    <n v="141.54980000000003"/>
    <n v="0"/>
    <n v="0"/>
    <n v="0"/>
    <n v="14.154980000000004"/>
    <n v="14.154980000000004"/>
  </r>
  <r>
    <x v="115"/>
    <n v="7228.41"/>
    <n v="7097.09"/>
    <n v="131.32"/>
    <n v="138.59"/>
    <n v="120.27265489869478"/>
    <n v="1.5330000000000001"/>
    <n v="117.94066666666666"/>
    <n v="0"/>
    <n v="0.79898823202812697"/>
    <n v="13991.8666666667"/>
    <n v="0.73299999999999998"/>
    <n v="4.3499999999999997E-3"/>
    <n v="18.317345101305222"/>
    <n v="140.37021833333338"/>
    <n v="0"/>
    <n v="0"/>
    <n v="0"/>
    <n v="14.037021833333339"/>
    <n v="14.037021833333339"/>
  </r>
  <r>
    <x v="116"/>
    <n v="7198.87"/>
    <n v="7040.53"/>
    <n v="158.34"/>
    <n v="61.72"/>
    <n v="171.11899452002461"/>
    <n v="1.0943333333333334"/>
    <n v="118.28483333333334"/>
    <n v="0"/>
    <n v="51.73982785335793"/>
    <n v="13991.8666666667"/>
    <n v="0.73230999999999991"/>
    <n v="3.9666666666666661E-3"/>
    <n v="-109.39899452002462"/>
    <n v="139.20046651388893"/>
    <n v="-21.464294520024609"/>
    <n v="0"/>
    <n v="0"/>
    <n v="13.920046651388894"/>
    <n v="13.920046651388894"/>
  </r>
  <r>
    <x v="117"/>
    <n v="7220.57"/>
    <n v="7108.08"/>
    <n v="112.49"/>
    <n v="184.89"/>
    <n v="219.55500667896911"/>
    <n v="1.3195000000000001"/>
    <n v="117.34216666666666"/>
    <n v="0"/>
    <n v="79.429045492277822"/>
    <n v="14213.3"/>
    <n v="0.73116000000000003"/>
    <n v="3.5250000000000004E-3"/>
    <n v="-34.665006678969121"/>
    <n v="138.04046262627318"/>
    <n v="0"/>
    <n v="0"/>
    <n v="0"/>
    <n v="13.804046262627319"/>
    <n v="13.804046262627319"/>
  </r>
  <r>
    <x v="118"/>
    <n v="7227.01"/>
    <n v="7130.97"/>
    <n v="96.04"/>
    <n v="141.36000000000001"/>
    <n v="358.02430527059676"/>
    <n v="0.93741666666666668"/>
    <n v="118.468"/>
    <n v="0"/>
    <n v="238.61888860393009"/>
    <n v="14213.3"/>
    <n v="0.73282999999999998"/>
    <n v="2.4583333333333336E-3"/>
    <n v="-216.66430527059674"/>
    <n v="136.89012543772091"/>
    <n v="-191.93400527059674"/>
    <n v="0"/>
    <n v="0"/>
    <n v="13.689012543772092"/>
    <n v="13.689012543772092"/>
  </r>
  <r>
    <x v="119"/>
    <n v="7360.57"/>
    <n v="7069.93"/>
    <n v="290.64"/>
    <n v="57.81"/>
    <n v="763.35330796415474"/>
    <n v="0.80033333333333334"/>
    <n v="118.84950000000001"/>
    <n v="0"/>
    <n v="451.76946936022466"/>
    <n v="14213.3"/>
    <n v="0.73120999999999992"/>
    <n v="1.4333333333333333E-3"/>
    <n v="-705.54330796415479"/>
    <n v="135.74937439240657"/>
    <n v="-485.6026079641548"/>
    <n v="0"/>
    <n v="0"/>
    <n v="13.574937439240657"/>
    <n v="13.574937439240657"/>
  </r>
  <r>
    <x v="120"/>
    <n v="7520.24"/>
    <n v="7095.97"/>
    <n v="424.27"/>
    <n v="143.87"/>
    <n v="604.80167103846202"/>
    <n v="2.4219999999999997"/>
    <n v="117.83216666666667"/>
    <n v="0"/>
    <n v="-1.0551035923594467"/>
    <n v="14061.666666666701"/>
    <n v="0.73272999999999999"/>
    <n v="1.4166666666666668E-3"/>
    <n v="-460.93167103846201"/>
    <n v="134.61812960580318"/>
    <n v="-107.62137103846203"/>
    <n v="0"/>
    <n v="0"/>
    <n v="13.461812960580318"/>
    <n v="13.461812960580318"/>
  </r>
  <r>
    <x v="121"/>
    <n v="7788.62"/>
    <n v="7151.13"/>
    <n v="637.49"/>
    <n v="173.43"/>
    <n v="111.27368489849087"/>
    <n v="3.5355833333333333"/>
    <n v="118.26616666666668"/>
    <n v="-116.96491256054657"/>
    <n v="-1.1845235794246067"/>
    <n v="14061.666666666701"/>
    <n v="0.73364000000000007"/>
    <n v="1.4166666666666668E-3"/>
    <n v="62.156315101509136"/>
    <n v="12.431263020301827"/>
    <n v="0"/>
    <n v="0"/>
    <n v="0"/>
    <n v="1.2431263020301828"/>
    <n v="1.2431263020301828"/>
  </r>
  <r>
    <x v="122"/>
    <n v="7657.72"/>
    <n v="7223.09"/>
    <n v="434.63"/>
    <n v="191.15"/>
    <n v="138.69000482661019"/>
    <n v="5.3124166666666666"/>
    <n v="119.1855"/>
    <n v="0"/>
    <n v="14.192088159943529"/>
    <n v="14061.666666666701"/>
    <n v="0.73141999999999996"/>
    <n v="1.4E-3"/>
    <n v="52.459995173389814"/>
    <n v="12.327669161799312"/>
    <n v="0"/>
    <n v="0"/>
    <n v="0"/>
    <n v="1.2327669161799313"/>
    <n v="1.2327669161799313"/>
  </r>
  <r>
    <x v="123"/>
    <n v="7611.24"/>
    <n v="7304.64"/>
    <n v="306.60000000000002"/>
    <n v="201.93"/>
    <n v="161.83151899540525"/>
    <n v="3.6219166666666665"/>
    <n v="120.38483333333333"/>
    <n v="0"/>
    <n v="37.82476899540525"/>
    <n v="14658.5"/>
    <n v="0.73331000000000002"/>
    <n v="1.4E-3"/>
    <n v="40.09848100459476"/>
    <n v="12.224938585450984"/>
    <n v="0"/>
    <n v="0"/>
    <n v="0"/>
    <n v="1.2224938585450984"/>
    <n v="1.2224938585450984"/>
  </r>
  <r>
    <x v="124"/>
    <n v="7662.83"/>
    <n v="7395.64"/>
    <n v="267.19"/>
    <n v="212.74"/>
    <n v="122.05331097262024"/>
    <n v="2.5550000000000002"/>
    <n v="121.744"/>
    <n v="0"/>
    <n v="-2.2456890273797718"/>
    <n v="14658.5"/>
    <n v="0.73498999999999992"/>
    <n v="1.4E-3"/>
    <n v="90.686689027379771"/>
    <n v="12.123064097238892"/>
    <n v="0"/>
    <n v="0"/>
    <n v="0"/>
    <n v="1.2123064097238894"/>
    <n v="1.2123064097238894"/>
  </r>
  <r>
    <x v="125"/>
    <n v="7588.42"/>
    <n v="7392.49"/>
    <n v="195.93"/>
    <n v="120.11"/>
    <n v="126.46114020039946"/>
    <n v="2.2265833333333331"/>
    <n v="123.26066666666667"/>
    <n v="0"/>
    <n v="0.97389020039945684"/>
    <n v="14658.5"/>
    <n v="0.73426000000000002"/>
    <n v="1.4E-3"/>
    <n v="-6.3511402003994561"/>
    <n v="12.022038563095235"/>
    <n v="0"/>
    <n v="0"/>
    <n v="0"/>
    <n v="1.2022038563095236"/>
    <n v="1.2022038563095236"/>
  </r>
  <r>
    <x v="126"/>
    <n v="7614.53"/>
    <n v="7440.44"/>
    <n v="174.09"/>
    <n v="171.16"/>
    <n v="153.89563665786514"/>
    <n v="1.6327500000000001"/>
    <n v="123.20816666666666"/>
    <n v="0"/>
    <n v="29.054719991198482"/>
    <n v="15116.5333333333"/>
    <n v="0.73528000000000004"/>
    <n v="1.4E-3"/>
    <n v="17.264363342134857"/>
    <n v="11.921854908402773"/>
    <n v="0"/>
    <n v="0"/>
    <n v="0"/>
    <n v="1.1921854908402774"/>
    <n v="1.1921854908402774"/>
  </r>
  <r>
    <x v="127"/>
    <n v="7577.64"/>
    <n v="7435.19"/>
    <n v="142.44999999999999"/>
    <n v="118.76"/>
    <n v="124.83475560699632"/>
    <n v="1.45075"/>
    <n v="124.00733333333332"/>
    <n v="0"/>
    <n v="-0.62332772633700162"/>
    <n v="15116.5333333333"/>
    <n v="0.73573999999999995"/>
    <n v="1.4E-3"/>
    <n v="-6.0747556069963196"/>
    <n v="11.822506117499417"/>
    <n v="0"/>
    <n v="0"/>
    <n v="0"/>
    <n v="1.1822506117499418"/>
    <n v="1.1822506117499418"/>
  </r>
  <r>
    <x v="128"/>
    <n v="7712.46"/>
    <n v="7492.66"/>
    <n v="219.8"/>
    <n v="181.39"/>
    <n v="125.48611953124777"/>
    <n v="1.1870833333333333"/>
    <n v="123.91983333333333"/>
    <n v="0"/>
    <n v="0.37920286458109731"/>
    <n v="15116.5333333333"/>
    <n v="0.73546000000000011"/>
    <n v="1.4E-3"/>
    <n v="55.90388046875222"/>
    <n v="11.723985233186921"/>
    <n v="0"/>
    <n v="0"/>
    <n v="0"/>
    <n v="1.1723985233186922"/>
    <n v="1.1723985233186922"/>
  </r>
  <r>
    <x v="129"/>
    <n v="7735"/>
    <n v="7535.43"/>
    <n v="199.57"/>
    <n v="167.65"/>
    <n v="134.76936803690592"/>
    <n v="1.8316666666666668"/>
    <n v="124.87766666666667"/>
    <n v="0"/>
    <n v="8.0600347035725921"/>
    <n v="15227.766666666699"/>
    <n v="0.73490999999999995"/>
    <n v="1.4E-3"/>
    <n v="32.880631963094089"/>
    <n v="11.626285356243697"/>
    <n v="0"/>
    <n v="0"/>
    <n v="0"/>
    <n v="1.1626285356243697"/>
    <n v="1.1626285356243697"/>
  </r>
  <r>
    <x v="130"/>
    <n v="7777.28"/>
    <n v="7582.89"/>
    <n v="194.39"/>
    <n v="173.05"/>
    <n v="126.51895864692867"/>
    <n v="1.6630833333333332"/>
    <n v="125.59050000000001"/>
    <n v="0"/>
    <n v="-0.73462468640467016"/>
    <n v="15227.766666666699"/>
    <n v="0.73545000000000005"/>
    <n v="1.4E-3"/>
    <n v="46.531041353071345"/>
    <n v="11.529399644941666"/>
    <n v="0"/>
    <n v="0"/>
    <n v="0"/>
    <n v="1.1529399644941667"/>
    <n v="1.1529399644941667"/>
  </r>
  <r>
    <x v="131"/>
    <n v="9345.56"/>
    <n v="7866.25"/>
    <n v="1479.31"/>
    <n v="409.74"/>
    <n v="127.03582030368926"/>
    <n v="1.6199166666666664"/>
    <n v="126.3815"/>
    <n v="0"/>
    <n v="-0.96559636297740903"/>
    <n v="15227.766666666699"/>
    <n v="0.73616000000000004"/>
    <n v="1.4E-3"/>
    <n v="282.70417969631075"/>
    <n v="11.43332131456715"/>
    <n v="975.38917969631075"/>
    <n v="146.3083769544466"/>
    <n v="195.07783593926217"/>
    <n v="1.1433321314567151"/>
    <n v="342.52954502516548"/>
  </r>
  <r>
    <x v="132"/>
    <n v="8765.4"/>
    <n v="7674.59"/>
    <n v="1090.81"/>
    <n v="0"/>
    <n v="145.88076077033861"/>
    <n v="12.327583333333333"/>
    <n v="131.10416666666666"/>
    <n v="0"/>
    <n v="2.4490107703386088"/>
    <n v="15332.5"/>
    <n v="0.73941999999999997"/>
    <n v="1.4E-3"/>
    <n v="-145.88076077033861"/>
    <n v="11.338043636945759"/>
    <n v="177.47023922966127"/>
    <n v="26.62053588444919"/>
    <n v="35.494047845932258"/>
    <n v="1.133804363694576"/>
    <n v="63.24838809407602"/>
  </r>
  <r>
    <x v="133"/>
    <n v="8214.64"/>
    <n v="7652.75"/>
    <n v="561.89"/>
    <n v="106.07"/>
    <n v="115.50936627773322"/>
    <n v="9.0900833333333324"/>
    <n v="127.90983333333334"/>
    <n v="6.89605465679589"/>
    <n v="-28.386605045729333"/>
    <n v="15332.5"/>
    <n v="0.74293999999999993"/>
    <n v="1.4333333333333333E-3"/>
    <n v="-9.4393662777332281"/>
    <n v="0"/>
    <n v="0"/>
    <n v="0"/>
    <n v="0"/>
    <n v="0"/>
    <n v="0"/>
  </r>
  <r>
    <x v="134"/>
    <n v="8055.67"/>
    <n v="7633.78"/>
    <n v="421.89"/>
    <n v="108.58"/>
    <n v="135.64629473759757"/>
    <n v="4.6824166666666667"/>
    <n v="127.54583333333333"/>
    <n v="0"/>
    <n v="3.4180447375975662"/>
    <n v="15332.5"/>
    <n v="0.74038999999999999"/>
    <n v="1.4333333333333333E-3"/>
    <n v="-27.066294737597573"/>
    <n v="0"/>
    <n v="0"/>
    <n v="0"/>
    <n v="0"/>
    <n v="0"/>
    <n v="0"/>
  </r>
  <r>
    <x v="135"/>
    <n v="7984.13"/>
    <n v="7629.93"/>
    <n v="354.2"/>
    <n v="123.38"/>
    <n v="163.37154447642405"/>
    <n v="3.5157499999999997"/>
    <n v="127.22966666666666"/>
    <n v="0"/>
    <n v="32.626127809757371"/>
    <n v="15861.5333333333"/>
    <n v="0.74146000000000001"/>
    <n v="1.4333333333333333E-3"/>
    <n v="-39.991544476424053"/>
    <n v="0"/>
    <n v="0"/>
    <n v="0"/>
    <n v="0"/>
    <n v="0"/>
    <n v="0"/>
  </r>
  <r>
    <x v="136"/>
    <n v="7939.89"/>
    <n v="7622.93"/>
    <n v="316.95999999999998"/>
    <n v="120.17"/>
    <n v="133.77439094032968"/>
    <n v="2.9516666666666667"/>
    <n v="127.16550000000001"/>
    <n v="0"/>
    <n v="3.6572242736630169"/>
    <n v="15861.5333333333"/>
    <n v="0.73877999999999999"/>
    <n v="1.4333333333333333E-3"/>
    <n v="-13.604390940329679"/>
    <n v="0"/>
    <n v="0"/>
    <n v="0"/>
    <n v="0"/>
    <n v="0"/>
    <n v="0"/>
  </r>
  <r>
    <x v="137"/>
    <n v="7931.84"/>
    <n v="7687.54"/>
    <n v="244.3"/>
    <n v="191.66"/>
    <n v="128.03378872042137"/>
    <n v="2.6413333333333333"/>
    <n v="127.04883333333333"/>
    <n v="0"/>
    <n v="-1.656377946245295"/>
    <n v="15861.5333333333"/>
    <n v="0.73998999999999993"/>
    <n v="1.4333333333333333E-3"/>
    <n v="63.626211279578627"/>
    <n v="0"/>
    <n v="0"/>
    <n v="0"/>
    <n v="0"/>
    <n v="0"/>
    <n v="0"/>
  </r>
  <r>
    <x v="138"/>
    <n v="7912.66"/>
    <n v="7758.73"/>
    <n v="153.93"/>
    <n v="199.32"/>
    <n v="168.97219449980619"/>
    <n v="2.0358333333333336"/>
    <n v="128.12566666666666"/>
    <n v="0"/>
    <n v="38.810694499806196"/>
    <n v="16557.0333333333"/>
    <n v="0.74378"/>
    <n v="1.4333333333333333E-3"/>
    <n v="30.3478055001938"/>
    <n v="0"/>
    <n v="0"/>
    <n v="0"/>
    <n v="0"/>
    <n v="0"/>
    <n v="0"/>
  </r>
  <r>
    <x v="139"/>
    <n v="7897.75"/>
    <n v="7734.3"/>
    <n v="163.44999999999999"/>
    <n v="104.88"/>
    <n v="125.13990011233082"/>
    <n v="1.2827500000000001"/>
    <n v="129.31216666666666"/>
    <n v="0"/>
    <n v="-5.4550165543358311"/>
    <n v="16557.0333333333"/>
    <n v="0.74769000000000008"/>
    <n v="1.4333333333333333E-3"/>
    <n v="-20.259900112330826"/>
    <n v="0"/>
    <n v="0"/>
    <n v="0"/>
    <n v="0"/>
    <n v="0"/>
    <n v="0"/>
  </r>
  <r>
    <x v="140"/>
    <n v="7921.69"/>
    <n v="7789.11"/>
    <n v="132.58000000000001"/>
    <n v="183.71"/>
    <n v="130.0169275654809"/>
    <n v="1.3620833333333333"/>
    <n v="128.905"/>
    <n v="0"/>
    <n v="-0.25015576785244364"/>
    <n v="16557.0333333333"/>
    <n v="0.74787000000000003"/>
    <n v="1.4333333333333333E-3"/>
    <n v="53.693072434519109"/>
    <n v="0"/>
    <n v="0"/>
    <n v="0"/>
    <n v="0"/>
    <n v="0"/>
    <n v="0"/>
  </r>
  <r>
    <x v="141"/>
    <n v="7974.26"/>
    <n v="7789.11"/>
    <n v="185.15"/>
    <n v="129.82"/>
    <n v="148.30412484797498"/>
    <n v="1.1048333333333333"/>
    <n v="129.8185"/>
    <n v="0"/>
    <n v="17.380791514641619"/>
    <n v="16651.833333333299"/>
    <n v="0.74843999999999999"/>
    <n v="1.4166666666666668E-3"/>
    <n v="-18.484124847974982"/>
    <n v="0"/>
    <n v="0"/>
    <n v="0"/>
    <n v="0"/>
    <n v="0"/>
    <n v="0"/>
  </r>
  <r>
    <x v="142"/>
    <n v="8017.59"/>
    <n v="7758.45"/>
    <n v="259.14"/>
    <n v="99.16"/>
    <n v="129.04830458878774"/>
    <n v="1.5429166666666667"/>
    <n v="129.8185"/>
    <n v="0"/>
    <n v="-2.3131120778789032"/>
    <n v="16651.833333333299"/>
    <n v="0.75009000000000003"/>
    <n v="1.4166666666666668E-3"/>
    <n v="-29.888304588787747"/>
    <n v="0"/>
    <n v="0"/>
    <n v="0"/>
    <n v="0"/>
    <n v="0"/>
    <n v="0"/>
  </r>
  <r>
    <x v="143"/>
    <n v="8491.49"/>
    <n v="7827.19"/>
    <n v="664.3"/>
    <n v="198.05"/>
    <n v="129.70279826673612"/>
    <n v="2.1595"/>
    <n v="129.3075"/>
    <n v="0"/>
    <n v="-1.7642017332638809"/>
    <n v="16651.833333333299"/>
    <n v="0.75135000000000007"/>
    <n v="1.4166666666666668E-3"/>
    <n v="68.347201733263887"/>
    <n v="0"/>
    <n v="0"/>
    <n v="0"/>
    <n v="0"/>
    <n v="0"/>
    <n v="0"/>
  </r>
  <r>
    <x v="144"/>
    <n v="8836.94"/>
    <n v="7847.21"/>
    <n v="989.73"/>
    <n v="150.47"/>
    <n v="119.56839613190469"/>
    <n v="5.5358333333333327"/>
    <n v="130.45316666666665"/>
    <n v="18.456387739199297"/>
    <n v="-34.876991607294585"/>
    <n v="16165.266666666699"/>
    <n v="0.75412999999999997"/>
    <n v="1.4166666666666668E-3"/>
    <n v="30.901603868095307"/>
    <n v="6.1803207736190622"/>
    <n v="235.91060386809534"/>
    <n v="35.386590580214296"/>
    <n v="47.182120773619069"/>
    <n v="0.61803207736190624"/>
    <n v="83.186743431195268"/>
  </r>
  <r>
    <x v="145"/>
    <n v="8238.7199999999993"/>
    <n v="7769.93"/>
    <n v="468.79"/>
    <n v="53.51"/>
    <n v="141.00029316446901"/>
    <n v="8.2477499999999999"/>
    <n v="130.78683333333333"/>
    <n v="0"/>
    <n v="1.9657098311356929"/>
    <n v="16165.266666666699"/>
    <n v="0.75269999999999992"/>
    <n v="1.4166666666666668E-3"/>
    <n v="-87.490293164469023"/>
    <n v="6.12881810050557"/>
    <n v="0"/>
    <n v="0"/>
    <n v="0"/>
    <n v="0.61288181005055709"/>
    <n v="0.61288181005055709"/>
  </r>
  <r>
    <x v="146"/>
    <n v="8192.94"/>
    <n v="7908.81"/>
    <n v="284.13"/>
    <n v="268.38"/>
    <n v="131.55997840750123"/>
    <n v="3.9065833333333333"/>
    <n v="129.49883333333335"/>
    <n v="0"/>
    <n v="-1.8454382591654606"/>
    <n v="16165.266666666699"/>
    <n v="0.75403999999999993"/>
    <n v="1.4166666666666668E-3"/>
    <n v="136.82002159249876"/>
    <n v="6.07774461633469"/>
    <n v="0"/>
    <n v="0"/>
    <n v="0"/>
    <n v="0.60777446163346904"/>
    <n v="0.60777446163346904"/>
  </r>
  <r>
    <x v="147"/>
    <n v="8249.99"/>
    <n v="7935.34"/>
    <n v="314.64999999999998"/>
    <n v="158.34"/>
    <n v="116.92845596918666"/>
    <n v="2.36775"/>
    <n v="131.8135"/>
    <n v="0"/>
    <n v="-17.252794030813345"/>
    <n v="15941.833333333299"/>
    <n v="0.75611000000000006"/>
    <n v="1.4166666666666668E-3"/>
    <n v="41.411544030813346"/>
    <n v="6.0270967445319013"/>
    <n v="0"/>
    <n v="0"/>
    <n v="0"/>
    <n v="0.60270967445319013"/>
    <n v="0.60270967445319013"/>
  </r>
  <r>
    <x v="148"/>
    <n v="8224.09"/>
    <n v="7920.5"/>
    <n v="303.58999999999997"/>
    <n v="117.42"/>
    <n v="139.01997575558957"/>
    <n v="2.6220833333333333"/>
    <n v="132.25566666666666"/>
    <n v="0"/>
    <n v="4.1422257555895667"/>
    <n v="15941.833333333299"/>
    <n v="0.75307000000000002"/>
    <n v="1.4166666666666668E-3"/>
    <n v="-21.599975755589568"/>
    <n v="5.976870938327469"/>
    <n v="0"/>
    <n v="0"/>
    <n v="0"/>
    <n v="0.59768709383274687"/>
    <n v="0.59768709383274687"/>
  </r>
  <r>
    <x v="149"/>
    <n v="8234.7999999999993"/>
    <n v="7987.28"/>
    <n v="247.52"/>
    <n v="198.79"/>
    <n v="140.17495347148756"/>
    <n v="2.5299166666666664"/>
    <n v="132.00833333333333"/>
    <n v="0"/>
    <n v="5.6367034714875395"/>
    <n v="15941.833333333299"/>
    <n v="0.74894000000000005"/>
    <n v="1.4166666666666668E-3"/>
    <n v="58.615046528512437"/>
    <n v="5.9270636805080734"/>
    <n v="0"/>
    <n v="0"/>
    <n v="0"/>
    <n v="0.59270636805080734"/>
    <n v="0.59270636805080734"/>
  </r>
  <r>
    <x v="150"/>
    <n v="8245.93"/>
    <n v="7977.69"/>
    <n v="268.24"/>
    <n v="123.53"/>
    <n v="115.81627467001113"/>
    <n v="2.0626666666666669"/>
    <n v="133.12133333333333"/>
    <n v="0"/>
    <n v="-19.367725329988879"/>
    <n v="15738"/>
    <n v="0.75343000000000004"/>
    <n v="1.4166666666666668E-3"/>
    <n v="7.7137253299888755"/>
    <n v="5.8776714831705057"/>
    <n v="0"/>
    <n v="0"/>
    <n v="0"/>
    <n v="0.58776714831705057"/>
    <n v="0.58776714831705057"/>
  </r>
  <r>
    <x v="151"/>
    <n v="8188.53"/>
    <n v="7957.18"/>
    <n v="231.35"/>
    <n v="112.45"/>
    <n v="135.79409374828631"/>
    <n v="2.2353333333333336"/>
    <n v="132.9615"/>
    <n v="0"/>
    <n v="0.59726041495299698"/>
    <n v="15738"/>
    <n v="0.75299000000000005"/>
    <n v="1.4166666666666668E-3"/>
    <n v="-23.344093748286312"/>
    <n v="5.8286908874774186"/>
    <n v="0"/>
    <n v="0"/>
    <n v="0"/>
    <n v="0.5828690887477419"/>
    <n v="0.5828690887477419"/>
  </r>
  <r>
    <x v="152"/>
    <n v="8188.74"/>
    <n v="8015"/>
    <n v="173.74"/>
    <n v="190.44"/>
    <n v="377.18730058973222"/>
    <n v="1.9279166666666667"/>
    <n v="132.61966666666666"/>
    <n v="0"/>
    <n v="242.63971725639891"/>
    <n v="15738"/>
    <n v="0.7519499999999999"/>
    <n v="1.1333333333333334E-3"/>
    <n v="-186.74730058973222"/>
    <n v="5.780118463415107"/>
    <n v="-93.157300589732216"/>
    <n v="0"/>
    <n v="0"/>
    <n v="0.5780118463415107"/>
    <n v="0.5780118463415107"/>
  </r>
  <r>
    <x v="153"/>
    <n v="8239.6299999999992"/>
    <n v="8068.27"/>
    <n v="171.36"/>
    <n v="186.85"/>
    <n v="440.94235987142918"/>
    <n v="1.4478333333333333"/>
    <n v="133.58333333333334"/>
    <n v="0"/>
    <n v="212.75389261503031"/>
    <n v="15868.1333333333"/>
    <n v="0.75004999999999999"/>
    <n v="9.5833333333333328E-4"/>
    <n v="-254.09235987142918"/>
    <n v="5.7319508095533145"/>
    <n v="-163.41505987142918"/>
    <n v="0"/>
    <n v="0"/>
    <n v="0.57319508095533145"/>
    <n v="0.57319508095533145"/>
  </r>
  <r>
    <x v="154"/>
    <n v="8414.7000000000007"/>
    <n v="8155.14"/>
    <n v="259.56"/>
    <n v="221.34"/>
    <n v="346.39275025671128"/>
    <n v="1.4280000000000002"/>
    <n v="134.47116666666668"/>
    <n v="0"/>
    <n v="47.078523718615436"/>
    <n v="15868.1333333333"/>
    <n v="0.74846999999999997"/>
    <n v="9.2500000000000004E-4"/>
    <n v="-125.05275025671128"/>
    <n v="5.6841845528070367"/>
    <n v="0"/>
    <n v="0"/>
    <n v="0"/>
    <n v="0.56841845528070367"/>
    <n v="0.56841845528070367"/>
  </r>
  <r>
    <x v="155"/>
    <n v="8675.31"/>
    <n v="8233.82"/>
    <n v="441.49"/>
    <n v="214.6"/>
    <n v="249.99521194698417"/>
    <n v="2.1629999999999998"/>
    <n v="135.91900000000001"/>
    <n v="0"/>
    <n v="111.91321194698415"/>
    <n v="15868.1333333333"/>
    <n v="0.74692999999999998"/>
    <n v="8.5000000000000006E-4"/>
    <n v="-35.395211946984176"/>
    <n v="5.6368163482003117"/>
    <n v="0"/>
    <n v="0"/>
    <n v="0"/>
    <n v="0.5636816348200312"/>
    <n v="0.5636816348200312"/>
  </r>
  <r>
    <x v="156"/>
    <n v="8764.42"/>
    <n v="8158.29"/>
    <n v="606.13"/>
    <n v="61.7"/>
    <n v="179.01310634016832"/>
    <n v="3.6790833333333333"/>
    <n v="137.23033333333333"/>
    <n v="0"/>
    <n v="38.103689673501663"/>
    <n v="15986.5333333333"/>
    <n v="0.74584000000000006"/>
    <n v="8.3333333333333339E-4"/>
    <n v="-117.31310634016832"/>
    <n v="5.5898428786319752"/>
    <n v="0"/>
    <n v="0"/>
    <n v="0"/>
    <n v="0.55898428786319754"/>
    <n v="0.55898428786319754"/>
  </r>
  <r>
    <x v="157"/>
    <n v="8985.9"/>
    <n v="8132.81"/>
    <n v="853.09"/>
    <n v="110.49"/>
    <n v="177.3577129993721"/>
    <n v="5.0510833333333336"/>
    <n v="135.97149999999999"/>
    <n v="13.087748645810935"/>
    <n v="23.247381020227831"/>
    <n v="15986.5333333333"/>
    <n v="0.74804000000000004"/>
    <n v="8.166666666666666E-4"/>
    <n v="-66.867712999372102"/>
    <n v="0"/>
    <n v="0"/>
    <n v="0"/>
    <n v="0"/>
    <n v="0"/>
    <n v="0"/>
  </r>
  <r>
    <x v="158"/>
    <n v="8740.41"/>
    <n v="8327.5499999999993"/>
    <n v="412.86"/>
    <n v="330.29"/>
    <n v="186.2935376518148"/>
    <n v="7.1090833333333334"/>
    <n v="135.54683333333335"/>
    <n v="0"/>
    <n v="43.637620985148111"/>
    <n v="15986.5333333333"/>
    <n v="0.74733999999999989"/>
    <n v="7.9166666666666665E-4"/>
    <n v="143.99646234818522"/>
    <n v="0"/>
    <n v="0"/>
    <n v="0"/>
    <n v="0"/>
    <n v="0"/>
    <n v="0"/>
  </r>
  <r>
    <x v="159"/>
    <n v="8678.39"/>
    <n v="8340.7800000000007"/>
    <n v="337.61"/>
    <n v="152.02000000000001"/>
    <n v="194.27885808703414"/>
    <n v="3.4405000000000001"/>
    <n v="138.79249999999999"/>
    <n v="0"/>
    <n v="52.045858087034141"/>
    <n v="16615.166666666701"/>
    <n v="0.74813999999999992"/>
    <n v="7.9166666666666665E-4"/>
    <n v="-42.258858087034127"/>
    <n v="0"/>
    <n v="0"/>
    <n v="0"/>
    <n v="0"/>
    <n v="0"/>
    <n v="0"/>
  </r>
  <r>
    <x v="160"/>
    <n v="8699.81"/>
    <n v="8377.4599999999991"/>
    <n v="322.35000000000002"/>
    <n v="175.69"/>
    <n v="198.47334699566483"/>
    <n v="2.8134166666666669"/>
    <n v="139.01300000000001"/>
    <n v="0"/>
    <n v="56.64693032899816"/>
    <n v="16615.166666666701"/>
    <n v="0.75046999999999997"/>
    <n v="7.5833333333333341E-4"/>
    <n v="-22.783346995664829"/>
    <n v="0"/>
    <n v="0"/>
    <n v="0"/>
    <n v="0"/>
    <n v="0"/>
    <n v="0"/>
  </r>
  <r>
    <x v="161"/>
    <n v="8693.3700000000008"/>
    <n v="8439.48"/>
    <n v="253.89"/>
    <n v="201.64"/>
    <n v="143.20830240322155"/>
    <n v="2.6862500000000002"/>
    <n v="139.62433333333331"/>
    <n v="0"/>
    <n v="0.89771906988823957"/>
    <n v="16615.166666666701"/>
    <n v="0.75"/>
    <n v="7.5833333333333341E-4"/>
    <n v="58.431697596778434"/>
    <n v="0"/>
    <n v="0"/>
    <n v="0"/>
    <n v="0"/>
    <n v="0"/>
    <n v="0"/>
  </r>
  <r>
    <x v="162"/>
    <n v="8670.27"/>
    <n v="8418.41"/>
    <n v="251.86"/>
    <n v="119.59"/>
    <n v="292.06014074920643"/>
    <n v="2.1157499999999998"/>
    <n v="140.65799999999999"/>
    <n v="0"/>
    <n v="149.28639074920648"/>
    <n v="16778.766666666699"/>
    <n v="0.75022999999999995"/>
    <n v="6.9166666666666671E-4"/>
    <n v="-172.47014074920642"/>
    <n v="0"/>
    <n v="-4.7942407492064092"/>
    <n v="0"/>
    <n v="0"/>
    <n v="0"/>
    <n v="0"/>
  </r>
  <r>
    <x v="163"/>
    <n v="8706.11"/>
    <n v="8513.4699999999993"/>
    <n v="192.64"/>
    <n v="235.37"/>
    <n v="243.41496398948786"/>
    <n v="2.0988333333333333"/>
    <n v="140.30683333333334"/>
    <n v="0"/>
    <n v="96.215056573614746"/>
    <n v="16778.766666666699"/>
    <n v="0.74970000000000003"/>
    <n v="6.5000000000000008E-4"/>
    <n v="-8.0449639894878544"/>
    <n v="0"/>
    <n v="0"/>
    <n v="0"/>
    <n v="0"/>
    <n v="0"/>
    <n v="0"/>
  </r>
  <r>
    <x v="164"/>
    <n v="8687.2099999999991"/>
    <n v="8544.9"/>
    <n v="142.31"/>
    <n v="173.32"/>
    <n v="145.42528024356116"/>
    <n v="1.6053333333333333"/>
    <n v="141.89116666666666"/>
    <n v="0"/>
    <n v="1.9287802435611747"/>
    <n v="16778.766666666699"/>
    <n v="0.74876999999999994"/>
    <n v="6.5000000000000008E-4"/>
    <n v="27.894719756438832"/>
    <n v="0"/>
    <n v="0"/>
    <n v="0"/>
    <n v="0"/>
    <n v="0"/>
    <n v="0"/>
  </r>
  <r>
    <x v="165"/>
    <n v="8732.5"/>
    <n v="8557.57"/>
    <n v="174.93"/>
    <n v="155.09"/>
    <n v="149.02757348305056"/>
    <n v="1.1859166666666667"/>
    <n v="142.41499999999999"/>
    <n v="0"/>
    <n v="5.4266568163839155"/>
    <n v="16832.4666666667"/>
    <n v="0.74855000000000005"/>
    <n v="6.5000000000000008E-4"/>
    <n v="6.0624265169494436"/>
    <n v="0"/>
    <n v="0"/>
    <n v="0"/>
    <n v="0"/>
    <n v="0"/>
    <n v="0"/>
  </r>
  <r>
    <x v="166"/>
    <n v="8836.7999999999993"/>
    <n v="8655.64"/>
    <n v="181.16"/>
    <n v="240.7"/>
    <n v="140.60919388319908"/>
    <n v="1.4577500000000001"/>
    <n v="142.62616666666665"/>
    <n v="0"/>
    <n v="-3.4747227834675614"/>
    <n v="16832.4666666667"/>
    <n v="0.75022000000000011"/>
    <n v="6.5000000000000008E-4"/>
    <n v="100.09080611680091"/>
    <n v="0"/>
    <n v="0"/>
    <n v="0"/>
    <n v="0"/>
    <n v="0"/>
    <n v="0"/>
  </r>
  <r>
    <x v="167"/>
    <n v="8966.09"/>
    <n v="8612.1"/>
    <n v="353.99"/>
    <n v="100.72"/>
    <n v="145.83264864963948"/>
    <n v="1.5096666666666667"/>
    <n v="144.26066666666665"/>
    <n v="0"/>
    <n v="6.2315316306147707E-2"/>
    <n v="16832.4666666667"/>
    <n v="0.75019000000000002"/>
    <n v="6.5000000000000008E-4"/>
    <n v="-45.112648649639482"/>
    <n v="0"/>
    <n v="0"/>
    <n v="0"/>
    <n v="0"/>
    <n v="0"/>
    <n v="0"/>
  </r>
  <r>
    <x v="168"/>
    <n v="9808.0499999999993"/>
    <n v="8739.57"/>
    <n v="1068.48"/>
    <n v="271.01"/>
    <n v="125.30539760562192"/>
    <n v="2.9499166666666667"/>
    <n v="143.535"/>
    <n v="0"/>
    <n v="-21.179519061044747"/>
    <n v="16652.933333333302"/>
    <n v="0.75234999999999996"/>
    <n v="6.5000000000000008E-4"/>
    <n v="145.70460239437807"/>
    <n v="0"/>
    <n v="340.2276023943781"/>
    <n v="51.034140359156716"/>
    <n v="68.045520478875616"/>
    <n v="0"/>
    <n v="119.07966083803234"/>
  </r>
  <r>
    <x v="169"/>
    <n v="9806.65"/>
    <n v="8835.5400000000009"/>
    <n v="971.11"/>
    <n v="241.63"/>
    <n v="280.61306697517392"/>
    <n v="8.9039999999999999"/>
    <n v="145.65950000000001"/>
    <n v="18.743799490729057"/>
    <n v="107.30576748444487"/>
    <n v="16652.933333333302"/>
    <n v="0.75096999999999992"/>
    <n v="6.0833333333333334E-4"/>
    <n v="-38.983066975173926"/>
    <n v="0"/>
    <n v="48.572933024825943"/>
    <n v="7.2859399537238909"/>
    <n v="9.7145866049651897"/>
    <n v="0"/>
    <n v="17.000526558689081"/>
  </r>
  <r>
    <x v="170"/>
    <n v="9028.25"/>
    <n v="8757.56"/>
    <n v="270.69"/>
    <n v="69.28"/>
    <n v="424.04868254854017"/>
    <n v="8.0925833333333337"/>
    <n v="147.25900000000001"/>
    <n v="0"/>
    <n v="268.69709921520683"/>
    <n v="16652.933333333302"/>
    <n v="0.75307000000000002"/>
    <n v="5.1666666666666668E-4"/>
    <n v="-354.76868254854014"/>
    <n v="0"/>
    <n v="-171.65428254854015"/>
    <n v="0"/>
    <n v="0"/>
    <n v="0"/>
    <n v="0"/>
  </r>
  <r>
    <x v="171"/>
    <n v="9027.1299999999992"/>
    <n v="8770.44"/>
    <n v="256.69"/>
    <n v="158.84"/>
    <n v="307.88979137096658"/>
    <n v="2.2557499999999999"/>
    <n v="145.95933333333332"/>
    <n v="0"/>
    <n v="-11.979574510906872"/>
    <n v="16572.433333333302"/>
    <n v="0.75459999999999994"/>
    <n v="5.1666666666666668E-4"/>
    <n v="-149.04979137096657"/>
    <n v="0"/>
    <n v="0"/>
    <n v="0"/>
    <n v="0"/>
    <n v="0"/>
    <n v="0"/>
  </r>
  <r>
    <x v="172"/>
    <n v="9086.56"/>
    <n v="8811.9500000000007"/>
    <n v="274.61"/>
    <n v="187.68"/>
    <n v="807.98524937855291"/>
    <n v="2.1390833333333332"/>
    <n v="146.17400000000001"/>
    <n v="0"/>
    <n v="659.67216604521957"/>
    <n v="16572.433333333302"/>
    <n v="0.74980999999999998"/>
    <n v="3.6666666666666667E-4"/>
    <n v="-620.30524937855284"/>
    <n v="0"/>
    <n v="-433.81474937855285"/>
    <n v="0"/>
    <n v="0"/>
    <n v="0"/>
    <n v="0"/>
  </r>
  <r>
    <x v="173"/>
    <n v="9086.2099999999991"/>
    <n v="8836.3799999999992"/>
    <n v="249.83"/>
    <n v="171.3"/>
    <n v="685.83814745058021"/>
    <n v="2.288416666666667"/>
    <n v="146.86583333333334"/>
    <n v="0"/>
    <n v="102.86914807202737"/>
    <n v="16572.433333333302"/>
    <n v="0.74757000000000007"/>
    <n v="3.5E-4"/>
    <n v="-514.53814745058025"/>
    <n v="0"/>
    <n v="-353.07194745058018"/>
    <n v="0"/>
    <n v="0"/>
    <n v="0"/>
    <n v="0"/>
  </r>
  <r>
    <x v="174"/>
    <n v="9085.65"/>
    <n v="8861.7199999999993"/>
    <n v="223.93"/>
    <n v="172.61"/>
    <n v="627.08350526749587"/>
    <n v="2.0819166666666669"/>
    <n v="147.273"/>
    <n v="0"/>
    <n v="124.65664115024896"/>
    <n v="17672.5333333333"/>
    <n v="0.75224000000000002"/>
    <n v="3.5E-4"/>
    <n v="-454.47350526749585"/>
    <n v="0"/>
    <n v="-319.16070526749581"/>
    <n v="0"/>
    <n v="0"/>
    <n v="0"/>
    <n v="0"/>
  </r>
  <r>
    <x v="175"/>
    <n v="9173.92"/>
    <n v="8942.85"/>
    <n v="231.07"/>
    <n v="228.83"/>
    <n v="573.85428287552043"/>
    <n v="1.8660833333333333"/>
    <n v="147.69533333333331"/>
    <n v="0"/>
    <n v="105.13216094135795"/>
    <n v="17672.5333333333"/>
    <n v="0.75312000000000001"/>
    <n v="3.3333333333333332E-4"/>
    <n v="-345.02428287552038"/>
    <n v="0"/>
    <n v="-203.38278287552038"/>
    <n v="0"/>
    <n v="0"/>
    <n v="0"/>
    <n v="0"/>
  </r>
  <r>
    <x v="176"/>
    <n v="9173.01"/>
    <n v="8951.6"/>
    <n v="221.41"/>
    <n v="157.80000000000001"/>
    <n v="351.98209864761066"/>
    <n v="1.9255833333333332"/>
    <n v="149.04750000000001"/>
    <n v="0"/>
    <n v="-2.3737675612430587"/>
    <n v="17672.5333333333"/>
    <n v="0.75391999999999992"/>
    <n v="3.3333333333333332E-4"/>
    <n v="-194.18209864761064"/>
    <n v="0"/>
    <n v="-62.288098647610653"/>
    <n v="0"/>
    <n v="0"/>
    <n v="0"/>
    <n v="0"/>
  </r>
  <r>
    <x v="177"/>
    <n v="9172.66"/>
    <n v="8954.75"/>
    <n v="217.91"/>
    <n v="152.34"/>
    <n v="296.81164239742276"/>
    <n v="1.8450833333333334"/>
    <n v="149.19333333333333"/>
    <n v="0"/>
    <n v="83.485127083145443"/>
    <n v="18326.566666666698"/>
    <n v="0.75340000000000007"/>
    <n v="3.3333333333333332E-4"/>
    <n v="-144.47164239742276"/>
    <n v="0"/>
    <n v="-16.109142397422758"/>
    <n v="0"/>
    <n v="0"/>
    <n v="0"/>
    <n v="0"/>
  </r>
  <r>
    <x v="178"/>
    <n v="9171.82"/>
    <n v="8980.93"/>
    <n v="190.89"/>
    <n v="175.43"/>
    <n v="164.05896888256945"/>
    <n v="1.8159166666666666"/>
    <n v="149.24583333333334"/>
    <n v="0"/>
    <n v="-3.1119235148533351"/>
    <n v="18326.566666666698"/>
    <n v="0.75442999999999993"/>
    <n v="3.3333333333333332E-4"/>
    <n v="11.371031117430562"/>
    <n v="0"/>
    <n v="0"/>
    <n v="0"/>
    <n v="0"/>
    <n v="0"/>
    <n v="0"/>
  </r>
  <r>
    <x v="179"/>
    <n v="9372.09"/>
    <n v="8975.0499999999993"/>
    <n v="397.04"/>
    <n v="143.80000000000001"/>
    <n v="147.19653771081798"/>
    <n v="1.5907499999999999"/>
    <n v="149.68216666666666"/>
    <n v="0"/>
    <n v="-4.0763789558487096"/>
    <n v="18326.566666666698"/>
    <n v="0.75578000000000001"/>
    <n v="3.3333333333333332E-4"/>
    <n v="-3.3965377108179666"/>
    <n v="0"/>
    <n v="0"/>
    <n v="0"/>
    <n v="0"/>
    <n v="0"/>
    <n v="0"/>
  </r>
  <r>
    <x v="180"/>
    <n v="10171.209999999999"/>
    <n v="8977.7800000000007"/>
    <n v="1193.43"/>
    <n v="152.31"/>
    <n v="172.92356348934794"/>
    <n v="3.3086666666666669"/>
    <n v="149.58416666666665"/>
    <n v="18.964503400004407"/>
    <n v="1.0662267560102099"/>
    <n v="18374.666666666701"/>
    <n v="0.75741000000000003"/>
    <n v="3.3333333333333332E-4"/>
    <n v="-20.613563489347939"/>
    <n v="0"/>
    <n v="275.0384365106521"/>
    <n v="41.255765476597816"/>
    <n v="55.007687302130421"/>
    <n v="0"/>
    <n v="96.263452778728237"/>
  </r>
  <r>
    <x v="181"/>
    <n v="9668.26"/>
    <n v="9078.23"/>
    <n v="590.03"/>
    <n v="250.08"/>
    <n v="133.19840152247875"/>
    <n v="9.9452499999999997"/>
    <n v="149.62966666666668"/>
    <n v="0"/>
    <n v="-26.37651514418793"/>
    <n v="18374.666666666701"/>
    <n v="0.76612999999999998"/>
    <n v="3.3333333333333332E-4"/>
    <n v="116.88159847752127"/>
    <n v="0"/>
    <n v="0"/>
    <n v="0"/>
    <n v="0"/>
    <n v="0"/>
    <n v="0"/>
  </r>
  <r>
    <x v="182"/>
    <n v="9519.86"/>
    <n v="9147.74"/>
    <n v="372.12"/>
    <n v="220.81"/>
    <n v="173.04401667090136"/>
    <n v="4.9169166666666664"/>
    <n v="151.30383333333333"/>
    <n v="0"/>
    <n v="16.823266670901351"/>
    <n v="18374.666666666701"/>
    <n v="0.76051000000000002"/>
    <n v="3.3333333333333332E-4"/>
    <n v="47.765983329098646"/>
    <n v="0"/>
    <n v="0"/>
    <n v="0"/>
    <n v="0"/>
    <n v="0"/>
    <n v="0"/>
  </r>
  <r>
    <x v="183"/>
    <n v="9636.83"/>
    <n v="9182.39"/>
    <n v="454.44"/>
    <n v="187.11"/>
    <n v="194.29794717010645"/>
    <n v="3.101"/>
    <n v="152.46233333333333"/>
    <n v="0"/>
    <n v="38.734613836773136"/>
    <n v="18810.833333333299"/>
    <n v="0.76563999999999988"/>
    <n v="3.3333333333333332E-4"/>
    <n v="-7.1879471701064404"/>
    <n v="0"/>
    <n v="0"/>
    <n v="0"/>
    <n v="0"/>
    <n v="0"/>
    <n v="0"/>
  </r>
  <r>
    <x v="184"/>
    <n v="9634.7999999999993"/>
    <n v="9283.68"/>
    <n v="351.12"/>
    <n v="254.33"/>
    <n v="151.26884596901385"/>
    <n v="3.7869999999999999"/>
    <n v="153.03983333333332"/>
    <n v="0"/>
    <n v="-5.5579873643194748"/>
    <n v="18810.833333333299"/>
    <n v="0.76746999999999999"/>
    <n v="3.3333333333333332E-4"/>
    <n v="103.06115403098616"/>
    <n v="0"/>
    <n v="0"/>
    <n v="0"/>
    <n v="0"/>
    <n v="0"/>
    <n v="0"/>
  </r>
  <r>
    <x v="185"/>
    <n v="9633.82"/>
    <n v="9318.82"/>
    <n v="315"/>
    <n v="189.87"/>
    <n v="175.80862193829057"/>
    <n v="2.9260000000000002"/>
    <n v="154.72800000000001"/>
    <n v="0"/>
    <n v="18.154621938290568"/>
    <n v="18810.833333333299"/>
    <n v="0.76147000000000009"/>
    <n v="3.3333333333333332E-4"/>
    <n v="14.061378061709433"/>
    <n v="0"/>
    <n v="0"/>
    <n v="0"/>
    <n v="0"/>
    <n v="0"/>
    <n v="0"/>
  </r>
  <r>
    <x v="186"/>
    <n v="9632.14"/>
    <n v="9477.02"/>
    <n v="155.12"/>
    <n v="313.51"/>
    <n v="182.57637999449966"/>
    <n v="2.625"/>
    <n v="155.31366666666665"/>
    <n v="0"/>
    <n v="24.637713327833001"/>
    <n v="19162.266666666699"/>
    <n v="0.76757999999999993"/>
    <n v="3.3333333333333332E-4"/>
    <n v="130.93362000550033"/>
    <n v="0"/>
    <n v="0"/>
    <n v="0"/>
    <n v="0"/>
    <n v="0"/>
    <n v="0"/>
  </r>
  <r>
    <x v="187"/>
    <n v="9775.57"/>
    <n v="9436.7000000000007"/>
    <n v="338.87"/>
    <n v="117.63"/>
    <n v="162.27111451788917"/>
    <n v="1.2926666666666666"/>
    <n v="157.95033333333333"/>
    <n v="0"/>
    <n v="3.0281145178891777"/>
    <n v="19162.266666666699"/>
    <n v="0.7665900000000001"/>
    <n v="3.3333333333333332E-4"/>
    <n v="-44.641114517889179"/>
    <n v="0"/>
    <n v="0"/>
    <n v="0"/>
    <n v="0"/>
    <n v="0"/>
    <n v="0"/>
  </r>
  <r>
    <x v="188"/>
    <n v="9627.66"/>
    <n v="9430.68"/>
    <n v="196.98"/>
    <n v="151.26"/>
    <n v="97.635752056737971"/>
    <n v="2.8239166666666669"/>
    <n v="157.27833333333334"/>
    <n v="0"/>
    <n v="-62.466497943262027"/>
    <n v="19162.266666666699"/>
    <n v="0.76816000000000006"/>
    <n v="3.4166666666666661E-4"/>
    <n v="53.62424794326202"/>
    <n v="0"/>
    <n v="0"/>
    <n v="0"/>
    <n v="0"/>
    <n v="0"/>
    <n v="0"/>
  </r>
  <r>
    <x v="189"/>
    <n v="9745.33"/>
    <n v="9497.9500000000007"/>
    <n v="247.38"/>
    <n v="224.45"/>
    <n v="231.1976730120727"/>
    <n v="1.6415"/>
    <n v="157.178"/>
    <n v="0"/>
    <n v="72.378173012072708"/>
    <n v="19757.599999999999"/>
    <n v="0.76788000000000001"/>
    <n v="3.4166666666666661E-4"/>
    <n v="-6.7476730120727098"/>
    <n v="0"/>
    <n v="0"/>
    <n v="0"/>
    <n v="0"/>
    <n v="0"/>
    <n v="0"/>
  </r>
  <r>
    <x v="190"/>
    <n v="9894.36"/>
    <n v="9531.69"/>
    <n v="362.67"/>
    <n v="192.04"/>
    <n v="161.00493044370504"/>
    <n v="2.0615000000000001"/>
    <n v="158.29916666666668"/>
    <n v="0"/>
    <n v="0.6442637770383538"/>
    <n v="19757.599999999999"/>
    <n v="0.76766999999999996"/>
    <n v="3.4166666666666661E-4"/>
    <n v="31.035069556294957"/>
    <n v="0"/>
    <n v="0"/>
    <n v="0"/>
    <n v="0"/>
    <n v="0"/>
    <n v="0"/>
  </r>
  <r>
    <x v="191"/>
    <n v="10040.799999999999"/>
    <n v="9585.73"/>
    <n v="455.07"/>
    <n v="212.9"/>
    <n v="167.95556054833594"/>
    <n v="3.0222500000000001"/>
    <n v="158.86150000000001"/>
    <n v="0"/>
    <n v="6.0718105483359128"/>
    <n v="19757.599999999999"/>
    <n v="0.76568999999999998"/>
    <n v="3.4166666666666661E-4"/>
    <n v="44.944439451664067"/>
    <n v="0"/>
    <n v="0"/>
    <n v="0"/>
    <n v="0"/>
    <n v="0"/>
    <n v="0"/>
  </r>
  <r>
    <x v="192"/>
    <n v="11090.24"/>
    <n v="9675.82"/>
    <n v="1414.42"/>
    <n v="249.85"/>
    <n v="133.63291271841067"/>
    <n v="3.7922500000000001"/>
    <n v="159.76216666666667"/>
    <n v="0"/>
    <n v="-29.921503948256007"/>
    <n v="19370.099999999999"/>
    <n v="0.76037999999999994"/>
    <n v="3.4166666666666661E-4"/>
    <n v="116.21708728158933"/>
    <n v="0"/>
    <n v="563.05508728158941"/>
    <n v="84.458263092238411"/>
    <n v="112.61101745631788"/>
    <n v="0"/>
    <n v="197.06928054855629"/>
  </r>
  <r>
    <x v="193"/>
    <n v="10762.64"/>
    <n v="9674.6299999999992"/>
    <n v="1088.01"/>
    <n v="160.07"/>
    <n v="175.45923916091945"/>
    <n v="11.786833333333334"/>
    <n v="161.26366666666667"/>
    <n v="19.505374103365899"/>
    <n v="-17.096634942446467"/>
    <n v="19370.099999999999"/>
    <n v="0.76596999999999993"/>
    <n v="3.4166666666666661E-4"/>
    <n v="-15.389239160919459"/>
    <n v="0"/>
    <n v="105.15776083908054"/>
    <n v="15.77366412586208"/>
    <n v="21.031552167816109"/>
    <n v="0"/>
    <n v="36.805216293678185"/>
  </r>
  <r>
    <x v="194"/>
    <n v="10187.73"/>
    <n v="9724.68"/>
    <n v="463.05"/>
    <n v="211.29"/>
    <n v="177.11896160171509"/>
    <n v="9.0667500000000008"/>
    <n v="161.24383333333333"/>
    <n v="0"/>
    <n v="6.8083782683817562"/>
    <n v="19370.099999999999"/>
    <n v="0.76373000000000002"/>
    <n v="3.4166666666666661E-4"/>
    <n v="34.171038398284907"/>
    <n v="0"/>
    <n v="0"/>
    <n v="0"/>
    <n v="0"/>
    <n v="0"/>
    <n v="0"/>
  </r>
  <r>
    <x v="195"/>
    <n v="10303.44"/>
    <n v="9776.5499999999993"/>
    <n v="526.89"/>
    <n v="213.95"/>
    <n v="168.47800472747619"/>
    <n v="3.8587500000000001"/>
    <n v="162.078"/>
    <n v="0"/>
    <n v="2.5412547274762121"/>
    <n v="19986.333333333299"/>
    <n v="0.76843000000000006"/>
    <n v="3.5E-4"/>
    <n v="45.471995272523799"/>
    <n v="0"/>
    <n v="0"/>
    <n v="0"/>
    <n v="0"/>
    <n v="0"/>
    <n v="0"/>
  </r>
  <r>
    <x v="196"/>
    <n v="10302.39"/>
    <n v="9803.2199999999993"/>
    <n v="499.17"/>
    <n v="189.61"/>
    <n v="171.08053339733183"/>
    <n v="4.3907499999999997"/>
    <n v="162.9425"/>
    <n v="0"/>
    <n v="3.7472833973318322"/>
    <n v="19986.333333333299"/>
    <n v="0.76719999999999999"/>
    <n v="3.5E-4"/>
    <n v="18.52946660266818"/>
    <n v="0"/>
    <n v="0"/>
    <n v="0"/>
    <n v="0"/>
    <n v="0"/>
    <n v="0"/>
  </r>
  <r>
    <x v="197"/>
    <n v="10301.41"/>
    <n v="9839.48"/>
    <n v="461.93"/>
    <n v="199.65"/>
    <n v="188.84946553027959"/>
    <n v="4.1597499999999998"/>
    <n v="163.387"/>
    <n v="0"/>
    <n v="21.302715530279592"/>
    <n v="19986.333333333299"/>
    <n v="0.76019999999999999"/>
    <n v="3.5E-4"/>
    <n v="10.800534469720418"/>
    <n v="0"/>
    <n v="0"/>
    <n v="0"/>
    <n v="0"/>
    <n v="0"/>
    <n v="0"/>
  </r>
  <r>
    <x v="198"/>
    <n v="10299.73"/>
    <n v="9968.07"/>
    <n v="331.66"/>
    <n v="292.58"/>
    <n v="236.48205926694862"/>
    <n v="3.8494166666666669"/>
    <n v="163.99133333333333"/>
    <n v="0"/>
    <n v="68.641309266948639"/>
    <n v="20789.099999999999"/>
    <n v="0.76816999999999991"/>
    <n v="3.5E-4"/>
    <n v="56.09794073305136"/>
    <n v="0"/>
    <n v="0"/>
    <n v="0"/>
    <n v="0"/>
    <n v="0"/>
    <n v="0"/>
  </r>
  <r>
    <x v="199"/>
    <n v="10298.68"/>
    <n v="9974.23"/>
    <n v="324.45"/>
    <n v="172.29"/>
    <n v="157.59963694455175"/>
    <n v="2.7638333333333334"/>
    <n v="166.1345"/>
    <n v="0"/>
    <n v="-11.298696388781606"/>
    <n v="20789.099999999999"/>
    <n v="0.77180000000000004"/>
    <n v="3.5E-4"/>
    <n v="14.690363055448245"/>
    <n v="0"/>
    <n v="0"/>
    <n v="0"/>
    <n v="0"/>
    <n v="0"/>
    <n v="0"/>
  </r>
  <r>
    <x v="200"/>
    <n v="10297"/>
    <n v="10076.15"/>
    <n v="220.85"/>
    <n v="268.16000000000003"/>
    <n v="165.55897477915096"/>
    <n v="2.7037499999999999"/>
    <n v="166.23716666666667"/>
    <n v="0"/>
    <n v="-3.3819418875157305"/>
    <n v="20789.099999999999"/>
    <n v="0.77288999999999997"/>
    <n v="3.5E-4"/>
    <n v="102.60102522084907"/>
    <n v="0"/>
    <n v="0"/>
    <n v="0"/>
    <n v="0"/>
    <n v="0"/>
    <n v="0"/>
  </r>
  <r>
    <x v="201"/>
    <n v="10686.27"/>
    <n v="10185.209999999999"/>
    <n v="501.06"/>
    <n v="277"/>
    <n v="83.084749174290934"/>
    <n v="1.8404166666666666"/>
    <n v="167.93583333333333"/>
    <n v="0"/>
    <n v="-86.69150082570907"/>
    <n v="21566"/>
    <n v="0.77603999999999995"/>
    <n v="3.7500000000000006E-4"/>
    <n v="193.91525082570905"/>
    <n v="0"/>
    <n v="0"/>
    <n v="0"/>
    <n v="0"/>
    <n v="0"/>
    <n v="0"/>
  </r>
  <r>
    <x v="202"/>
    <n v="10369.66"/>
    <n v="10166.030000000001"/>
    <n v="203.63"/>
    <n v="150.57"/>
    <n v="-194.04641691939378"/>
    <n v="4.1755000000000004"/>
    <n v="169.75349999999997"/>
    <n v="0"/>
    <n v="-367.97541691939375"/>
    <n v="21566"/>
    <n v="0.77509000000000006"/>
    <n v="4.4166666666666665E-4"/>
    <n v="344.61641691939377"/>
    <n v="0"/>
    <n v="0"/>
    <n v="0"/>
    <n v="0"/>
    <n v="0"/>
    <n v="0"/>
  </r>
  <r>
    <x v="203"/>
    <n v="10766.91"/>
    <n v="10219.370000000001"/>
    <n v="547.54"/>
    <n v="222.77"/>
    <n v="52.285951084147698"/>
    <n v="1.6969166666666666"/>
    <n v="169.43383333333335"/>
    <n v="0"/>
    <n v="-118.84479891585234"/>
    <n v="21566"/>
    <n v="0.77534000000000003"/>
    <n v="4.6666666666666672E-4"/>
    <n v="170.48404891585233"/>
    <n v="0"/>
    <n v="0"/>
    <n v="0"/>
    <n v="0"/>
    <n v="0"/>
    <n v="0"/>
  </r>
  <r>
    <x v="204"/>
    <n v="12171.53"/>
    <n v="10353.42"/>
    <n v="1818.11"/>
    <n v="304.37"/>
    <n v="178.22926063632477"/>
    <n v="4.5628333333333329"/>
    <n v="170.32283333333334"/>
    <n v="20.040616604935703"/>
    <n v="-16.69702263527763"/>
    <n v="21346.400000000001"/>
    <n v="0.77355000000000007"/>
    <n v="4.6666666666666672E-4"/>
    <n v="126.14073936367524"/>
    <n v="25.22814787273505"/>
    <n v="908.90873936367507"/>
    <n v="136.33631090455125"/>
    <n v="181.78174787273502"/>
    <n v="2.5228147872735054"/>
    <n v="320.64087356455974"/>
  </r>
  <r>
    <x v="205"/>
    <n v="11464.25"/>
    <n v="10318.77"/>
    <n v="1145.48"/>
    <n v="137.91"/>
    <n v="146.42248376533016"/>
    <n v="15.150916666666665"/>
    <n v="172.55699999999999"/>
    <n v="0"/>
    <n v="-41.285432901336485"/>
    <n v="21346.400000000001"/>
    <n v="0.77509000000000006"/>
    <n v="4.7499999999999994E-4"/>
    <n v="-8.5124837653301597"/>
    <n v="25.017913307128925"/>
    <n v="105.09051623466962"/>
    <n v="15.763577435200443"/>
    <n v="21.018103246933926"/>
    <n v="2.5017913307128925"/>
    <n v="39.283472012847255"/>
  </r>
  <r>
    <x v="206"/>
    <n v="10748.15"/>
    <n v="10306.94"/>
    <n v="441.21"/>
    <n v="160.15"/>
    <n v="188.43817100680576"/>
    <n v="9.5456666666666674"/>
    <n v="171.9795"/>
    <n v="0"/>
    <n v="6.9130043401390857"/>
    <n v="21346.400000000001"/>
    <n v="0.77251999999999998"/>
    <n v="4.7499999999999994E-4"/>
    <n v="-28.288171006805754"/>
    <n v="24.809430696236184"/>
    <n v="0"/>
    <n v="0"/>
    <n v="0"/>
    <n v="2.4809430696236188"/>
    <n v="2.4809430696236188"/>
  </r>
  <r>
    <x v="207"/>
    <n v="10847.06"/>
    <n v="10396.049999999999"/>
    <n v="451.01"/>
    <n v="260.89"/>
    <n v="202.43061066713631"/>
    <n v="3.6767499999999997"/>
    <n v="171.78233333333336"/>
    <n v="0"/>
    <n v="26.971527333802946"/>
    <n v="21740"/>
    <n v="0.77673000000000003"/>
    <n v="4.7499999999999994E-4"/>
    <n v="58.45938933286368"/>
    <n v="24.602685440434218"/>
    <n v="0"/>
    <n v="0"/>
    <n v="0"/>
    <n v="2.460268544043422"/>
    <n v="2.460268544043422"/>
  </r>
  <r>
    <x v="208"/>
    <n v="11132.59"/>
    <n v="10382.19"/>
    <n v="750.4"/>
    <n v="159.41"/>
    <n v="180.20004947025981"/>
    <n v="3.7584166666666667"/>
    <n v="173.26749999999998"/>
    <n v="0"/>
    <n v="3.1741328035931526"/>
    <n v="21740"/>
    <n v="0.77556000000000003"/>
    <n v="4.7499999999999994E-4"/>
    <n v="-20.790049470259817"/>
    <n v="24.397663061763932"/>
    <n v="0"/>
    <n v="0"/>
    <n v="0"/>
    <n v="2.4397663061763932"/>
    <n v="2.4397663061763932"/>
  </r>
  <r>
    <x v="209"/>
    <n v="11131.26"/>
    <n v="10412.780000000001"/>
    <n v="718.48"/>
    <n v="203.63"/>
    <n v="192.49593917848773"/>
    <n v="6.253333333333333"/>
    <n v="173.03650000000002"/>
    <n v="0"/>
    <n v="13.206105845154381"/>
    <n v="21740"/>
    <n v="0.77068999999999999"/>
    <n v="4.7499999999999994E-4"/>
    <n v="11.134060821512264"/>
    <n v="24.194349202915898"/>
    <n v="0"/>
    <n v="0"/>
    <n v="0"/>
    <n v="2.4194349202915899"/>
    <n v="2.4194349202915899"/>
  </r>
  <r>
    <x v="210"/>
    <n v="11129.16"/>
    <n v="10446.379999999999"/>
    <n v="682.78"/>
    <n v="207.15"/>
    <n v="244.17743464367231"/>
    <n v="5.9873333333333338"/>
    <n v="173.54633333333334"/>
    <n v="0"/>
    <n v="64.643767977005638"/>
    <n v="22578.566666666698"/>
    <n v="0.77650999999999992"/>
    <n v="4.7499999999999994E-4"/>
    <n v="-37.027434643672308"/>
    <n v="23.992729626224936"/>
    <n v="0"/>
    <n v="0"/>
    <n v="0"/>
    <n v="2.3992729626224936"/>
    <n v="2.3992729626224936"/>
  </r>
  <r>
    <x v="211"/>
    <n v="11127.55"/>
    <n v="10437.77"/>
    <n v="689.78"/>
    <n v="165.5"/>
    <n v="141.40110936045573"/>
    <n v="5.6898333333333335"/>
    <n v="174.10633333333331"/>
    <n v="0"/>
    <n v="-38.395057306210887"/>
    <n v="22578.566666666698"/>
    <n v="0.77694000000000007"/>
    <n v="4.8333333333333328E-4"/>
    <n v="24.098890639544265"/>
    <n v="23.792790212673061"/>
    <n v="0"/>
    <n v="0"/>
    <n v="0"/>
    <n v="2.3792790212673061"/>
    <n v="2.3792790212673061"/>
  </r>
  <r>
    <x v="212"/>
    <n v="11125.8"/>
    <n v="10633.14"/>
    <n v="492.66"/>
    <n v="369.33"/>
    <n v="218.73678263985343"/>
    <n v="5.7481666666666662"/>
    <n v="173.96283333333335"/>
    <n v="0"/>
    <n v="39.025782639853418"/>
    <n v="22578.566666666698"/>
    <n v="0.7762699999999999"/>
    <n v="4.7499999999999994E-4"/>
    <n v="150.59321736014655"/>
    <n v="23.594516960900783"/>
    <n v="0"/>
    <n v="0"/>
    <n v="0"/>
    <n v="2.3594516960900784"/>
    <n v="2.3594516960900784"/>
  </r>
  <r>
    <x v="213"/>
    <n v="11124.19"/>
    <n v="10516.31"/>
    <n v="607.88"/>
    <n v="60.39"/>
    <n v="251.09434665746468"/>
    <n v="4.1055000000000001"/>
    <n v="177.21899999999999"/>
    <n v="0"/>
    <n v="69.769846657464683"/>
    <n v="23406.133333333299"/>
    <n v="0.7793000000000001"/>
    <n v="4.7499999999999994E-4"/>
    <n v="-190.70434665746467"/>
    <n v="23.397895986226612"/>
    <n v="0"/>
    <n v="0"/>
    <n v="0"/>
    <n v="2.3397895986226613"/>
    <n v="2.3397895986226613"/>
  </r>
  <r>
    <x v="214"/>
    <n v="11123.28"/>
    <n v="10593.66"/>
    <n v="529.62"/>
    <n v="252.62"/>
    <n v="180.33749999999998"/>
    <n v="5.065666666666667"/>
    <n v="175.27183333333332"/>
    <n v="0"/>
    <n v="0"/>
    <n v="23406.133333333299"/>
    <n v="0.7793000000000001"/>
    <n v="4.7499999999999994E-4"/>
    <n v="72.282500000000027"/>
    <n v="23.202913519674723"/>
    <n v="0"/>
    <n v="0"/>
    <n v="0"/>
    <n v="2.3202913519674726"/>
    <n v="2.3202913519674726"/>
  </r>
  <r>
    <x v="215"/>
    <n v="11605.37"/>
    <n v="10720.5"/>
    <n v="884.87"/>
    <n v="303.39999999999998"/>
    <n v="174.47538952117543"/>
    <n v="4.4135"/>
    <n v="176.56100000000001"/>
    <n v="0"/>
    <n v="-6.4991104788245702"/>
    <n v="23406.133333333299"/>
    <n v="0.78161000000000003"/>
    <n v="4.7499999999999994E-4"/>
    <n v="128.92461047882455"/>
    <n v="23.009555907010768"/>
    <n v="0"/>
    <n v="0"/>
    <n v="0"/>
    <n v="2.300955590701077"/>
    <n v="2.300955590701077"/>
  </r>
  <r>
    <x v="216"/>
    <n v="11602.15"/>
    <n v="10667.93"/>
    <n v="934.22"/>
    <n v="126.1"/>
    <n v="199.54759319239668"/>
    <n v="7.3739166666666671"/>
    <n v="178.67500000000001"/>
    <n v="0"/>
    <n v="13.498676525730005"/>
    <n v="23173.933333333302"/>
    <n v="0.76903999999999995"/>
    <n v="4.7499999999999994E-4"/>
    <n v="-73.447593192396681"/>
    <n v="22.81780960778568"/>
    <n v="0"/>
    <n v="0"/>
    <n v="0"/>
    <n v="2.2817809607785682"/>
    <n v="2.2817809607785682"/>
  </r>
  <r>
    <x v="217"/>
    <n v="13007.47"/>
    <n v="10764.6"/>
    <n v="2242.87"/>
    <n v="274.47000000000003"/>
    <n v="167.5092520180819"/>
    <n v="7.785166666666667"/>
    <n v="177.79883333333333"/>
    <n v="-1.8525583200443592"/>
    <n v="-16.222189661873742"/>
    <n v="23173.933333333302"/>
    <n v="0.77478999999999998"/>
    <n v="4.7499999999999994E-4"/>
    <n v="106.96074798191813"/>
    <n v="21.392149596383629"/>
    <n v="1273.3707479819182"/>
    <n v="191.00561219728772"/>
    <n v="254.67414959638364"/>
    <n v="2.1392149596383629"/>
    <n v="447.8189767533097"/>
  </r>
  <r>
    <x v="218"/>
    <n v="11618.32"/>
    <n v="10863.02"/>
    <n v="755.3"/>
    <n v="277.83"/>
    <n v="238.10721535191544"/>
    <n v="18.690583333333333"/>
    <n v="179.41"/>
    <n v="0"/>
    <n v="40.006632018582103"/>
    <n v="23173.933333333302"/>
    <n v="0.7743000000000001"/>
    <n v="4.6666666666666672E-4"/>
    <n v="39.722784648084541"/>
    <n v="21.213881683080434"/>
    <n v="0"/>
    <n v="0"/>
    <n v="0"/>
    <n v="2.1213881683080436"/>
    <n v="2.1213881683080436"/>
  </r>
  <r>
    <x v="219"/>
    <n v="11616.43"/>
    <n v="11029.55"/>
    <n v="586.88"/>
    <n v="347.58"/>
    <n v="365.84186512959309"/>
    <n v="6.2941666666666665"/>
    <n v="181.05033333333333"/>
    <n v="0"/>
    <n v="178.49736512959308"/>
    <n v="23922.799999999999"/>
    <n v="0.78025000000000011"/>
    <n v="4.4166666666666665E-4"/>
    <n v="-18.261865129593104"/>
    <n v="21.037099335721432"/>
    <n v="0"/>
    <n v="0"/>
    <n v="0"/>
    <n v="2.1037099335721434"/>
    <n v="2.1037099335721434"/>
  </r>
  <r>
    <x v="220"/>
    <n v="11613.56"/>
    <n v="11141.76"/>
    <n v="471.8"/>
    <n v="296.04000000000002"/>
    <n v="217.74368449988151"/>
    <n v="4.8906666666666663"/>
    <n v="183.82583333333332"/>
    <n v="0"/>
    <n v="29.027184499881521"/>
    <n v="23922.799999999999"/>
    <n v="0.78537000000000001"/>
    <n v="4.3333333333333331E-4"/>
    <n v="78.29631550011851"/>
    <n v="20.861790174590418"/>
    <n v="0"/>
    <n v="0"/>
    <n v="0"/>
    <n v="2.0861790174590418"/>
    <n v="2.0861790174590418"/>
  </r>
  <r>
    <x v="221"/>
    <n v="12103.49"/>
    <n v="11323.69"/>
    <n v="779.8"/>
    <n v="367.63"/>
    <n v="239.54236683366747"/>
    <n v="3.9316666666666666"/>
    <n v="185.696"/>
    <n v="0"/>
    <n v="49.914700167000817"/>
    <n v="23922.799999999999"/>
    <n v="0.78383999999999998"/>
    <n v="4.2500000000000003E-4"/>
    <n v="128.08763316633252"/>
    <n v="20.687941923135497"/>
    <n v="0"/>
    <n v="0"/>
    <n v="0"/>
    <n v="2.06879419231355"/>
    <n v="2.06879419231355"/>
  </r>
  <r>
    <x v="222"/>
    <n v="12101.25"/>
    <n v="11323.34"/>
    <n v="777.91"/>
    <n v="188.38"/>
    <n v="258.86947840352758"/>
    <n v="6.4983333333333331"/>
    <n v="188.72816666666668"/>
    <n v="0"/>
    <n v="63.642978403527565"/>
    <n v="25055.8"/>
    <n v="0.79957999999999996"/>
    <n v="4.2500000000000003E-4"/>
    <n v="-70.489478403527585"/>
    <n v="20.515542407109368"/>
    <n v="0"/>
    <n v="0"/>
    <n v="0"/>
    <n v="2.0515542407109368"/>
    <n v="2.0515542407109368"/>
  </r>
  <r>
    <x v="223"/>
    <n v="12097.33"/>
    <n v="11368"/>
    <n v="729.33"/>
    <n v="233.38"/>
    <n v="135.52958756081583"/>
    <n v="6.4825833333333334"/>
    <n v="188.72233333333332"/>
    <n v="0"/>
    <n v="-59.675329105850828"/>
    <n v="25055.8"/>
    <n v="0.8037399999999999"/>
    <n v="4.3333333333333331E-4"/>
    <n v="97.850412439184169"/>
    <n v="20.344579553716791"/>
    <n v="0"/>
    <n v="0"/>
    <n v="0"/>
    <n v="2.0344579553716793"/>
    <n v="2.0344579553716793"/>
  </r>
  <r>
    <x v="224"/>
    <n v="12094.39"/>
    <n v="11524.38"/>
    <n v="570.01"/>
    <n v="345.85"/>
    <n v="162.2781381321667"/>
    <n v="6.07775"/>
    <n v="189.46666666666667"/>
    <n v="0"/>
    <n v="-33.266278534499989"/>
    <n v="25055.8"/>
    <n v="0.79962999999999995"/>
    <n v="4.4166666666666665E-4"/>
    <n v="183.57186186783332"/>
    <n v="20.175041390769149"/>
    <n v="0"/>
    <n v="0"/>
    <n v="0"/>
    <n v="2.0175041390769151"/>
    <n v="2.0175041390769151"/>
  </r>
  <r>
    <x v="225"/>
    <n v="12091.87"/>
    <n v="11390.89"/>
    <n v="700.98"/>
    <n v="58.58"/>
    <n v="246.20181100753928"/>
    <n v="4.7500833333333334"/>
    <n v="192.07299999999998"/>
    <n v="0"/>
    <n v="49.378727674205983"/>
    <n v="24954.133333333299"/>
    <n v="0.81094999999999995"/>
    <n v="4.2500000000000003E-4"/>
    <n v="-187.62181100753929"/>
    <n v="20.006916045846072"/>
    <n v="0"/>
    <n v="0"/>
    <n v="0"/>
    <n v="2.0006916045846075"/>
    <n v="2.0006916045846075"/>
  </r>
  <r>
    <x v="226"/>
    <n v="12088.72"/>
    <n v="11528.65"/>
    <n v="560.07000000000005"/>
    <n v="327.61"/>
    <n v="176.97190927899322"/>
    <n v="5.8414999999999999"/>
    <n v="189.84816666666666"/>
    <n v="0"/>
    <n v="-18.717757387673416"/>
    <n v="24954.133333333299"/>
    <n v="0.81715999999999989"/>
    <n v="4.2500000000000003E-4"/>
    <n v="150.63809072100679"/>
    <n v="19.840191745464022"/>
    <n v="0"/>
    <n v="0"/>
    <n v="0"/>
    <n v="1.9840191745464022"/>
    <n v="1.9840191745464022"/>
  </r>
  <r>
    <x v="227"/>
    <n v="12435.01"/>
    <n v="11700.15"/>
    <n v="734.86"/>
    <n v="363.64"/>
    <n v="213.83422397770863"/>
    <n v="4.6672500000000001"/>
    <n v="192.14416666666665"/>
    <n v="0"/>
    <n v="17.022807311041976"/>
    <n v="24954.133333333299"/>
    <n v="0.81147000000000002"/>
    <n v="4.2500000000000003E-4"/>
    <n v="149.80577602229135"/>
    <n v="19.674856814251822"/>
    <n v="0"/>
    <n v="0"/>
    <n v="0"/>
    <n v="1.9674856814251822"/>
    <n v="1.9674856814251822"/>
  </r>
  <r>
    <x v="228"/>
    <n v="13835.5"/>
    <n v="11770.85"/>
    <n v="2064.65"/>
    <n v="265.7"/>
    <n v="337.62357837893319"/>
    <n v="6.1238333333333337"/>
    <n v="195.0025"/>
    <n v="0"/>
    <n v="136.49724504559987"/>
    <n v="25065.5"/>
    <n v="0.82001999999999997"/>
    <n v="3.9999999999999996E-4"/>
    <n v="-71.9235783789332"/>
    <n v="19.510899674133057"/>
    <n v="815.64142162106691"/>
    <n v="122.34621324316004"/>
    <n v="163.12828432421338"/>
    <n v="1.9510899674133058"/>
    <n v="287.4255875347867"/>
  </r>
  <r>
    <x v="229"/>
    <n v="13833.19"/>
    <n v="11930.66"/>
    <n v="1902.53"/>
    <n v="355.99"/>
    <n v="308.097186078665"/>
    <n v="17.205416666666668"/>
    <n v="196.18083333333334"/>
    <n v="2.5360691124088355"/>
    <n v="92.174866966256147"/>
    <n v="25065.5"/>
    <n v="0.82558000000000009"/>
    <n v="3.8333333333333334E-4"/>
    <n v="47.892813921335005"/>
    <n v="9.5785627842670014"/>
    <n v="757.35681392133506"/>
    <n v="113.60352208820025"/>
    <n v="151.47136278426703"/>
    <n v="0.95785627842670018"/>
    <n v="266.03274115089397"/>
  </r>
  <r>
    <x v="230"/>
    <n v="12814.13"/>
    <n v="12130.3"/>
    <n v="683.83"/>
    <n v="398.48"/>
    <n v="454.25001511805385"/>
    <n v="15.854416666666667"/>
    <n v="198.84433333333334"/>
    <n v="0"/>
    <n v="239.55126511805383"/>
    <n v="25065.5"/>
    <n v="0.82632000000000005"/>
    <n v="3.5E-4"/>
    <n v="-55.770015118053834"/>
    <n v="9.4987414277314421"/>
    <n v="0"/>
    <n v="0"/>
    <n v="0"/>
    <n v="0.9498741427731443"/>
    <n v="0.9498741427731443"/>
  </r>
  <r>
    <x v="231"/>
    <n v="12812.38"/>
    <n v="12094.67"/>
    <n v="717.71"/>
    <n v="166.54"/>
    <n v="192.50416885203381"/>
    <n v="5.6985833333333336"/>
    <n v="202.17166666666665"/>
    <n v="0"/>
    <n v="-15.366081147966177"/>
    <n v="24715.9"/>
    <n v="0.83933000000000002"/>
    <n v="3.4166666666666661E-4"/>
    <n v="-25.964168852033822"/>
    <n v="9.419585249167012"/>
    <n v="0"/>
    <n v="0"/>
    <n v="0"/>
    <n v="0.94195852491670129"/>
    <n v="0.94195852491670129"/>
  </r>
  <r>
    <x v="232"/>
    <n v="13049.33"/>
    <n v="12267.08"/>
    <n v="782.25"/>
    <n v="373.99"/>
    <n v="124.33869603831207"/>
    <n v="5.9809166666666673"/>
    <n v="201.57783333333333"/>
    <n v="0"/>
    <n v="-83.220053961687938"/>
    <n v="24715.9"/>
    <n v="0.84450999999999998"/>
    <n v="3.5E-4"/>
    <n v="249.65130396168794"/>
    <n v="9.3410887054239531"/>
    <n v="0"/>
    <n v="0"/>
    <n v="0"/>
    <n v="0.93410887054239533"/>
    <n v="0.93410887054239533"/>
  </r>
  <r>
    <x v="233"/>
    <n v="13047.72"/>
    <n v="12375.51"/>
    <n v="672.21"/>
    <n v="312.88"/>
    <n v="282.10986785463695"/>
    <n v="6.5187499999999998"/>
    <n v="204.45133333333334"/>
    <n v="0"/>
    <n v="71.139784521303596"/>
    <n v="24715.9"/>
    <n v="0.84296000000000004"/>
    <n v="3.4166666666666661E-4"/>
    <n v="30.77013214536305"/>
    <n v="9.2632462995454201"/>
    <n v="0"/>
    <n v="0"/>
    <n v="0"/>
    <n v="0.92632462995454201"/>
    <n v="0.92632462995454201"/>
  </r>
  <r>
    <x v="234"/>
    <n v="13045.55"/>
    <n v="12465.6"/>
    <n v="579.95000000000005"/>
    <n v="296.35000000000002"/>
    <n v="286.8923120888503"/>
    <n v="5.60175"/>
    <n v="206.2585"/>
    <n v="0"/>
    <n v="75.03206208885031"/>
    <n v="25035.9666666667"/>
    <n v="0.85215999999999992"/>
    <n v="3.3333333333333332E-4"/>
    <n v="9.4576879111497192"/>
    <n v="9.1860525803825421"/>
    <n v="0"/>
    <n v="0"/>
    <n v="0"/>
    <n v="0.91860525803825421"/>
    <n v="0.91860525803825421"/>
  </r>
  <r>
    <x v="235"/>
    <n v="13390.3"/>
    <n v="12733.28"/>
    <n v="657.02"/>
    <n v="475.44"/>
    <n v="273.90091554089696"/>
    <n v="4.8329166666666667"/>
    <n v="207.76000000000002"/>
    <n v="0"/>
    <n v="61.307998874230265"/>
    <n v="25035.9666666667"/>
    <n v="0.85543999999999998"/>
    <n v="3.2500000000000004E-4"/>
    <n v="201.53908445910304"/>
    <n v="9.1095021422126869"/>
    <n v="0"/>
    <n v="0"/>
    <n v="0"/>
    <n v="0.91095021422126876"/>
    <n v="0.91095021422126876"/>
  </r>
  <r>
    <x v="236"/>
    <n v="14086.03"/>
    <n v="12899.53"/>
    <n v="1186.5"/>
    <n v="378.47"/>
    <n v="82.231671127905884"/>
    <n v="5.4751666666666665"/>
    <n v="212.22133333333335"/>
    <n v="0"/>
    <n v="-135.46482887209413"/>
    <n v="25035.9666666667"/>
    <n v="0.85361000000000009"/>
    <n v="3.4166666666666661E-4"/>
    <n v="296.23832887209414"/>
    <n v="9.0335896243609159"/>
    <n v="192.78532887209394"/>
    <n v="28.917799330814091"/>
    <n v="38.557065774418788"/>
    <n v="0.90335896243609159"/>
    <n v="68.378224067668967"/>
  </r>
  <r>
    <x v="237"/>
    <n v="14083.37"/>
    <n v="13152.09"/>
    <n v="931.28"/>
    <n v="467.55"/>
    <n v="-42.165196511915525"/>
    <n v="9.8874999999999993"/>
    <n v="214.99216666666669"/>
    <n v="0"/>
    <n v="-267.0448631785822"/>
    <n v="24098.866666666701"/>
    <n v="0.86304000000000003"/>
    <n v="3.5833333333333333E-4"/>
    <n v="509.71519651191556"/>
    <n v="8.9583097108245759"/>
    <n v="125.78619651191548"/>
    <n v="18.867929476787321"/>
    <n v="25.157239302383097"/>
    <n v="0.89583097108245768"/>
    <n v="44.920999750252875"/>
  </r>
  <r>
    <x v="238"/>
    <n v="14081.55"/>
    <n v="13329.75"/>
    <n v="751.8"/>
    <n v="396.86"/>
    <n v="358.5871610278939"/>
    <n v="7.7606666666666664"/>
    <n v="219.20150000000001"/>
    <n v="0"/>
    <n v="131.62499436122721"/>
    <n v="24098.866666666701"/>
    <n v="0.86245000000000005"/>
    <n v="3.4166666666666661E-4"/>
    <n v="38.272838972106115"/>
    <n v="8.883657129901037"/>
    <n v="0"/>
    <n v="0"/>
    <n v="0"/>
    <n v="0.8883657129901037"/>
    <n v="0.8883657129901037"/>
  </r>
  <r>
    <x v="239"/>
    <n v="14678.09"/>
    <n v="13342.91"/>
    <n v="1335.18"/>
    <n v="235.32"/>
    <n v="391.20381235026605"/>
    <n v="6.2649999999999997"/>
    <n v="222.16249999999999"/>
    <n v="0"/>
    <n v="162.7763123502661"/>
    <n v="24098.866666666701"/>
    <n v="0.85501000000000005"/>
    <n v="3.2500000000000004E-4"/>
    <n v="-155.88381235026606"/>
    <n v="8.8096266538185279"/>
    <n v="0"/>
    <n v="0"/>
    <n v="0"/>
    <n v="0.88096266538185286"/>
    <n v="0.88096266538185286"/>
  </r>
  <r>
    <x v="240"/>
    <n v="15813.7"/>
    <n v="13457.85"/>
    <n v="2355.85"/>
    <n v="337.32"/>
    <n v="205.49861773926037"/>
    <n v="11.1265"/>
    <n v="222.38183333333333"/>
    <n v="14.193111169671864"/>
    <n v="-42.20282676374481"/>
    <n v="23131.9"/>
    <n v="0.85507"/>
    <n v="3.1666666666666665E-4"/>
    <n v="131.82138226073963"/>
    <n v="26.364276452147926"/>
    <n v="1141.8863822607393"/>
    <n v="171.28295733911088"/>
    <n v="228.37727645214787"/>
    <n v="2.636427645214793"/>
    <n v="402.29666143647353"/>
  </r>
  <r>
    <x v="241"/>
    <n v="15813.77"/>
    <n v="13568.59"/>
    <n v="2245.1799999999998"/>
    <n v="335.04"/>
    <n v="327.67531485928146"/>
    <n v="19.632083333333334"/>
    <n v="224.29750000000001"/>
    <n v="0"/>
    <n v="83.745731525948102"/>
    <n v="23131.9"/>
    <n v="0.85236000000000001"/>
    <n v="3.0833333333333337E-4"/>
    <n v="7.3646851407185636"/>
    <n v="26.144574148380027"/>
    <n v="895.68568514071808"/>
    <n v="134.35285277110771"/>
    <n v="179.13713702814363"/>
    <n v="2.6144574148380029"/>
    <n v="316.10444721408936"/>
  </r>
  <r>
    <x v="242"/>
    <n v="14736.4"/>
    <n v="13608.56"/>
    <n v="1127.8399999999999"/>
    <n v="266.11"/>
    <n v="685.43312284831791"/>
    <n v="18.709833333333332"/>
    <n v="226.14316666666667"/>
    <n v="0"/>
    <n v="440.58012284831784"/>
    <n v="23131.9"/>
    <n v="0.8475100000000001"/>
    <n v="2.6666666666666668E-4"/>
    <n v="-419.32312284831789"/>
    <n v="25.926702697143526"/>
    <n v="0"/>
    <n v="0"/>
    <n v="0"/>
    <n v="2.5926702697143527"/>
    <n v="2.5926702697143527"/>
  </r>
  <r>
    <x v="243"/>
    <n v="14734.3"/>
    <n v="13595.33"/>
    <n v="1138.97"/>
    <n v="213.58"/>
    <n v="422.4116978032655"/>
    <n v="9.3986666666666654"/>
    <n v="226.80933333333331"/>
    <n v="0"/>
    <n v="186.2036978032655"/>
    <n v="24425.9666666667"/>
    <n v="0.84206000000000003"/>
    <n v="2.6666666666666668E-4"/>
    <n v="-208.83169780326548"/>
    <n v="25.710646841333997"/>
    <n v="0"/>
    <n v="0"/>
    <n v="0"/>
    <n v="2.5710646841333999"/>
    <n v="2.5710646841333999"/>
  </r>
  <r>
    <x v="244"/>
    <n v="14732.97"/>
    <n v="13670.37"/>
    <n v="1062.5999999999999"/>
    <n v="301.63"/>
    <n v="219.4646584992978"/>
    <n v="9.4914166666666677"/>
    <n v="226.58883333333333"/>
    <n v="0"/>
    <n v="-16.615591500702216"/>
    <n v="24425.9666666667"/>
    <n v="0.84656000000000009"/>
    <n v="2.6666666666666668E-4"/>
    <n v="82.165341500702198"/>
    <n v="25.496391450989549"/>
    <n v="0"/>
    <n v="0"/>
    <n v="0"/>
    <n v="2.5496391450989551"/>
    <n v="2.5496391450989551"/>
  </r>
  <r>
    <x v="245"/>
    <n v="14731.99"/>
    <n v="13704.67"/>
    <n v="1027.32"/>
    <n v="262.14"/>
    <n v="801.24843567246444"/>
    <n v="8.8549999999999986"/>
    <n v="227.83950000000002"/>
    <n v="0"/>
    <n v="564.55393567246449"/>
    <n v="24425.9666666667"/>
    <n v="0.84282999999999997"/>
    <n v="2.2500000000000002E-4"/>
    <n v="-539.10843567246445"/>
    <n v="25.283921522231303"/>
    <n v="0"/>
    <n v="0"/>
    <n v="0"/>
    <n v="2.5283921522231303"/>
    <n v="2.5283921522231303"/>
  </r>
  <r>
    <x v="246"/>
    <n v="14728.77"/>
    <n v="13787.13"/>
    <n v="941.64"/>
    <n v="310.87"/>
    <n v="522.03122631034444"/>
    <n v="8.5609999999999999"/>
    <n v="228.41116666666667"/>
    <n v="0"/>
    <n v="285.05905964367776"/>
    <n v="25746.266666666699"/>
    <n v="0.85002999999999995"/>
    <n v="2.1666666666666666E-4"/>
    <n v="-211.16122631034443"/>
    <n v="25.07322217621271"/>
    <n v="0"/>
    <n v="0"/>
    <n v="0"/>
    <n v="2.5073222176212711"/>
    <n v="2.5073222176212711"/>
  </r>
  <r>
    <x v="247"/>
    <n v="14727.3"/>
    <n v="13935.88"/>
    <n v="791.42"/>
    <n v="378.54"/>
    <n v="224.91329476808011"/>
    <n v="7.8469999999999995"/>
    <n v="229.78549999999998"/>
    <n v="0"/>
    <n v="-12.719205231919883"/>
    <n v="25746.266666666699"/>
    <n v="0.85306999999999999"/>
    <n v="2.1666666666666666E-4"/>
    <n v="153.62670523191991"/>
    <n v="24.864278658077602"/>
    <n v="0"/>
    <n v="0"/>
    <n v="0"/>
    <n v="2.4864278658077605"/>
    <n v="2.4864278658077605"/>
  </r>
  <r>
    <x v="248"/>
    <n v="14725.97"/>
    <n v="13945.75"/>
    <n v="780.22"/>
    <n v="242.13"/>
    <n v="251.32544391760314"/>
    <n v="6.5951666666666666"/>
    <n v="232.26466666666664"/>
    <n v="0"/>
    <n v="12.465610584269818"/>
    <n v="25746.266666666699"/>
    <n v="0.85007999999999995"/>
    <n v="2.1666666666666666E-4"/>
    <n v="-9.1954439176031428"/>
    <n v="24.657076335926956"/>
    <n v="0"/>
    <n v="0"/>
    <n v="0"/>
    <n v="2.4657076335926957"/>
    <n v="2.4657076335926957"/>
  </r>
  <r>
    <x v="249"/>
    <n v="14723.45"/>
    <n v="14094.43"/>
    <n v="629.02"/>
    <n v="381.11"/>
    <n v="357.54887588715218"/>
    <n v="6.5018333333333338"/>
    <n v="232.42916666666667"/>
    <n v="0"/>
    <n v="118.61787588715217"/>
    <n v="25738.666666666701"/>
    <n v="0.85521000000000003"/>
    <n v="2.0833333333333335E-4"/>
    <n v="23.561124112847835"/>
    <n v="24.451600699794234"/>
    <n v="0"/>
    <n v="0"/>
    <n v="0"/>
    <n v="2.4451600699794236"/>
    <n v="2.4451600699794236"/>
  </r>
  <r>
    <x v="250"/>
    <n v="14722.26"/>
    <n v="14179.97"/>
    <n v="542.29"/>
    <n v="320.45"/>
    <n v="238.23649804533679"/>
    <n v="5.2418333333333331"/>
    <n v="234.90716666666668"/>
    <n v="0"/>
    <n v="-1.9125019546632309"/>
    <n v="25738.666666666701"/>
    <n v="0.85565999999999998"/>
    <n v="2.0833333333333335E-4"/>
    <n v="82.213501954663201"/>
    <n v="24.24783736062928"/>
    <n v="0"/>
    <n v="0"/>
    <n v="0"/>
    <n v="2.4247837360629281"/>
    <n v="2.4247837360629281"/>
  </r>
  <r>
    <x v="251"/>
    <n v="15506.19"/>
    <n v="14208.67"/>
    <n v="1297.52"/>
    <n v="265.02999999999997"/>
    <n v="262.74013992415888"/>
    <n v="4.5190833333333327"/>
    <n v="236.33283333333333"/>
    <n v="0"/>
    <n v="21.888223257492236"/>
    <n v="25738.666666666701"/>
    <n v="0.85049999999999992"/>
    <n v="2.0833333333333335E-4"/>
    <n v="2.2898600758410907"/>
    <n v="24.045772049290701"/>
    <n v="0"/>
    <n v="0"/>
    <n v="0"/>
    <n v="2.4045772049290703"/>
    <n v="2.4045772049290703"/>
  </r>
  <r>
    <x v="252"/>
    <n v="15503.74"/>
    <n v="14372.12"/>
    <n v="1131.6199999999999"/>
    <n v="400.26"/>
    <n v="873.79348064885005"/>
    <n v="10.812666666666667"/>
    <n v="236.81116666666668"/>
    <n v="0"/>
    <n v="626.16964731551673"/>
    <n v="26899.5333333333"/>
    <n v="0.85682000000000003"/>
    <n v="1.8333333333333334E-4"/>
    <n v="-473.53348064885006"/>
    <n v="23.845390615546609"/>
    <n v="0"/>
    <n v="0"/>
    <n v="0"/>
    <n v="2.3845390615546611"/>
    <n v="2.3845390615546611"/>
  </r>
  <r>
    <x v="253"/>
    <n v="17083.29"/>
    <n v="14416.85"/>
    <n v="2666.44"/>
    <n v="284.27"/>
    <n v="231.75995021939232"/>
    <n v="9.4301666666666666"/>
    <n v="239.53533333333334"/>
    <n v="-0.25415261220691576"/>
    <n v="-16.951397168400764"/>
    <n v="26899.5333333333"/>
    <n v="0.86048000000000002"/>
    <n v="1.8333333333333334E-4"/>
    <n v="52.510049780607659"/>
    <n v="10.502009956121533"/>
    <n v="1277.2650497806073"/>
    <n v="191.58975746709109"/>
    <n v="255.45300995612149"/>
    <n v="1.0502009956121534"/>
    <n v="448.09296841882474"/>
  </r>
  <r>
    <x v="254"/>
    <n v="15857.45"/>
    <n v="14648.62"/>
    <n v="1208.83"/>
    <n v="472.05"/>
    <n v="259.40734289180091"/>
    <n v="22.220333333333333"/>
    <n v="240.28083333333333"/>
    <n v="0"/>
    <n v="-3.0938237748657791"/>
    <n v="26899.5333333333"/>
    <n v="0.86114999999999997"/>
    <n v="1.8333333333333334E-4"/>
    <n v="212.6426571081991"/>
    <n v="10.414493206487187"/>
    <n v="0"/>
    <n v="0"/>
    <n v="0"/>
    <n v="1.0414493206487188"/>
    <n v="1.0414493206487188"/>
  </r>
  <r>
    <x v="255"/>
    <n v="15855.28"/>
    <n v="14820.33"/>
    <n v="1034.95"/>
    <n v="415.85"/>
    <n v="520.11872527810124"/>
    <n v="10.073583333333334"/>
    <n v="244.14366666666669"/>
    <n v="0"/>
    <n v="265.90147527810115"/>
    <n v="28974.666666666701"/>
    <n v="0.86900999999999995"/>
    <n v="1.8333333333333334E-4"/>
    <n v="-104.26872527810121"/>
    <n v="10.327705763099793"/>
    <n v="0"/>
    <n v="0"/>
    <n v="0"/>
    <n v="1.0327705763099793"/>
    <n v="1.0327705763099793"/>
  </r>
  <r>
    <x v="256"/>
    <n v="15853.32"/>
    <n v="15010.31"/>
    <n v="843.01"/>
    <n v="436.99"/>
    <n v="427.27945906171072"/>
    <n v="8.6245833333333337"/>
    <n v="247.00550000000001"/>
    <n v="0"/>
    <n v="171.64937572837738"/>
    <n v="28974.666666666701"/>
    <n v="0.87402000000000002"/>
    <n v="1.75E-4"/>
    <n v="9.7105409382892844"/>
    <n v="10.241641548407296"/>
    <n v="0"/>
    <n v="0"/>
    <n v="0"/>
    <n v="1.0241641548407296"/>
    <n v="1.0241641548407296"/>
  </r>
  <r>
    <x v="257"/>
    <n v="15851.15"/>
    <n v="15048.46"/>
    <n v="802.69"/>
    <n v="288.32"/>
    <n v="297.73166631473867"/>
    <n v="7.0250833333333329"/>
    <n v="250.17183333333332"/>
    <n v="0"/>
    <n v="40.534749648072044"/>
    <n v="28974.666666666701"/>
    <n v="0.86566999999999994"/>
    <n v="1.75E-4"/>
    <n v="-9.4116663147386816"/>
    <n v="10.156294535503902"/>
    <n v="0"/>
    <n v="0"/>
    <n v="0"/>
    <n v="1.0156294535503902"/>
    <n v="1.0156294535503902"/>
  </r>
  <r>
    <x v="258"/>
    <n v="16532.53"/>
    <n v="15230.32"/>
    <n v="1302.21"/>
    <n v="432.67"/>
    <n v="325.64689855414883"/>
    <n v="6.6890833333333335"/>
    <n v="250.80766666666665"/>
    <n v="0"/>
    <n v="68.150148554148885"/>
    <n v="28394.5"/>
    <n v="0.87675999999999998"/>
    <n v="1.6666666666666666E-4"/>
    <n v="107.02310144585118"/>
    <n v="10.071658747708035"/>
    <n v="0"/>
    <n v="0"/>
    <n v="0"/>
    <n v="1.0071658747708037"/>
    <n v="1.0071658747708037"/>
  </r>
  <r>
    <x v="259"/>
    <n v="16530.36"/>
    <n v="15247.89"/>
    <n v="1282.47"/>
    <n v="271.41000000000003"/>
    <n v="244.70733364920255"/>
    <n v="10.851750000000001"/>
    <n v="253.83866666666665"/>
    <n v="0"/>
    <n v="-19.983083017464082"/>
    <n v="28394.5"/>
    <n v="0.88080999999999998"/>
    <n v="1.6666666666666666E-4"/>
    <n v="26.702666350797472"/>
    <n v="9.9877282581438003"/>
    <n v="0"/>
    <n v="0"/>
    <n v="0"/>
    <n v="0.99877282581438009"/>
    <n v="0.99877282581438009"/>
  </r>
  <r>
    <x v="260"/>
    <n v="16528.05"/>
    <n v="15362.97"/>
    <n v="1165.08"/>
    <n v="369.21"/>
    <n v="262.45823366074427"/>
    <n v="10.687250000000001"/>
    <n v="254.13149999999999"/>
    <n v="0"/>
    <n v="-2.3605163392557231"/>
    <n v="28394.5"/>
    <n v="0.88129000000000002"/>
    <n v="1.6666666666666666E-4"/>
    <n v="106.75176633925571"/>
    <n v="9.9044971893259337"/>
    <n v="0"/>
    <n v="0"/>
    <n v="0"/>
    <n v="0.99044971893259337"/>
    <n v="0.99044971893259337"/>
  </r>
  <r>
    <x v="261"/>
    <n v="16524.900000000001"/>
    <n v="15515.01"/>
    <n v="1009.89"/>
    <n v="408.09"/>
    <n v="590.36458030434051"/>
    <n v="9.7089999999999996"/>
    <n v="256.04949999999997"/>
    <n v="0"/>
    <n v="324.60608030434059"/>
    <n v="29154.866666666701"/>
    <n v="0.88525000000000009"/>
    <n v="1.5833333333333332E-4"/>
    <n v="-182.27458030434053"/>
    <n v="9.8219597127482174"/>
    <n v="0"/>
    <n v="0"/>
    <n v="0"/>
    <n v="0.98219597127482183"/>
    <n v="0.98219597127482183"/>
  </r>
  <r>
    <x v="262"/>
    <n v="16522.66"/>
    <n v="15527.12"/>
    <n v="995.54"/>
    <n v="270.69"/>
    <n v="252.04661862538819"/>
    <n v="8.4157499999999992"/>
    <n v="258.58350000000002"/>
    <n v="0"/>
    <n v="-14.952631374611826"/>
    <n v="29154.866666666701"/>
    <n v="0.88817999999999997"/>
    <n v="1.5833333333333332E-4"/>
    <n v="18.643381374611806"/>
    <n v="9.7401100484753158"/>
    <n v="0"/>
    <n v="0"/>
    <n v="0"/>
    <n v="0.97401100484753167"/>
    <n v="0.97401100484753167"/>
  </r>
  <r>
    <x v="263"/>
    <n v="17209.78"/>
    <n v="15683.22"/>
    <n v="1526.56"/>
    <n v="414.89"/>
    <n v="260.15555778544575"/>
    <n v="8.2961666666666662"/>
    <n v="258.78533333333337"/>
    <n v="0"/>
    <n v="-6.9259422145542873"/>
    <n v="29154.866666666701"/>
    <n v="0.88953999999999989"/>
    <n v="1.5833333333333332E-4"/>
    <n v="154.73444221455424"/>
    <n v="9.658942464738022"/>
    <n v="112.97244221455412"/>
    <n v="16.945866332183119"/>
    <n v="22.594488442910826"/>
    <n v="0.96589424647380229"/>
    <n v="40.506249021567747"/>
  </r>
  <r>
    <x v="264"/>
    <n v="18687.97"/>
    <n v="15825.53"/>
    <n v="2862.44"/>
    <n v="403.7"/>
    <n v="483.23742677169605"/>
    <n v="12.721333333333332"/>
    <n v="261.387"/>
    <n v="0"/>
    <n v="209.12909343836273"/>
    <n v="29362"/>
    <n v="0.90405000000000002"/>
    <n v="1.4999999999999999E-4"/>
    <n v="-79.537426771696062"/>
    <n v="9.5784512775318724"/>
    <n v="1200.3495732283038"/>
    <n v="180.05243598424556"/>
    <n v="240.06991464566079"/>
    <n v="0.95784512775318731"/>
    <n v="421.08019575765951"/>
  </r>
  <r>
    <x v="265"/>
    <n v="18686.36"/>
    <n v="16132.76"/>
    <n v="2553.6"/>
    <n v="570.99"/>
    <n v="305.80956167853321"/>
    <n v="23.853666666666665"/>
    <n v="263.75883333333337"/>
    <n v="14.764086967062724"/>
    <n v="3.4329747114704818"/>
    <n v="29362"/>
    <n v="0.90339000000000003"/>
    <n v="1.4999999999999999E-4"/>
    <n v="265.1804383214668"/>
    <n v="53.036087664293362"/>
    <n v="1205.5044383214665"/>
    <n v="180.82566574821996"/>
    <n v="241.10088766429331"/>
    <n v="5.3036087664293365"/>
    <n v="427.23016217894263"/>
  </r>
  <r>
    <x v="266"/>
    <n v="17319.75"/>
    <n v="16009.35"/>
    <n v="1310.4000000000001"/>
    <n v="145.47"/>
    <n v="283.96414635836351"/>
    <n v="21.279999999999998"/>
    <n v="268.87933333333336"/>
    <n v="0"/>
    <n v="-6.1951869749698139"/>
    <n v="29362"/>
    <n v="0.90457999999999994"/>
    <n v="1.4999999999999999E-4"/>
    <n v="-138.49414635836351"/>
    <n v="52.594120267090922"/>
    <n v="0"/>
    <n v="0"/>
    <n v="0"/>
    <n v="5.2594120267090929"/>
    <n v="5.2594120267090929"/>
  </r>
  <r>
    <x v="267"/>
    <n v="18883.830000000002"/>
    <n v="16196.11"/>
    <n v="2687.72"/>
    <n v="453.58"/>
    <n v="334.56410424848542"/>
    <n v="10.92"/>
    <n v="266.82249999999999"/>
    <n v="0"/>
    <n v="56.821604248485428"/>
    <n v="29820.266666666699"/>
    <n v="0.90773999999999999"/>
    <n v="1.4999999999999999E-4"/>
    <n v="119.01589575151456"/>
    <n v="52.155835931531826"/>
    <n v="1187.1248957515143"/>
    <n v="178.06873436272713"/>
    <n v="237.42497915030287"/>
    <n v="5.2155835931531831"/>
    <n v="420.70929710618316"/>
  </r>
  <r>
    <x v="268"/>
    <n v="18880.82"/>
    <n v="16227.54"/>
    <n v="2653.28"/>
    <n v="301.37"/>
    <n v="263.82714408519274"/>
    <n v="22.397666666666666"/>
    <n v="269.9351666666667"/>
    <n v="0"/>
    <n v="-28.50568924814063"/>
    <n v="29820.266666666699"/>
    <n v="0.91317999999999999"/>
    <n v="1.4999999999999999E-4"/>
    <n v="37.542855914807262"/>
    <n v="51.721203965435727"/>
    <n v="1068.0688559148073"/>
    <n v="160.2103283872211"/>
    <n v="213.61377118296147"/>
    <n v="5.1721203965435727"/>
    <n v="378.99621996672613"/>
  </r>
  <r>
    <x v="269"/>
    <n v="18877.53"/>
    <n v="16319.24"/>
    <n v="2558.29"/>
    <n v="362.16"/>
    <n v="303.77873196280507"/>
    <n v="22.110666666666667"/>
    <n v="270.459"/>
    <n v="0"/>
    <n v="11.209065296138432"/>
    <n v="29820.266666666699"/>
    <n v="0.9110299999999999"/>
    <n v="1.4999999999999999E-4"/>
    <n v="58.381268037194957"/>
    <n v="51.29019393239043"/>
    <n v="984.74726803719477"/>
    <n v="147.71209020557922"/>
    <n v="196.94945360743895"/>
    <n v="5.1290193932390435"/>
    <n v="349.79056320625722"/>
  </r>
  <r>
    <x v="270"/>
    <n v="18873.400000000001"/>
    <n v="16511.53"/>
    <n v="2361.87"/>
    <n v="464.28"/>
    <n v="346.64549024882558"/>
    <n v="21.319083333333332"/>
    <n v="271.98733333333331"/>
    <n v="0"/>
    <n v="53.339073582158989"/>
    <n v="30595.733333333301"/>
    <n v="0.92447999999999997"/>
    <n v="1.4999999999999999E-4"/>
    <n v="117.63450975117439"/>
    <n v="50.862775649620509"/>
    <n v="828.35150975117426"/>
    <n v="124.25272646267614"/>
    <n v="165.67030195023486"/>
    <n v="5.0862775649620513"/>
    <n v="295.00930597787305"/>
  </r>
  <r>
    <x v="271"/>
    <n v="18870.810000000001"/>
    <n v="16638.72"/>
    <n v="2232.09"/>
    <n v="402.38"/>
    <n v="542.30417161662592"/>
    <n v="19.68225"/>
    <n v="275.19216666666665"/>
    <n v="0"/>
    <n v="247.42975494995926"/>
    <n v="30595.733333333301"/>
    <n v="0.93114999999999992"/>
    <n v="1.4166666666666668E-4"/>
    <n v="-139.92417161662593"/>
    <n v="50.438919185873672"/>
    <n v="428.29382838337369"/>
    <n v="64.244074257506057"/>
    <n v="85.658765676674747"/>
    <n v="5.0438919185873674"/>
    <n v="154.94673185276818"/>
  </r>
  <r>
    <x v="272"/>
    <n v="18867.310000000001"/>
    <n v="16790.060000000001"/>
    <n v="2077.25"/>
    <n v="428.65"/>
    <n v="613.59837163261636"/>
    <n v="18.600750000000001"/>
    <n v="277.31200000000001"/>
    <n v="0"/>
    <n v="317.68562163261635"/>
    <n v="30595.733333333301"/>
    <n v="0.92941000000000007"/>
    <n v="1.3333333333333334E-4"/>
    <n v="-184.94837163261639"/>
    <n v="50.018594859324722"/>
    <n v="213.29562836738342"/>
    <n v="31.99434425510751"/>
    <n v="42.659125673476687"/>
    <n v="5.0018594859324725"/>
    <n v="79.655329414516672"/>
  </r>
  <r>
    <x v="273"/>
    <n v="18865.28"/>
    <n v="16966.18"/>
    <n v="1899.1"/>
    <n v="455.95"/>
    <n v="632.59320906153243"/>
    <n v="17.310416666666665"/>
    <n v="279.83433333333335"/>
    <n v="0"/>
    <n v="335.44845906153239"/>
    <n v="30694.766666666699"/>
    <n v="0.93322000000000005"/>
    <n v="1.25E-4"/>
    <n v="-176.64320906153245"/>
    <n v="49.601773235497014"/>
    <n v="25.838790938467355"/>
    <n v="3.875818640770103"/>
    <n v="5.1677581876934715"/>
    <n v="4.9601773235497015"/>
    <n v="14.003754152013276"/>
  </r>
  <r>
    <x v="274"/>
    <n v="18863.18"/>
    <n v="17122.77"/>
    <n v="1740.41"/>
    <n v="439.36"/>
    <n v="645.47648727305398"/>
    <n v="15.825833333333332"/>
    <n v="282.76966666666669"/>
    <n v="0"/>
    <n v="346.88098727305396"/>
    <n v="30694.766666666699"/>
    <n v="0.93842000000000003"/>
    <n v="1.1666666666666668E-4"/>
    <n v="-206.11648727305396"/>
    <n v="49.188425125201206"/>
    <n v="0"/>
    <n v="0"/>
    <n v="0"/>
    <n v="4.9188425125201212"/>
    <n v="4.9188425125201212"/>
  </r>
  <r>
    <x v="275"/>
    <n v="18859.189999999999"/>
    <n v="17374.28"/>
    <n v="1484.91"/>
    <n v="536.89"/>
    <n v="297.81075477904722"/>
    <n v="14.503416666666668"/>
    <n v="285.37950000000001"/>
    <n v="0"/>
    <n v="-2.0721618876194823"/>
    <n v="30694.766666666699"/>
    <n v="0.93876999999999999"/>
    <n v="1.1666666666666668E-4"/>
    <n v="239.07924522095277"/>
    <n v="48.778521582491194"/>
    <n v="0"/>
    <n v="0"/>
    <n v="0"/>
    <n v="4.8778521582491194"/>
    <n v="4.8778521582491194"/>
  </r>
  <r>
    <x v="276"/>
    <n v="20217.96"/>
    <n v="17167.150000000001"/>
    <n v="3050.81"/>
    <n v="82.44"/>
    <n v="664.84019185129659"/>
    <n v="12.37425"/>
    <n v="289.57133333333331"/>
    <n v="-23.845298541185258"/>
    <n v="386.73990705914855"/>
    <n v="30784.766666666699"/>
    <n v="0.9474800000000001"/>
    <n v="1.0833333333333333E-4"/>
    <n v="-582.40019185129654"/>
    <n v="0"/>
    <n v="751.69480814870349"/>
    <n v="112.75422122230552"/>
    <n v="150.33896162974071"/>
    <n v="0"/>
    <n v="263.0931828520462"/>
  </r>
  <r>
    <x v="277"/>
    <n v="20216.84"/>
    <n v="17432.87"/>
    <n v="2783.97"/>
    <n v="551.84"/>
    <n v="327.26774005465245"/>
    <n v="25.423416666666665"/>
    <n v="286.11916666666667"/>
    <n v="0"/>
    <n v="15.725156721319165"/>
    <n v="30784.766666666699"/>
    <n v="0.94491000000000003"/>
    <n v="1.0833333333333333E-4"/>
    <n v="224.57225994534758"/>
    <n v="0"/>
    <n v="1265.2552599453472"/>
    <n v="189.78828899180209"/>
    <n v="253.05105198906946"/>
    <n v="0"/>
    <n v="442.83934098087155"/>
  </r>
  <r>
    <x v="278"/>
    <n v="19303.689999999999"/>
    <n v="17670.87"/>
    <n v="1632.82"/>
    <n v="528.54999999999995"/>
    <n v="269.76522407154948"/>
    <n v="23.199749999999998"/>
    <n v="290.5478333333333"/>
    <n v="0"/>
    <n v="-43.982359261783785"/>
    <n v="30784.766666666699"/>
    <n v="0.95206999999999997"/>
    <n v="1.0833333333333333E-4"/>
    <n v="258.78477592845047"/>
    <n v="0"/>
    <n v="124.51777592845042"/>
    <n v="18.677666389267561"/>
    <n v="24.903555185690085"/>
    <n v="0"/>
    <n v="43.581221574957645"/>
  </r>
  <r>
    <x v="279"/>
    <n v="19301.52"/>
    <n v="17604.79"/>
    <n v="1696.73"/>
    <n v="228.43"/>
    <n v="441.66370342706057"/>
    <n v="13.606833333333332"/>
    <n v="294.5145"/>
    <n v="0"/>
    <n v="133.54237009372724"/>
    <n v="31660.9666666667"/>
    <n v="0.95718000000000003"/>
    <n v="1.0833333333333333E-4"/>
    <n v="-213.23370342706056"/>
    <n v="0"/>
    <n v="0"/>
    <n v="0"/>
    <n v="0"/>
    <n v="0"/>
    <n v="0"/>
  </r>
  <r>
    <x v="280"/>
    <n v="19299.21"/>
    <n v="17573.990000000002"/>
    <n v="1725.22"/>
    <n v="262.61"/>
    <n v="295.25222562105131"/>
    <n v="14.139416666666667"/>
    <n v="293.41316666666665"/>
    <n v="0"/>
    <n v="-12.300357712282004"/>
    <n v="31660.9666666667"/>
    <n v="0.95916999999999997"/>
    <n v="1.0833333333333333E-4"/>
    <n v="-32.642225621051296"/>
    <n v="0"/>
    <n v="0"/>
    <n v="0"/>
    <n v="0"/>
    <n v="0"/>
    <n v="0"/>
  </r>
  <r>
    <x v="281"/>
    <n v="21704.76"/>
    <n v="17899.98"/>
    <n v="3804.78"/>
    <n v="618.89"/>
    <n v="-123.82401716208329"/>
    <n v="14.376833333333334"/>
    <n v="292.89983333333333"/>
    <n v="0"/>
    <n v="-431.10068382874994"/>
    <n v="31660.9666666667"/>
    <n v="0.95924000000000009"/>
    <n v="1.1666666666666668E-4"/>
    <n v="742.71401716208334"/>
    <n v="0"/>
    <n v="2757.4960171620837"/>
    <n v="413.62440257431257"/>
    <n v="551.49920343241672"/>
    <n v="0"/>
    <n v="965.12360600672923"/>
  </r>
  <r>
    <x v="282"/>
    <n v="21701.96"/>
    <n v="17871.7"/>
    <n v="3830.26"/>
    <n v="270.05"/>
    <n v="236.80432878085699"/>
    <n v="31.706500000000002"/>
    <n v="298.33299999999997"/>
    <n v="0"/>
    <n v="-93.235171219142984"/>
    <n v="31218.866666666701"/>
    <n v="0.96145999999999998"/>
    <n v="1.1666666666666668E-4"/>
    <n v="33.24567121914302"/>
    <n v="0"/>
    <n v="2076.335671219143"/>
    <n v="311.45035068287143"/>
    <n v="415.26713424382865"/>
    <n v="0"/>
    <n v="726.71748492670008"/>
  </r>
  <r>
    <x v="283"/>
    <n v="21698.32"/>
    <n v="17928.68"/>
    <n v="3769.64"/>
    <n v="354.84"/>
    <n v="294.45417706615132"/>
    <n v="31.918833333333335"/>
    <n v="297.86166666666668"/>
    <n v="0"/>
    <n v="-35.326322933848715"/>
    <n v="31218.866666666701"/>
    <n v="0.96743999999999997"/>
    <n v="1.1666666666666668E-4"/>
    <n v="60.385822933848658"/>
    <n v="0"/>
    <n v="2037.1578229338486"/>
    <n v="305.5736734400773"/>
    <n v="407.43156458676975"/>
    <n v="0"/>
    <n v="713.00523802684711"/>
  </r>
  <r>
    <x v="284"/>
    <n v="21696.15"/>
    <n v="18229.75"/>
    <n v="3466.4"/>
    <n v="599.88"/>
    <n v="297.60323545569781"/>
    <n v="31.413666666666664"/>
    <n v="298.81133333333332"/>
    <n v="0"/>
    <n v="-32.62176454430216"/>
    <n v="31218.866666666701"/>
    <n v="0.97298000000000007"/>
    <n v="1.1666666666666668E-4"/>
    <n v="302.27676454430218"/>
    <n v="0"/>
    <n v="1945.7017645443023"/>
    <n v="291.85526468164534"/>
    <n v="389.14035290886045"/>
    <n v="0"/>
    <n v="680.99561759050584"/>
  </r>
  <r>
    <x v="285"/>
    <n v="21693.84"/>
    <n v="18204.62"/>
    <n v="3489.22"/>
    <n v="278.7"/>
    <n v="513.36077454383019"/>
    <n v="28.886666666666667"/>
    <n v="303.82916666666665"/>
    <n v="0"/>
    <n v="180.64494121049685"/>
    <n v="32151.733333333301"/>
    <n v="0.97099999999999997"/>
    <n v="1.1666666666666668E-4"/>
    <n v="-234.6607745438302"/>
    <n v="0"/>
    <n v="1434.0972254561698"/>
    <n v="215.11458381842547"/>
    <n v="286.81944509123394"/>
    <n v="0"/>
    <n v="501.93402890965945"/>
  </r>
  <r>
    <x v="286"/>
    <n v="21691.25"/>
    <n v="18335.03"/>
    <n v="3356.22"/>
    <n v="433.82"/>
    <n v="325.03943770577104"/>
    <n v="29.076833333333333"/>
    <n v="303.41033333333331"/>
    <n v="0"/>
    <n v="-7.4477289608956339"/>
    <n v="32151.733333333301"/>
    <n v="0.97224999999999995"/>
    <n v="1.1666666666666668E-4"/>
    <n v="108.78056229422896"/>
    <n v="0"/>
    <n v="1631.4975622942291"/>
    <n v="244.72463434413436"/>
    <n v="326.29951245884581"/>
    <n v="0"/>
    <n v="571.02414680298011"/>
  </r>
  <r>
    <x v="287"/>
    <n v="21688.94"/>
    <n v="18546.919999999998"/>
    <n v="3142.02"/>
    <n v="517.47"/>
    <n v="291.15341138964033"/>
    <n v="27.968499999999999"/>
    <n v="305.5838333333333"/>
    <n v="0"/>
    <n v="-42.398921943692983"/>
    <n v="32151.733333333301"/>
    <n v="0.97936000000000012"/>
    <n v="1.1666666666666668E-4"/>
    <n v="226.3165886103597"/>
    <n v="0"/>
    <n v="1513.6445886103597"/>
    <n v="227.04668829155395"/>
    <n v="302.72891772207197"/>
    <n v="0"/>
    <n v="529.77560601362597"/>
  </r>
  <r>
    <x v="288"/>
    <n v="21685.51"/>
    <n v="18792.830000000002"/>
    <n v="2892.68"/>
    <n v="555.03"/>
    <n v="267.99666917277466"/>
    <n v="26.183499999999999"/>
    <n v="309.1153333333333"/>
    <n v="0"/>
    <n v="-67.30216416055859"/>
    <n v="31841"/>
    <n v="0.98120999999999992"/>
    <n v="1.1666666666666668E-4"/>
    <n v="287.03333082722531"/>
    <n v="0"/>
    <n v="1300.4303308272247"/>
    <n v="195.0645496240837"/>
    <n v="260.08606616544495"/>
    <n v="0"/>
    <n v="455.15061578952862"/>
  </r>
  <r>
    <x v="289"/>
    <n v="22172.36"/>
    <n v="18851.77"/>
    <n v="3320.59"/>
    <n v="372.15"/>
    <n v="304.42869611052492"/>
    <n v="24.105666666666664"/>
    <n v="313.21383333333335"/>
    <n v="25.393971539618246"/>
    <n v="-58.284775429093301"/>
    <n v="31841"/>
    <n v="0.99107000000000001"/>
    <n v="1.1666666666666668E-4"/>
    <n v="67.721303889475053"/>
    <n v="13.544260777895012"/>
    <n v="1503.1343038894752"/>
    <n v="225.47014558342127"/>
    <n v="300.62686077789505"/>
    <n v="1.3544260777895012"/>
    <n v="527.45143243910582"/>
  </r>
  <r>
    <x v="290"/>
    <n v="21191.03"/>
    <n v="19384.61"/>
    <n v="1806.42"/>
    <n v="847.04"/>
    <n v="373.09718469563899"/>
    <n v="27.671583333333334"/>
    <n v="314.19616666666667"/>
    <n v="0"/>
    <n v="31.229434695638979"/>
    <n v="31841"/>
    <n v="0.98573999999999995"/>
    <n v="1.1666666666666668E-4"/>
    <n v="473.94281530436098"/>
    <n v="13.431391938079221"/>
    <n v="341.90181530436075"/>
    <n v="51.28527229565411"/>
    <n v="68.380363060872156"/>
    <n v="1.3431391938079222"/>
    <n v="121.00877455033419"/>
  </r>
  <r>
    <x v="291"/>
    <n v="21191.24"/>
    <n v="19306.91"/>
    <n v="1884.33"/>
    <n v="245.38"/>
    <n v="652.66836194435666"/>
    <n v="15.053500000000001"/>
    <n v="323.07683333333335"/>
    <n v="0"/>
    <n v="314.53802861102332"/>
    <n v="33119.566666666702"/>
    <n v="0.97111999999999998"/>
    <n v="1.1666666666666668E-4"/>
    <n v="-407.28836194435667"/>
    <n v="13.319463671928562"/>
    <n v="0"/>
    <n v="0"/>
    <n v="0"/>
    <n v="1.3319463671928562"/>
    <n v="1.3319463671928562"/>
  </r>
  <r>
    <x v="292"/>
    <n v="21189.49"/>
    <n v="19554.78"/>
    <n v="1634.71"/>
    <n v="569.65"/>
    <n v="316.61126748216014"/>
    <n v="15.70275"/>
    <n v="321.78183333333334"/>
    <n v="0"/>
    <n v="-20.873315851173157"/>
    <n v="33119.566666666702"/>
    <n v="0.97456999999999994"/>
    <n v="1.1666666666666668E-4"/>
    <n v="253.03873251783983"/>
    <n v="13.208468141329156"/>
    <n v="0"/>
    <n v="0"/>
    <n v="0"/>
    <n v="1.3208468141329157"/>
    <n v="1.3208468141329157"/>
  </r>
  <r>
    <x v="293"/>
    <n v="22753.29"/>
    <n v="19817.21"/>
    <n v="2936.08"/>
    <n v="588.34"/>
    <n v="327.52146490601973"/>
    <n v="13.622583333333333"/>
    <n v="325.91299999999995"/>
    <n v="0"/>
    <n v="-12.014118427313585"/>
    <n v="33119.566666666702"/>
    <n v="0.97656000000000009"/>
    <n v="1.1666666666666668E-4"/>
    <n v="260.8185350939803"/>
    <n v="13.098397573484748"/>
    <n v="1215.1775350939802"/>
    <n v="182.27663026409701"/>
    <n v="243.03550701879604"/>
    <n v="1.3098397573484748"/>
    <n v="426.62197704024152"/>
  </r>
  <r>
    <x v="294"/>
    <n v="22750.91"/>
    <n v="19797.75"/>
    <n v="2953.16"/>
    <n v="310.83"/>
    <n v="339.85833296127271"/>
    <n v="24.467333333333332"/>
    <n v="330.28683333333333"/>
    <n v="0"/>
    <n v="-14.895833705393946"/>
    <n v="33128.400000000001"/>
    <n v="0.97928999999999999"/>
    <n v="1.1666666666666668E-4"/>
    <n v="-29.028332961272724"/>
    <n v="12.989244260372375"/>
    <n v="944.35666703872721"/>
    <n v="141.65350005580908"/>
    <n v="188.87133340774545"/>
    <n v="1.2989244260372377"/>
    <n v="331.82375788959172"/>
  </r>
  <r>
    <x v="295"/>
    <n v="22747.759999999998"/>
    <n v="19954.13"/>
    <n v="2793.63"/>
    <n v="486.34"/>
    <n v="306.97582550201122"/>
    <n v="24.609666666666666"/>
    <n v="329.96249999999998"/>
    <n v="0"/>
    <n v="-47.596341164655414"/>
    <n v="33128.400000000001"/>
    <n v="0.98718000000000006"/>
    <n v="1.1666666666666668E-4"/>
    <n v="179.36417449798876"/>
    <n v="12.881000558202606"/>
    <n v="977.58117449798851"/>
    <n v="146.63717617469828"/>
    <n v="195.51623489959772"/>
    <n v="1.2881000558202607"/>
    <n v="343.44151113011628"/>
  </r>
  <r>
    <x v="296"/>
    <n v="22745.73"/>
    <n v="19955.95"/>
    <n v="2789.78"/>
    <n v="334.39"/>
    <n v="347.03123695041768"/>
    <n v="23.280250000000002"/>
    <n v="332.56883333333337"/>
    <n v="0"/>
    <n v="-8.8178463829157163"/>
    <n v="33128.400000000001"/>
    <n v="0.98864999999999992"/>
    <n v="1.1666666666666668E-4"/>
    <n v="-12.641236950417692"/>
    <n v="12.773658886884251"/>
    <n v="781.54376304958214"/>
    <n v="117.23156445743732"/>
    <n v="156.30875260991644"/>
    <n v="1.2773658886884252"/>
    <n v="274.81768295604218"/>
  </r>
  <r>
    <x v="297"/>
    <n v="22741.95"/>
    <n v="20020.28"/>
    <n v="2721.67"/>
    <n v="396.93"/>
    <n v="464.14295843155026"/>
    <n v="23.24816666666667"/>
    <n v="332.59916666666669"/>
    <n v="0"/>
    <n v="108.29562509821687"/>
    <n v="33788.733333333301"/>
    <n v="0.99019999999999997"/>
    <n v="1.1666666666666668E-4"/>
    <n v="-67.212958431550248"/>
    <n v="12.667211729493548"/>
    <n v="652.42904156844975"/>
    <n v="97.864356235267465"/>
    <n v="130.48580831368994"/>
    <n v="1.2667211729493548"/>
    <n v="229.61688572190678"/>
  </r>
  <r>
    <x v="298"/>
    <n v="22739.360000000001"/>
    <n v="20186.04"/>
    <n v="2553.3200000000002"/>
    <n v="499.43"/>
    <n v="313.95167715589321"/>
    <n v="22.680583333333335"/>
    <n v="333.67133333333334"/>
    <n v="0"/>
    <n v="-42.400239510773496"/>
    <n v="33788.733333333301"/>
    <n v="0.99719999999999998"/>
    <n v="1.1666666666666668E-4"/>
    <n v="185.4783228441068"/>
    <n v="12.561651631747768"/>
    <n v="720.19432284410686"/>
    <n v="108.02914842661603"/>
    <n v="144.03886456882137"/>
    <n v="1.256165163174777"/>
    <n v="253.3241781586122"/>
  </r>
  <r>
    <x v="299"/>
    <n v="22735.65"/>
    <n v="20291.11"/>
    <n v="2444.54"/>
    <n v="441.5"/>
    <n v="-30.085605959646671"/>
    <n v="21.277666666666669"/>
    <n v="336.43400000000003"/>
    <n v="0"/>
    <n v="-387.79727262631337"/>
    <n v="33788.733333333301"/>
    <n v="0.99403999999999992"/>
    <n v="1.25E-4"/>
    <n v="471.58560595964667"/>
    <n v="12.456971201483205"/>
    <n v="887.01460595964659"/>
    <n v="133.05219089394697"/>
    <n v="177.40292119192932"/>
    <n v="1.2456971201483205"/>
    <n v="311.70080920602459"/>
  </r>
  <r>
    <x v="300"/>
    <n v="23781.59"/>
    <n v="20392.189999999999"/>
    <n v="3389.4"/>
    <n v="439.27"/>
    <n v="265.06948514980888"/>
    <n v="20.371166666666667"/>
    <n v="338.1851666666667"/>
    <n v="13.319617789583448"/>
    <n v="-106.80646597310795"/>
    <n v="33203.566666666702"/>
    <n v="0.99506000000000006"/>
    <n v="1.25E-4"/>
    <n v="174.2005148501911"/>
    <n v="34.840102970038224"/>
    <n v="1524.3815148501913"/>
    <n v="228.65722722752869"/>
    <n v="304.87630297003824"/>
    <n v="3.4840102970038225"/>
    <n v="537.01754049457077"/>
  </r>
  <r>
    <x v="301"/>
    <n v="23780.19"/>
    <n v="20923.349999999999"/>
    <n v="2856.84"/>
    <n v="871.03"/>
    <n v="369.38560173435997"/>
    <n v="28.245000000000001"/>
    <n v="339.8698333333333"/>
    <n v="0"/>
    <n v="1.2707684010266496"/>
    <n v="33203.566666666702"/>
    <n v="0.99483999999999995"/>
    <n v="1.25E-4"/>
    <n v="501.64439826564001"/>
    <n v="34.549768778621235"/>
    <n v="1266.1493982656402"/>
    <n v="189.92240973984602"/>
    <n v="253.22987965312805"/>
    <n v="3.4549768778621237"/>
    <n v="446.60726627083619"/>
  </r>
  <r>
    <x v="302"/>
    <n v="22764.560000000001"/>
    <n v="20874.490000000002"/>
    <n v="1890.07"/>
    <n v="299.86"/>
    <n v="357.20979667317528"/>
    <n v="23.807000000000002"/>
    <n v="348.72249999999997"/>
    <n v="0"/>
    <n v="-15.319703326824708"/>
    <n v="33203.566666666702"/>
    <n v="0.99748999999999999"/>
    <n v="1.25E-4"/>
    <n v="-57.349796673175263"/>
    <n v="34.261854038799392"/>
    <n v="0"/>
    <n v="0"/>
    <n v="0"/>
    <n v="3.4261854038799395"/>
    <n v="3.4261854038799395"/>
  </r>
  <r>
    <x v="303"/>
    <n v="22760.57"/>
    <n v="20882.05"/>
    <n v="1878.52"/>
    <n v="355.47"/>
    <n v="560.63957029670064"/>
    <n v="15.750583333333333"/>
    <n v="347.90816666666672"/>
    <n v="0"/>
    <n v="196.98082029670064"/>
    <n v="34214.333333333299"/>
    <n v="0.99341999999999997"/>
    <n v="1.25E-4"/>
    <n v="-205.16957029670061"/>
    <n v="33.976338588476061"/>
    <n v="0"/>
    <n v="0"/>
    <n v="0"/>
    <n v="3.3976338588476063"/>
    <n v="3.3976338588476063"/>
  </r>
  <r>
    <x v="304"/>
    <n v="22758.47"/>
    <n v="21154.77"/>
    <n v="1603.7"/>
    <n v="620.75"/>
    <n v="754.00664071490326"/>
    <n v="15.654333333333334"/>
    <n v="348.03416666666664"/>
    <n v="0"/>
    <n v="390.31814071490328"/>
    <n v="34214.333333333299"/>
    <n v="0.99675999999999998"/>
    <n v="1.1666666666666668E-4"/>
    <n v="-133.25664071490326"/>
    <n v="33.693202433572097"/>
    <n v="0"/>
    <n v="0"/>
    <n v="0"/>
    <n v="3.36932024335721"/>
    <n v="3.36932024335721"/>
  </r>
  <r>
    <x v="305"/>
    <n v="24555.23"/>
    <n v="21294.28"/>
    <n v="3260.95"/>
    <n v="492.09"/>
    <n v="376.12762102343783"/>
    <n v="13.364166666666668"/>
    <n v="352.5795"/>
    <n v="0"/>
    <n v="10.183954356771174"/>
    <n v="34214.333333333299"/>
    <n v="0.99507999999999996"/>
    <n v="1.1666666666666668E-4"/>
    <n v="115.96237897656215"/>
    <n v="33.412425746625658"/>
    <n v="1247.4843789765619"/>
    <n v="187.12265684648426"/>
    <n v="249.49687579531238"/>
    <n v="3.3412425746625658"/>
    <n v="439.96077521645918"/>
  </r>
  <r>
    <x v="306"/>
    <n v="24550.61"/>
    <n v="21477.61"/>
    <n v="3073"/>
    <n v="538.23"/>
    <n v="421.9780977327693"/>
    <n v="27.174583333333331"/>
    <n v="354.90466666666663"/>
    <n v="0"/>
    <n v="39.898847732769333"/>
    <n v="34339.300000000003"/>
    <n v="0.99212999999999996"/>
    <n v="1.1666666666666668E-4"/>
    <n v="116.25190226723072"/>
    <n v="33.133988865403779"/>
    <n v="1041.4909022672309"/>
    <n v="156.22363534008463"/>
    <n v="208.29818045344621"/>
    <n v="3.3133988865403783"/>
    <n v="367.8352146800712"/>
  </r>
  <r>
    <x v="307"/>
    <n v="24547.46"/>
    <n v="21677.74"/>
    <n v="2869.72"/>
    <n v="558.09"/>
    <n v="351.31137178407749"/>
    <n v="25.608333333333334"/>
    <n v="357.96016666666668"/>
    <n v="0"/>
    <n v="-32.257128215922513"/>
    <n v="34339.300000000003"/>
    <n v="0.99742000000000008"/>
    <n v="1.1666666666666668E-4"/>
    <n v="206.77862821592254"/>
    <n v="32.857872291525418"/>
    <n v="908.72462821592217"/>
    <n v="136.30869423238832"/>
    <n v="181.74492564318444"/>
    <n v="3.2857872291525418"/>
    <n v="321.3394071047253"/>
  </r>
  <r>
    <x v="308"/>
    <n v="24544.73"/>
    <n v="21762.02"/>
    <n v="2782.71"/>
    <n v="445.58"/>
    <n v="396.68345243962"/>
    <n v="23.914333333333332"/>
    <n v="361.2956666666667"/>
    <n v="0"/>
    <n v="11.473452439619969"/>
    <n v="34339.300000000003"/>
    <n v="0.99553000000000003"/>
    <n v="1.1666666666666668E-4"/>
    <n v="48.896547560379986"/>
    <n v="32.584056689096037"/>
    <n v="655.4045475603798"/>
    <n v="98.310682134056961"/>
    <n v="131.08090951207598"/>
    <n v="3.2584056689096039"/>
    <n v="232.64999731504255"/>
  </r>
  <r>
    <x v="309"/>
    <n v="24540.39"/>
    <n v="21916.09"/>
    <n v="2624.3"/>
    <n v="516.77"/>
    <n v="573.72917041475569"/>
    <n v="23.189250000000001"/>
    <n v="362.70033333333333"/>
    <n v="0"/>
    <n v="187.83958708142234"/>
    <n v="35310.6"/>
    <n v="0.99254999999999993"/>
    <n v="1.1666666666666668E-4"/>
    <n v="-56.959170414755704"/>
    <n v="32.312522883353573"/>
    <n v="375.73182958524467"/>
    <n v="56.359774437786697"/>
    <n v="75.146365917048939"/>
    <n v="3.2312522883353574"/>
    <n v="134.73739264317098"/>
  </r>
  <r>
    <x v="310"/>
    <n v="24537.94"/>
    <n v="22077.439999999999"/>
    <n v="2460.5"/>
    <n v="526.62"/>
    <n v="375.6485475334303"/>
    <n v="21.869166666666668"/>
    <n v="365.26816666666667"/>
    <n v="0"/>
    <n v="-11.488785799903027"/>
    <n v="35310.6"/>
    <n v="0.99441000000000002"/>
    <n v="1.1666666666666668E-4"/>
    <n v="150.9714524665697"/>
    <n v="32.043251859325629"/>
    <n v="403.7274524665695"/>
    <n v="60.559117869985421"/>
    <n v="80.745490493313909"/>
    <n v="3.204325185932563"/>
    <n v="144.5089335492319"/>
  </r>
  <r>
    <x v="311"/>
    <n v="24534.58"/>
    <n v="22139.88"/>
    <n v="2394.6999999999998"/>
    <n v="430.4"/>
    <n v="-20.294391007487661"/>
    <n v="20.504166666666666"/>
    <n v="367.95733333333334"/>
    <n v="0"/>
    <n v="-408.75589100748766"/>
    <n v="35310.6"/>
    <n v="0.99328000000000005"/>
    <n v="1.25E-4"/>
    <n v="450.69439100748764"/>
    <n v="31.776224760497918"/>
    <n v="631.4063910074874"/>
    <n v="94.710958651123107"/>
    <n v="126.28127820149749"/>
    <n v="3.177622476049792"/>
    <n v="224.16985932867038"/>
  </r>
  <r>
    <x v="312"/>
    <n v="24530.87"/>
    <n v="22399.09"/>
    <n v="2131.7800000000002"/>
    <n v="628.21"/>
    <n v="-157.1287138721911"/>
    <n v="19.955833333333331"/>
    <n v="368.99799999999999"/>
    <n v="0"/>
    <n v="-546.08254720552441"/>
    <n v="34190.733333333301"/>
    <n v="0.99114000000000002"/>
    <n v="1.3333333333333334E-4"/>
    <n v="785.33871387219119"/>
    <n v="31.511422887493769"/>
    <n v="677.20971387219151"/>
    <n v="101.58145708082873"/>
    <n v="135.4419427744383"/>
    <n v="3.151142288749377"/>
    <n v="240.17454214401641"/>
  </r>
  <r>
    <x v="313"/>
    <n v="26417.02"/>
    <n v="22654.52"/>
    <n v="3762.5"/>
    <n v="628.75"/>
    <n v="43.423400472580909"/>
    <n v="17.764833333333335"/>
    <n v="373.31816666666668"/>
    <n v="-5.3954184248102486"/>
    <n v="-342.26418110260886"/>
    <n v="34190.733333333301"/>
    <n v="0.99210999999999994"/>
    <n v="1.4166666666666668E-4"/>
    <n v="585.32659952741915"/>
    <n v="117.06531990548383"/>
    <n v="2082.3745995274194"/>
    <n v="312.35618992911287"/>
    <n v="416.47491990548389"/>
    <n v="11.706531990548385"/>
    <n v="740.5376418251451"/>
  </r>
  <r>
    <x v="314"/>
    <n v="24910.06"/>
    <n v="22733.34"/>
    <n v="2176.7199999999998"/>
    <n v="456.4"/>
    <n v="395.79745111863156"/>
    <n v="31.354166666666668"/>
    <n v="377.57533333333333"/>
    <n v="0"/>
    <n v="-13.132048881368487"/>
    <n v="34190.733333333301"/>
    <n v="0.99448999999999999"/>
    <n v="1.4166666666666668E-4"/>
    <n v="60.602548881368421"/>
    <n v="116.08977557293814"/>
    <n v="0"/>
    <n v="0"/>
    <n v="0"/>
    <n v="11.608977557293814"/>
    <n v="11.608977557293814"/>
  </r>
  <r>
    <x v="315"/>
    <n v="24906.77"/>
    <n v="22916.32"/>
    <n v="1990.45"/>
    <n v="561.87"/>
    <n v="945.65022298607528"/>
    <n v="18.139333333333333"/>
    <n v="378.88900000000001"/>
    <n v="0"/>
    <n v="548.62188965274197"/>
    <n v="35283.233333333301"/>
    <n v="0.98828999999999989"/>
    <n v="1.3333333333333334E-4"/>
    <n v="-383.78022298607527"/>
    <n v="115.12236077649699"/>
    <n v="0"/>
    <n v="0"/>
    <n v="0"/>
    <n v="11.5122360776497"/>
    <n v="11.5122360776497"/>
  </r>
  <r>
    <x v="316"/>
    <n v="24904.18"/>
    <n v="23078.65"/>
    <n v="1825.53"/>
    <n v="544.27"/>
    <n v="372.46222764828991"/>
    <n v="16.587083333333332"/>
    <n v="381.93866666666668"/>
    <n v="0"/>
    <n v="-26.063522351710127"/>
    <n v="35283.233333333301"/>
    <n v="0.99278999999999995"/>
    <n v="1.3333333333333334E-4"/>
    <n v="171.80777235171007"/>
    <n v="114.16300777002617"/>
    <n v="0"/>
    <n v="0"/>
    <n v="0"/>
    <n v="11.416300777002618"/>
    <n v="11.416300777002618"/>
  </r>
  <r>
    <x v="317"/>
    <n v="26798.66"/>
    <n v="23049.599999999999"/>
    <n v="3749.06"/>
    <n v="355.59"/>
    <n v="406.08919288932185"/>
    <n v="15.21275"/>
    <n v="384.64416666666671"/>
    <n v="0"/>
    <n v="6.2322762226550967"/>
    <n v="35283.233333333301"/>
    <n v="0.99171000000000009"/>
    <n v="1.3333333333333334E-4"/>
    <n v="-50.499192889321876"/>
    <n v="113.21164937194263"/>
    <n v="1393.600807110678"/>
    <n v="209.0401210666017"/>
    <n v="278.72016142213562"/>
    <n v="11.321164937194263"/>
    <n v="499.08144742593157"/>
  </r>
  <r>
    <x v="318"/>
    <n v="26794.6"/>
    <n v="22984.71"/>
    <n v="3809.89"/>
    <n v="319.27"/>
    <n v="143.17313047212104"/>
    <n v="31.242166666666666"/>
    <n v="384.15999999999997"/>
    <n v="0"/>
    <n v="-272.22903619454559"/>
    <n v="35594.400000000001"/>
    <n v="0.98817999999999995"/>
    <n v="1.4166666666666668E-4"/>
    <n v="176.09686952787894"/>
    <n v="112.26821896050977"/>
    <n v="1687.5158695278787"/>
    <n v="253.12738042918181"/>
    <n v="337.50317390557575"/>
    <n v="11.226821896050978"/>
    <n v="601.85737623080854"/>
  </r>
  <r>
    <x v="319"/>
    <n v="26791.73"/>
    <n v="23476.32"/>
    <n v="3315.41"/>
    <n v="874.69"/>
    <n v="95.515626565781474"/>
    <n v="31.749083333333331"/>
    <n v="383.07849999999996"/>
    <n v="0"/>
    <n v="-319.31195676755181"/>
    <n v="35594.400000000001"/>
    <n v="0.98911000000000004"/>
    <n v="1.4999999999999999E-4"/>
    <n v="779.17437343421852"/>
    <n v="111.33265046917219"/>
    <n v="1746.9523734342183"/>
    <n v="262.04285601513271"/>
    <n v="349.39047468684367"/>
    <n v="11.13326504691722"/>
    <n v="622.56659574889363"/>
  </r>
  <r>
    <x v="320"/>
    <n v="26788.720000000001"/>
    <n v="23570.19"/>
    <n v="3218.53"/>
    <n v="485.14"/>
    <n v="732.91500149980493"/>
    <n v="27.628416666666666"/>
    <n v="391.27199999999999"/>
    <n v="0"/>
    <n v="314.01458483313831"/>
    <n v="35594.400000000001"/>
    <n v="0.98912000000000011"/>
    <n v="1.4166666666666668E-4"/>
    <n v="-247.77500149980494"/>
    <n v="110.40487838192909"/>
    <n v="613.73599850019536"/>
    <n v="92.060399775029296"/>
    <n v="122.74719970003908"/>
    <n v="11.040487838192909"/>
    <n v="225.84808731326129"/>
  </r>
  <r>
    <x v="321"/>
    <n v="26785.01"/>
    <n v="23573.62"/>
    <n v="3211.39"/>
    <n v="396.27"/>
    <n v="519.14639327867667"/>
    <n v="26.821083333333334"/>
    <n v="392.8365"/>
    <n v="0"/>
    <n v="99.488809945343363"/>
    <n v="36079.666666666701"/>
    <n v="0.98486999999999991"/>
    <n v="1.4166666666666668E-4"/>
    <n v="-122.87639327867669"/>
    <n v="109.48483772874634"/>
    <n v="731.15160672132333"/>
    <n v="109.6727410081985"/>
    <n v="146.23032134426467"/>
    <n v="10.948483772874635"/>
    <n v="266.85154612533779"/>
  </r>
  <r>
    <x v="322"/>
    <n v="26782.63"/>
    <n v="23730.35"/>
    <n v="3052.28"/>
    <n v="549.62"/>
    <n v="92.611023981183223"/>
    <n v="26.761583333333331"/>
    <n v="392.89366666666666"/>
    <n v="0"/>
    <n v="-327.04422601881674"/>
    <n v="36079.666666666701"/>
    <n v="0.98683999999999994"/>
    <n v="1.4999999999999999E-4"/>
    <n v="457.00897601881678"/>
    <n v="108.57246408100679"/>
    <n v="1136.253976018817"/>
    <n v="170.43809640282254"/>
    <n v="227.2507952037634"/>
    <n v="10.857246408100679"/>
    <n v="408.54613801468656"/>
  </r>
  <r>
    <x v="323"/>
    <n v="26777.87"/>
    <n v="23906.12"/>
    <n v="2871.75"/>
    <n v="571.28"/>
    <n v="129.86799773040588"/>
    <n v="25.43566666666667"/>
    <n v="395.50583333333333"/>
    <n v="0"/>
    <n v="-291.07350226959414"/>
    <n v="36079.666666666701"/>
    <n v="0.98692999999999997"/>
    <n v="1.5833333333333332E-4"/>
    <n v="441.4120022695941"/>
    <n v="107.66769354699839"/>
    <n v="922.55000226959419"/>
    <n v="138.38250034043912"/>
    <n v="184.51000045391885"/>
    <n v="10.766769354699839"/>
    <n v="333.65927014905776"/>
  </r>
  <r>
    <x v="324"/>
    <n v="28871.78"/>
    <n v="23893.24"/>
    <n v="4978.54"/>
    <n v="385.56"/>
    <n v="322.00559784186953"/>
    <n v="23.931249999999999"/>
    <n v="398.43533333333329"/>
    <n v="0"/>
    <n v="-100.36098549146371"/>
    <n v="35320.633333333302"/>
    <n v="0.98475999999999997"/>
    <n v="1.5833333333333332E-4"/>
    <n v="63.554402158130472"/>
    <n v="106.77046276744007"/>
    <n v="2652.7704021581308"/>
    <n v="397.9155603237196"/>
    <n v="530.55408043162618"/>
    <n v="10.677046276744008"/>
    <n v="939.14668703208986"/>
  </r>
  <r>
    <x v="325"/>
    <n v="28870.94"/>
    <n v="24152.66"/>
    <n v="4718.28"/>
    <n v="657.64"/>
    <n v="363.5402998534218"/>
    <n v="41.487833333333334"/>
    <n v="398.22066666666672"/>
    <n v="-81.541335937605069"/>
    <n v="5.3731357910267912"/>
    <n v="35320.633333333302"/>
    <n v="0.98375000000000001"/>
    <n v="1.5833333333333332E-4"/>
    <n v="294.09970014657819"/>
    <n v="58.819940029315639"/>
    <n v="2597.1137001465781"/>
    <n v="389.56705502198673"/>
    <n v="519.42274002931561"/>
    <n v="5.881994002931564"/>
    <n v="914.87178905423389"/>
  </r>
  <r>
    <x v="326"/>
    <n v="26523.63"/>
    <n v="24217.97"/>
    <n v="2305.66"/>
    <n v="467.85"/>
    <n v="439.68025261938226"/>
    <n v="39.318999999999996"/>
    <n v="402.54433333333333"/>
    <n v="0"/>
    <n v="-2.1830807139510946"/>
    <n v="35320.633333333302"/>
    <n v="0.98415999999999992"/>
    <n v="1.5833333333333332E-4"/>
    <n v="28.169747380617764"/>
    <n v="58.329773862404672"/>
    <n v="0"/>
    <n v="0"/>
    <n v="0"/>
    <n v="5.8329773862404677"/>
    <n v="5.8329773862404677"/>
  </r>
  <r>
    <x v="327"/>
    <n v="28606.83"/>
    <n v="24510.5"/>
    <n v="4096.33"/>
    <n v="696.16"/>
    <n v="575.84444950840293"/>
    <n v="19.213833333333334"/>
    <n v="403.63283333333334"/>
    <n v="0"/>
    <n v="152.99778284173627"/>
    <n v="36341.433333333298"/>
    <n v="0.98364999999999991"/>
    <n v="1.5833333333333332E-4"/>
    <n v="120.31555049159704"/>
    <n v="57.843692413551295"/>
    <n v="1765.5955504915964"/>
    <n v="264.83933257373945"/>
    <n v="353.11911009831931"/>
    <n v="5.7843692413551295"/>
    <n v="623.74281191341379"/>
  </r>
  <r>
    <x v="328"/>
    <n v="28604.03"/>
    <n v="24492.37"/>
    <n v="4111.66"/>
    <n v="390.38"/>
    <n v="477.20628139746708"/>
    <n v="34.136083333333332"/>
    <n v="408.50833333333333"/>
    <n v="0"/>
    <n v="34.561864730800444"/>
    <n v="36341.433333333298"/>
    <n v="0.97724"/>
    <n v="1.5833333333333332E-4"/>
    <n v="-86.826281397467085"/>
    <n v="57.361661643438374"/>
    <n v="1575.5967186025327"/>
    <n v="236.33950779037991"/>
    <n v="315.11934372050655"/>
    <n v="5.736166164343838"/>
    <n v="557.19501767523025"/>
  </r>
  <r>
    <x v="329"/>
    <n v="28600.25"/>
    <n v="24512.46"/>
    <n v="4087.79"/>
    <n v="428.3"/>
    <n v="403.11417495505918"/>
    <n v="34.263833333333331"/>
    <n v="408.20616666666666"/>
    <n v="0"/>
    <n v="-39.355825044940772"/>
    <n v="36341.433333333298"/>
    <n v="0.98448999999999998"/>
    <n v="1.5833333333333332E-4"/>
    <n v="25.185825044940827"/>
    <n v="56.883647796409718"/>
    <n v="1661.7298250449403"/>
    <n v="249.25947375674104"/>
    <n v="332.34596500898806"/>
    <n v="5.6883647796409722"/>
    <n v="587.29380354537011"/>
  </r>
  <r>
    <x v="330"/>
    <n v="28595.7"/>
    <n v="24967.599999999999"/>
    <n v="3628.1"/>
    <n v="863.68"/>
    <n v="509.66277847637264"/>
    <n v="34.064916666666669"/>
    <n v="408.541"/>
    <n v="0"/>
    <n v="67.056861809705978"/>
    <n v="36699.533333333296"/>
    <n v="0.98172999999999999"/>
    <n v="1.5833333333333332E-4"/>
    <n v="354.01722152362731"/>
    <n v="56.409617398106306"/>
    <n v="1485.3572215236272"/>
    <n v="222.80358322854408"/>
    <n v="297.07144430472545"/>
    <n v="5.6409617398106313"/>
    <n v="525.51598927308021"/>
  </r>
  <r>
    <x v="331"/>
    <n v="28592.06"/>
    <n v="25244.59"/>
    <n v="3347.47"/>
    <n v="693.12"/>
    <n v="420.03500392222219"/>
    <n v="30.234166666666667"/>
    <n v="416.12666666666667"/>
    <n v="0"/>
    <n v="-26.32582941111114"/>
    <n v="36699.533333333296"/>
    <n v="0.98656999999999995"/>
    <n v="1.5833333333333332E-4"/>
    <n v="273.08499607777782"/>
    <n v="55.93953725312209"/>
    <n v="1096.0959960777773"/>
    <n v="164.41439941166658"/>
    <n v="219.21919921555548"/>
    <n v="5.5939537253122094"/>
    <n v="389.22755235253425"/>
  </r>
  <r>
    <x v="332"/>
    <n v="28588.7"/>
    <n v="25632.39"/>
    <n v="2956.31"/>
    <n v="808.54"/>
    <n v="448.15101091305667"/>
    <n v="27.895583333333331"/>
    <n v="420.7431666666667"/>
    <n v="0"/>
    <n v="-0.48773908694336199"/>
    <n v="36699.533333333296"/>
    <n v="0.98665999999999998"/>
    <n v="1.5833333333333332E-4"/>
    <n v="360.3889890869433"/>
    <n v="55.473374442679408"/>
    <n v="753.4599890869431"/>
    <n v="113.01899836304146"/>
    <n v="150.69199781738862"/>
    <n v="5.5473374442679413"/>
    <n v="269.25833362469803"/>
  </r>
  <r>
    <x v="333"/>
    <n v="28586.18"/>
    <n v="26244.33"/>
    <n v="2341.85"/>
    <n v="1039.1500000000001"/>
    <n v="628.04237033804088"/>
    <n v="24.635916666666667"/>
    <n v="427.20650000000001"/>
    <n v="0"/>
    <n v="176.19995367137417"/>
    <n v="37813.699999999997"/>
    <n v="0.98382999999999998"/>
    <n v="1.5833333333333332E-4"/>
    <n v="411.10762966195921"/>
    <n v="55.011096322323745"/>
    <n v="128.52462966195844"/>
    <n v="19.278694449293766"/>
    <n v="25.704925932391689"/>
    <n v="5.5011096322323745"/>
    <n v="50.484730013917826"/>
  </r>
  <r>
    <x v="334"/>
    <n v="28584.5"/>
    <n v="26445.86"/>
    <n v="2138.64"/>
    <n v="638.94000000000005"/>
    <n v="439.50010036063389"/>
    <n v="19.515416666666667"/>
    <n v="437.40550000000002"/>
    <n v="0"/>
    <n v="-17.42081630603283"/>
    <n v="37813.699999999997"/>
    <n v="0.98699000000000003"/>
    <n v="1.5833333333333332E-4"/>
    <n v="199.43989963936616"/>
    <n v="54.552670519637708"/>
    <n v="0"/>
    <n v="0"/>
    <n v="0"/>
    <n v="5.4552670519637712"/>
    <n v="5.4552670519637712"/>
  </r>
  <r>
    <x v="335"/>
    <n v="30681.49"/>
    <n v="27038.06"/>
    <n v="3643.43"/>
    <n v="1032.96"/>
    <n v="1813.1836893384295"/>
    <n v="17.821999999999999"/>
    <n v="440.76433333333335"/>
    <n v="0"/>
    <n v="1354.5973560050961"/>
    <n v="37813.699999999997"/>
    <n v="0.98853999999999997"/>
    <n v="1.25E-4"/>
    <n v="-780.22368933842949"/>
    <n v="54.098064931974058"/>
    <n v="159.40031066157007"/>
    <n v="23.91004659923551"/>
    <n v="31.880062132314016"/>
    <n v="5.4098064931974061"/>
    <n v="61.199915224746931"/>
  </r>
  <r>
    <x v="336"/>
    <n v="31729.18"/>
    <n v="27081.040000000001"/>
    <n v="4648.1400000000003"/>
    <n v="493.61"/>
    <n v="305.01267319942622"/>
    <n v="30.361916666666666"/>
    <n v="450.63433333333336"/>
    <n v="-29.597864741323146"/>
    <n v="-146.38571205925072"/>
    <n v="36979.533333333296"/>
    <n v="0.99025999999999992"/>
    <n v="1.25E-4"/>
    <n v="188.5973268005738"/>
    <n v="37.719465360114761"/>
    <n v="2128.6333268005737"/>
    <n v="319.29499902008604"/>
    <n v="425.72666536011479"/>
    <n v="3.7719465360114763"/>
    <n v="748.79361091621229"/>
  </r>
  <r>
    <x v="337"/>
    <n v="31728.13"/>
    <n v="27044.639999999999"/>
    <n v="4683.49"/>
    <n v="414.95"/>
    <n v="915.04971770776842"/>
    <n v="38.734500000000004"/>
    <n v="451.35066666666665"/>
    <n v="0"/>
    <n v="424.96455104110174"/>
    <n v="36979.533333333296"/>
    <n v="0.99022999999999994"/>
    <n v="1.1666666666666668E-4"/>
    <n v="-500.09971770776843"/>
    <n v="37.405136482113804"/>
    <n v="1478.926282292231"/>
    <n v="221.83894234383465"/>
    <n v="295.78525645844621"/>
    <n v="3.7405136482113805"/>
    <n v="521.36471245049222"/>
  </r>
  <r>
    <x v="338"/>
    <n v="29766.31"/>
    <n v="27300.28"/>
    <n v="2466.0300000000002"/>
    <n v="706.38"/>
    <n v="487.17936337134006"/>
    <n v="39.029083333333332"/>
    <n v="450.74399999999997"/>
    <n v="0"/>
    <n v="-2.5937199619932665"/>
    <n v="36979.533333333296"/>
    <n v="0.99063999999999997"/>
    <n v="1.1666666666666668E-4"/>
    <n v="219.20063662865994"/>
    <n v="37.093427011429519"/>
    <n v="0"/>
    <n v="0"/>
    <n v="0"/>
    <n v="3.7093427011429521"/>
    <n v="3.7093427011429521"/>
  </r>
  <r>
    <x v="339"/>
    <n v="29765.119999999999"/>
    <n v="27537.93"/>
    <n v="2227.19"/>
    <n v="692.65"/>
    <n v="618.26478700053019"/>
    <n v="20.550250000000002"/>
    <n v="455.00466666666665"/>
    <n v="0"/>
    <n v="142.70987033386353"/>
    <n v="37713.966666666704"/>
    <n v="0.98762000000000005"/>
    <n v="1.1666666666666668E-4"/>
    <n v="74.385212999469786"/>
    <n v="36.784315119667603"/>
    <n v="0"/>
    <n v="0"/>
    <n v="0"/>
    <n v="3.6784315119667603"/>
    <n v="3.6784315119667603"/>
  </r>
  <r>
    <x v="340"/>
    <n v="29763.86"/>
    <n v="27884.080000000002"/>
    <n v="1879.78"/>
    <n v="805.12"/>
    <n v="456.01515694208126"/>
    <n v="18.559916666666666"/>
    <n v="458.96550000000002"/>
    <n v="0"/>
    <n v="-21.510259724585381"/>
    <n v="37713.966666666704"/>
    <n v="0.99097999999999997"/>
    <n v="1.1666666666666668E-4"/>
    <n v="349.10484305791874"/>
    <n v="36.477779160337043"/>
    <n v="0"/>
    <n v="0"/>
    <n v="0"/>
    <n v="3.6477779160337045"/>
    <n v="3.6477779160337045"/>
  </r>
  <r>
    <x v="341"/>
    <n v="31441.41"/>
    <n v="28230.16"/>
    <n v="3211.25"/>
    <n v="810.81"/>
    <n v="489.46377139561901"/>
    <n v="15.664833333333332"/>
    <n v="464.73466666666667"/>
    <n v="0"/>
    <n v="9.0642713956190022"/>
    <n v="37713.966666666704"/>
    <n v="0.98956"/>
    <n v="1.1666666666666668E-4"/>
    <n v="321.34622860438094"/>
    <n v="36.173797667334235"/>
    <n v="709.58022860438086"/>
    <n v="106.43703429065712"/>
    <n v="141.91604572087618"/>
    <n v="3.6173797667334235"/>
    <n v="251.97045977826673"/>
  </r>
  <r>
    <x v="342"/>
    <n v="31439.45"/>
    <n v="28561.96"/>
    <n v="2877.49"/>
    <n v="802.3"/>
    <n v="676.46731454715609"/>
    <n v="26.760416666666668"/>
    <n v="470.50266666666664"/>
    <n v="0"/>
    <n v="179.20423121382282"/>
    <n v="38702.699999999997"/>
    <n v="0.98726000000000003"/>
    <n v="1.1666666666666668E-4"/>
    <n v="125.83268545284386"/>
    <n v="35.87234935343978"/>
    <n v="147.12668545284396"/>
    <n v="22.069002817926592"/>
    <n v="29.425337090568792"/>
    <n v="3.5872349353439783"/>
    <n v="55.081574843839363"/>
  </r>
  <r>
    <x v="343"/>
    <n v="31436.09"/>
    <n v="28772.94"/>
    <n v="2663.15"/>
    <n v="687.01"/>
    <n v="478.60688107012993"/>
    <n v="23.979083333333332"/>
    <n v="476.03266666666667"/>
    <n v="0"/>
    <n v="-21.404868929870052"/>
    <n v="38702.699999999997"/>
    <n v="0.99056"/>
    <n v="1.1666666666666668E-4"/>
    <n v="208.40311892987006"/>
    <n v="35.573413108827786"/>
    <n v="0"/>
    <n v="0"/>
    <n v="0"/>
    <n v="3.5573413108827787"/>
    <n v="3.5573413108827787"/>
  </r>
  <r>
    <x v="344"/>
    <n v="31433.15"/>
    <n v="29033.06"/>
    <n v="2400.09"/>
    <n v="739.67"/>
    <n v="503.03587389613114"/>
    <n v="22.192916666666669"/>
    <n v="479.54899999999998"/>
    <n v="0"/>
    <n v="1.2939572294644655"/>
    <n v="38702.699999999997"/>
    <n v="0.99036000000000002"/>
    <n v="1.1666666666666668E-4"/>
    <n v="236.63412610386882"/>
    <n v="35.276967999587555"/>
    <n v="0"/>
    <n v="0"/>
    <n v="0"/>
    <n v="3.5276967999587558"/>
    <n v="3.5276967999587558"/>
  </r>
  <r>
    <x v="345"/>
    <n v="30250.5"/>
    <n v="29303.89"/>
    <n v="946.61"/>
    <n v="754.71"/>
    <n v="668.73844100755696"/>
    <n v="20.00075"/>
    <n v="483.88433333333336"/>
    <n v="0"/>
    <n v="164.85335767422359"/>
    <n v="39592.966666666704"/>
    <n v="0.98750000000000004"/>
    <n v="1.1666666666666668E-4"/>
    <n v="85.971558992443079"/>
    <n v="34.982993266257658"/>
    <n v="0"/>
    <n v="0"/>
    <n v="0"/>
    <n v="3.4982993266257658"/>
    <n v="3.4982993266257658"/>
  </r>
  <r>
    <x v="346"/>
    <n v="30454.9"/>
    <n v="29515.64"/>
    <n v="939.26"/>
    <n v="700.15"/>
    <n v="458.74221986002004"/>
    <n v="7.8884166666666671"/>
    <n v="488.39816666666667"/>
    <n v="0"/>
    <n v="-37.544363473313275"/>
    <n v="39592.966666666704"/>
    <n v="0.99321999999999999"/>
    <n v="1.1666666666666668E-4"/>
    <n v="241.40778013997993"/>
    <n v="34.691468322372181"/>
    <n v="0"/>
    <n v="0"/>
    <n v="0"/>
    <n v="3.4691468322372181"/>
    <n v="3.4691468322372181"/>
  </r>
  <r>
    <x v="347"/>
    <n v="31139.01"/>
    <n v="29721.93"/>
    <n v="1417.08"/>
    <n v="698.22"/>
    <n v="66.108984557128224"/>
    <n v="7.8271666666666668"/>
    <n v="491.92733333333331"/>
    <n v="0"/>
    <n v="-433.64551544287173"/>
    <n v="39592.966666666704"/>
    <n v="0.99224999999999997"/>
    <n v="1.25E-4"/>
    <n v="632.1110154428718"/>
    <n v="34.40237275301908"/>
    <n v="0"/>
    <n v="0"/>
    <n v="0"/>
    <n v="3.4402372753019081"/>
    <n v="3.4402372753019081"/>
  </r>
  <r>
    <x v="348"/>
    <n v="31793.72"/>
    <n v="30010.61"/>
    <n v="1783.11"/>
    <n v="784.05"/>
    <n v="395.53626139279186"/>
    <n v="11.808999999999999"/>
    <n v="495.3655"/>
    <n v="0"/>
    <n v="-111.63823860720817"/>
    <n v="38815.1"/>
    <n v="0.99034999999999995"/>
    <n v="1.25E-4"/>
    <n v="388.5137386072081"/>
    <n v="34.115686313410585"/>
    <n v="0"/>
    <n v="0"/>
    <n v="0"/>
    <n v="3.4115686313410585"/>
    <n v="3.4115686313410585"/>
  </r>
  <r>
    <x v="349"/>
    <n v="32209.24"/>
    <n v="29509.55"/>
    <n v="2699.69"/>
    <n v="0"/>
    <n v="475.03726022827811"/>
    <n v="14.859249999999999"/>
    <n v="500.17683333333332"/>
    <n v="-10.790857788314053"/>
    <n v="-29.207965316741145"/>
    <n v="38815.1"/>
    <n v="0.99501000000000006"/>
    <n v="1.25E-4"/>
    <n v="-475.03726022827811"/>
    <n v="0"/>
    <n v="0"/>
    <n v="0"/>
    <n v="0"/>
    <n v="0"/>
    <n v="0"/>
  </r>
  <r>
    <x v="350"/>
    <n v="31908.66"/>
    <n v="30282.21"/>
    <n v="1626.45"/>
    <n v="1264.49"/>
    <n v="526.93331434666914"/>
    <n v="22.497416666666666"/>
    <n v="491.82583333333332"/>
    <n v="0"/>
    <n v="12.610064346669132"/>
    <n v="38815.1"/>
    <n v="0.99299000000000004"/>
    <n v="1.25E-4"/>
    <n v="737.55668565333087"/>
    <n v="0"/>
    <n v="0"/>
    <n v="0"/>
    <n v="0"/>
    <n v="0"/>
    <n v="0"/>
  </r>
  <r>
    <x v="351"/>
    <n v="31894.38"/>
    <n v="30636.62"/>
    <n v="1257.76"/>
    <n v="859.11"/>
    <n v="679.16869019654416"/>
    <n v="13.553750000000001"/>
    <n v="504.70349999999996"/>
    <n v="0"/>
    <n v="160.91144019654416"/>
    <n v="39645.533333333296"/>
    <n v="0.98832999999999993"/>
    <n v="1.25E-4"/>
    <n v="179.94130980345585"/>
    <n v="0"/>
    <n v="0"/>
    <n v="0"/>
    <n v="0"/>
    <n v="0"/>
    <n v="0"/>
  </r>
  <r>
    <x v="352"/>
    <n v="32025.91"/>
    <n v="30928.94"/>
    <n v="1096.97"/>
    <n v="802.93"/>
    <n v="482.01649074509419"/>
    <n v="10.481333333333334"/>
    <n v="510.6103333333333"/>
    <n v="0"/>
    <n v="-39.075175921572416"/>
    <n v="39645.533333333296"/>
    <n v="0.99448999999999999"/>
    <n v="1.25E-4"/>
    <n v="320.91350925490576"/>
    <n v="0"/>
    <n v="0"/>
    <n v="0"/>
    <n v="0"/>
    <n v="0"/>
    <n v="0"/>
  </r>
  <r>
    <x v="353"/>
    <n v="32036.34"/>
    <n v="31069.01"/>
    <n v="967.33"/>
    <n v="655.55"/>
    <n v="122.20013185917799"/>
    <n v="9.1414166666666663"/>
    <n v="515.48233333333326"/>
    <n v="0"/>
    <n v="-402.42361814082199"/>
    <n v="39645.533333333296"/>
    <n v="0.99504999999999999"/>
    <n v="1.3333333333333334E-4"/>
    <n v="533.34986814082197"/>
    <n v="0"/>
    <n v="0"/>
    <n v="0"/>
    <n v="0"/>
    <n v="0"/>
    <n v="0"/>
  </r>
  <r>
    <x v="354"/>
    <n v="32156.11"/>
    <n v="31205.37"/>
    <n v="950.74"/>
    <n v="654.17999999999995"/>
    <n v="582.19214804089154"/>
    <n v="8.0610833333333343"/>
    <n v="517.81683333333331"/>
    <n v="0"/>
    <n v="56.314231374224818"/>
    <n v="39955.333333333299"/>
    <n v="0.99358999999999997"/>
    <n v="1.3333333333333334E-4"/>
    <n v="71.987851959108411"/>
    <n v="0"/>
    <n v="0"/>
    <n v="0"/>
    <n v="0"/>
    <n v="0"/>
    <n v="0"/>
  </r>
  <r>
    <x v="355"/>
    <n v="32207.49"/>
    <n v="31220.14"/>
    <n v="987.35"/>
    <n v="534.86"/>
    <n v="502.25860621844134"/>
    <n v="7.9228333333333332"/>
    <n v="520.08949999999993"/>
    <n v="0"/>
    <n v="-25.753727114891866"/>
    <n v="39955.333333333299"/>
    <n v="0.99778000000000011"/>
    <n v="1.3333333333333334E-4"/>
    <n v="32.60139378155867"/>
    <n v="0"/>
    <n v="0"/>
    <n v="0"/>
    <n v="0"/>
    <n v="0"/>
    <n v="0"/>
  </r>
  <r>
    <x v="356"/>
    <n v="32278.82"/>
    <n v="31405.08"/>
    <n v="873.74"/>
    <n v="705.28"/>
    <n v="530.09526467035016"/>
    <n v="8.2279166666666672"/>
    <n v="520.33566666666661"/>
    <n v="0"/>
    <n v="1.5316813370168747"/>
    <n v="39955.333333333299"/>
    <n v="0.99753000000000003"/>
    <n v="1.3333333333333334E-4"/>
    <n v="175.18473532964981"/>
    <n v="0"/>
    <n v="0"/>
    <n v="0"/>
    <n v="0"/>
    <n v="0"/>
    <n v="0"/>
  </r>
  <r>
    <x v="357"/>
    <n v="32333.63"/>
    <n v="31541.37"/>
    <n v="792.26"/>
    <n v="659.71"/>
    <n v="217.42350574691244"/>
    <n v="7.2811666666666666"/>
    <n v="523.41800000000001"/>
    <n v="0"/>
    <n v="-313.27566091975422"/>
    <n v="40174.6"/>
    <n v="0.99447000000000008"/>
    <n v="1.4166666666666668E-4"/>
    <n v="442.2864942530876"/>
    <n v="0"/>
    <n v="0"/>
    <n v="0"/>
    <n v="0"/>
    <n v="0"/>
    <n v="0"/>
  </r>
  <r>
    <x v="358"/>
    <n v="32453.75"/>
    <n v="31607.73"/>
    <n v="846.02"/>
    <n v="592.04999999999995"/>
    <n v="522.55598224921607"/>
    <n v="6.6021666666666663"/>
    <n v="525.68949999999995"/>
    <n v="0"/>
    <n v="-9.7356844174506119"/>
    <n v="40174.6"/>
    <n v="0.99609999999999999"/>
    <n v="1.4166666666666668E-4"/>
    <n v="69.494017750783883"/>
    <n v="0"/>
    <n v="0"/>
    <n v="0"/>
    <n v="0"/>
    <n v="0"/>
    <n v="0"/>
  </r>
  <r>
    <x v="359"/>
    <n v="33352.76"/>
    <n v="31813.95"/>
    <n v="1538.81"/>
    <n v="733.02"/>
    <n v="194.3432164675221"/>
    <n v="7.0501666666666667"/>
    <n v="526.79549999999995"/>
    <n v="0"/>
    <n v="-339.5024501991445"/>
    <n v="40174.6"/>
    <n v="0.99686000000000008"/>
    <n v="1.4999999999999999E-4"/>
    <n v="538.67678353247788"/>
    <n v="0"/>
    <n v="0"/>
    <n v="0"/>
    <n v="0"/>
    <n v="0"/>
    <n v="0"/>
  </r>
  <r>
    <x v="360"/>
    <n v="34487.67"/>
    <n v="31626.21"/>
    <n v="2861.46"/>
    <n v="342.49"/>
    <n v="134.6356304009073"/>
    <n v="12.823416666666667"/>
    <n v="530.23249999999996"/>
    <n v="0"/>
    <n v="-408.42028626575927"/>
    <n v="39334.433333333298"/>
    <n v="0.99387000000000003"/>
    <n v="1.5833333333333332E-4"/>
    <n v="207.85436959909271"/>
    <n v="0"/>
    <n v="0"/>
    <n v="0"/>
    <n v="0"/>
    <n v="0"/>
    <n v="0"/>
  </r>
  <r>
    <x v="361"/>
    <n v="33933.760000000002"/>
    <n v="32286.73"/>
    <n v="1647.03"/>
    <n v="1187.6199999999999"/>
    <n v="259.53338836041428"/>
    <n v="23.845500000000001"/>
    <n v="527.10349999999994"/>
    <n v="22.401908127314158"/>
    <n v="-313.81751976689986"/>
    <n v="39334.433333333298"/>
    <n v="0.99953000000000003"/>
    <n v="1.6666666666666666E-4"/>
    <n v="928.08661163958561"/>
    <n v="185.61732232791712"/>
    <n v="0"/>
    <n v="0"/>
    <n v="0"/>
    <n v="18.561732232791712"/>
    <n v="18.561732232791712"/>
  </r>
  <r>
    <x v="362"/>
    <n v="33759.67"/>
    <n v="32659.759999999998"/>
    <n v="1099.9100000000001"/>
    <n v="911.14"/>
    <n v="550.80514644071297"/>
    <n v="13.725249999999999"/>
    <n v="538.11216666666667"/>
    <n v="0"/>
    <n v="-1.0322702259536647"/>
    <n v="39334.433333333298"/>
    <n v="0.99971999999999994"/>
    <n v="1.6666666666666666E-4"/>
    <n v="360.33485355928701"/>
    <n v="184.07051130851781"/>
    <n v="0"/>
    <n v="0"/>
    <n v="0"/>
    <n v="18.40705113085178"/>
    <n v="18.40705113085178"/>
  </r>
  <r>
    <x v="363"/>
    <n v="33844.65"/>
    <n v="32602.43"/>
    <n v="1242.22"/>
    <n v="487"/>
    <n v="660.23226185861427"/>
    <n v="9.1659166666666678"/>
    <n v="544.32933333333335"/>
    <n v="0"/>
    <n v="106.73701185861421"/>
    <n v="40025.166666666701"/>
    <n v="0.99753000000000003"/>
    <n v="1.6666666666666666E-4"/>
    <n v="-173.23226185861427"/>
    <n v="182.53659038094685"/>
    <n v="0"/>
    <n v="0"/>
    <n v="0"/>
    <n v="18.253659038094685"/>
    <n v="18.253659038094685"/>
  </r>
  <r>
    <x v="364"/>
    <n v="33823.230000000003"/>
    <n v="32779.11"/>
    <n v="1044.1199999999999"/>
    <n v="720.05"/>
    <n v="522.30245222675114"/>
    <n v="10.351833333333333"/>
    <n v="543.37383333333332"/>
    <n v="0"/>
    <n v="-31.423214439915554"/>
    <n v="40025.166666666701"/>
    <n v="1.00325"/>
    <n v="1.6666666666666666E-4"/>
    <n v="197.74754777324881"/>
    <n v="181.01545212777228"/>
    <n v="0"/>
    <n v="0"/>
    <n v="0"/>
    <n v="18.101545212777228"/>
    <n v="18.101545212777228"/>
  </r>
  <r>
    <x v="365"/>
    <n v="33852.699999999997"/>
    <n v="32961.81"/>
    <n v="890.89"/>
    <n v="729.02"/>
    <n v="570.70734773269862"/>
    <n v="8.7009999999999987"/>
    <n v="546.31849999999997"/>
    <n v="0"/>
    <n v="15.687847732698655"/>
    <n v="40025.166666666701"/>
    <n v="1.00038"/>
    <n v="1.6666666666666666E-4"/>
    <n v="158.31265226730136"/>
    <n v="179.50699002670751"/>
    <n v="0"/>
    <n v="0"/>
    <n v="0"/>
    <n v="17.950699002670753"/>
    <n v="17.950699002670753"/>
  </r>
  <r>
    <x v="366"/>
    <n v="34087.97"/>
    <n v="33163.339999999997"/>
    <n v="924.63"/>
    <n v="750.89"/>
    <n v="612.3759573356823"/>
    <n v="7.4240833333333329"/>
    <n v="549.36349999999993"/>
    <n v="0"/>
    <n v="55.588374002349042"/>
    <n v="40251.766666666699"/>
    <n v="0.99587000000000003"/>
    <n v="1.6666666666666666E-4"/>
    <n v="138.51404266431769"/>
    <n v="178.01109844315161"/>
    <n v="0"/>
    <n v="0"/>
    <n v="0"/>
    <n v="17.80110984431516"/>
    <n v="17.80110984431516"/>
  </r>
  <r>
    <x v="367"/>
    <n v="34369.089999999997"/>
    <n v="33515.440000000002"/>
    <n v="853.65"/>
    <n v="904.82"/>
    <n v="526.12809367120133"/>
    <n v="7.7052500000000004"/>
    <n v="552.72233333333327"/>
    <n v="0"/>
    <n v="-34.299489662131961"/>
    <n v="40251.766666666699"/>
    <n v="1.0020899999999999"/>
    <n v="1.6666666666666666E-4"/>
    <n v="378.69190632879872"/>
    <n v="176.52767262279201"/>
    <n v="0"/>
    <n v="0"/>
    <n v="0"/>
    <n v="17.652767262279202"/>
    <n v="17.652767262279202"/>
  </r>
  <r>
    <x v="368"/>
    <n v="34608.699999999997"/>
    <n v="33771.78"/>
    <n v="836.92"/>
    <n v="814.93"/>
    <n v="569.10688607441216"/>
    <n v="7.1137499999999996"/>
    <n v="558.59066666666672"/>
    <n v="0"/>
    <n v="3.4024694077454072"/>
    <n v="40251.766666666699"/>
    <n v="1.0014700000000001"/>
    <n v="1.6666666666666666E-4"/>
    <n v="245.82311392558779"/>
    <n v="175.05660868426875"/>
    <n v="0"/>
    <n v="0"/>
    <n v="0"/>
    <n v="17.505660868426876"/>
    <n v="17.505660868426876"/>
  </r>
  <r>
    <x v="369"/>
    <n v="34652.94"/>
    <n v="33846.959999999999"/>
    <n v="805.98"/>
    <n v="638.04"/>
    <n v="645.02297417035129"/>
    <n v="6.9743333333333331"/>
    <n v="562.86299999999994"/>
    <n v="0"/>
    <n v="75.185640837018056"/>
    <n v="40716.833333333299"/>
    <n v="0.99930000000000008"/>
    <n v="1.6666666666666666E-4"/>
    <n v="-6.9829741703513264"/>
    <n v="173.59780361189985"/>
    <n v="0"/>
    <n v="0"/>
    <n v="0"/>
    <n v="17.359780361189987"/>
    <n v="17.359780361189987"/>
  </r>
  <r>
    <x v="370"/>
    <n v="34856.57"/>
    <n v="34173.300000000003"/>
    <n v="683.27"/>
    <n v="890.46"/>
    <n v="552.90721750745865"/>
    <n v="6.7164999999999999"/>
    <n v="564.11599999999999"/>
    <n v="0"/>
    <n v="-17.925282492541321"/>
    <n v="40716.833333333299"/>
    <n v="1.00254"/>
    <n v="1.6666666666666666E-4"/>
    <n v="337.55278249254138"/>
    <n v="172.15115524846735"/>
    <n v="0"/>
    <n v="0"/>
    <n v="0"/>
    <n v="17.215115524846734"/>
    <n v="17.215115524846734"/>
  </r>
  <r>
    <x v="371"/>
    <n v="35674.94"/>
    <n v="34403.39"/>
    <n v="1271.55"/>
    <n v="799.65"/>
    <n v="-604.69962733833063"/>
    <n v="5.6939166666666665"/>
    <n v="569.55500000000006"/>
    <n v="0"/>
    <n v="-1179.9485440049973"/>
    <n v="40716.833333333299"/>
    <n v="1.0044499999999998"/>
    <n v="2.0833333333333335E-4"/>
    <n v="1404.3496273383307"/>
    <n v="170.71656228806344"/>
    <n v="0"/>
    <n v="0"/>
    <n v="0"/>
    <n v="17.071656228806344"/>
    <n v="17.071656228806344"/>
  </r>
  <r>
    <x v="372"/>
    <n v="37176.58"/>
    <n v="34268.99"/>
    <n v="2907.59"/>
    <n v="438.99"/>
    <n v="334.68186129799739"/>
    <n v="10.59625"/>
    <n v="573.38983333333329"/>
    <n v="-149.69194800598268"/>
    <n v="-99.612274029353259"/>
    <n v="39804.5"/>
    <n v="1.00204"/>
    <n v="2.0833333333333335E-4"/>
    <n v="104.30813870200262"/>
    <n v="20.861627740400525"/>
    <n v="0"/>
    <n v="0"/>
    <n v="0"/>
    <n v="2.0861627740400528"/>
    <n v="2.0861627740400528"/>
  </r>
  <r>
    <x v="373"/>
    <n v="36665.019999999997"/>
    <n v="35092.19"/>
    <n v="1572.83"/>
    <n v="1394.35"/>
    <n v="793.54520138592818"/>
    <n v="24.229916666666668"/>
    <n v="571.14983333333328"/>
    <n v="0"/>
    <n v="198.16545138592824"/>
    <n v="39804.5"/>
    <n v="1.0027900000000001"/>
    <n v="1.9999999999999998E-4"/>
    <n v="600.80479861407173"/>
    <n v="20.687780842563857"/>
    <n v="0"/>
    <n v="0"/>
    <n v="0"/>
    <n v="2.0687780842563859"/>
    <n v="2.0687780842563859"/>
  </r>
  <r>
    <x v="374"/>
    <n v="37059.26"/>
    <n v="35423.15"/>
    <n v="1636.11"/>
    <n v="915.83"/>
    <n v="1058.6182745527735"/>
    <n v="13.106916666666667"/>
    <n v="584.86983333333342"/>
    <n v="0"/>
    <n v="460.64152455277355"/>
    <n v="39804.5"/>
    <n v="0.99933000000000005"/>
    <n v="1.8333333333333334E-4"/>
    <n v="-142.78827455277349"/>
    <n v="20.515382668875823"/>
    <n v="0"/>
    <n v="0"/>
    <n v="0"/>
    <n v="2.0515382668875826"/>
    <n v="2.0515382668875826"/>
  </r>
  <r>
    <x v="375"/>
    <n v="37225.72"/>
    <n v="35572.879999999997"/>
    <n v="1652.84"/>
    <n v="740.12"/>
    <n v="502.3234590248295"/>
    <n v="13.63425"/>
    <n v="590.38583333333338"/>
    <n v="0"/>
    <n v="-101.69662430850386"/>
    <n v="35149.266666666699"/>
    <n v="0.99012"/>
    <n v="1.6666666666666666E-4"/>
    <n v="237.7965409751705"/>
    <n v="20.344421146635188"/>
    <n v="0"/>
    <n v="0"/>
    <n v="0"/>
    <n v="2.034442114663519"/>
    <n v="2.034442114663519"/>
  </r>
  <r>
    <x v="376"/>
    <n v="37358.720000000001"/>
    <n v="35839.440000000002"/>
    <n v="1519.28"/>
    <n v="859.44"/>
    <n v="1136.496329439201"/>
    <n v="13.773666666666665"/>
    <n v="592.88133333333326"/>
    <n v="0"/>
    <n v="529.84132943920088"/>
    <n v="35149.266666666699"/>
    <n v="0.99480000000000002"/>
    <n v="1.4999999999999999E-4"/>
    <n v="-277.05632943920091"/>
    <n v="20.174884303746563"/>
    <n v="0"/>
    <n v="0"/>
    <n v="0"/>
    <n v="2.0174884303746565"/>
    <n v="2.0174884303746565"/>
  </r>
  <r>
    <x v="377"/>
    <n v="37517.69"/>
    <n v="36294.160000000003"/>
    <n v="1223.53"/>
    <n v="1052.04"/>
    <n v="608.89936256552073"/>
    <n v="12.660666666666666"/>
    <n v="597.32400000000007"/>
    <n v="0"/>
    <n v="-1.0853041011459845"/>
    <n v="35149.266666666699"/>
    <n v="0.995"/>
    <n v="1.4999999999999999E-4"/>
    <n v="443.14063743447923"/>
    <n v="20.006760267882008"/>
    <n v="0"/>
    <n v="0"/>
    <n v="0"/>
    <n v="2.0006760267882009"/>
    <n v="2.0006760267882009"/>
  </r>
  <r>
    <x v="378"/>
    <n v="37663.01"/>
    <n v="36539.58"/>
    <n v="1123.43"/>
    <n v="850.32"/>
    <n v="2195.1662198676859"/>
    <n v="10.196083333333332"/>
    <n v="604.90266666666673"/>
    <n v="0"/>
    <n v="1580.0674698676858"/>
    <n v="38398.566666666702"/>
    <n v="0.99177999999999999"/>
    <n v="1.25E-4"/>
    <n v="-1344.8462198676857"/>
    <n v="19.840037265649656"/>
    <n v="-586.81201986768565"/>
    <n v="0"/>
    <n v="0"/>
    <n v="1.9840037265649657"/>
    <n v="1.9840037265649657"/>
  </r>
  <r>
    <x v="379"/>
    <n v="37718.870000000003"/>
    <n v="36812.370000000003"/>
    <n v="906.5"/>
    <n v="881.78"/>
    <n v="1600.5317333966254"/>
    <n v="9.3619166666666676"/>
    <n v="608.99300000000005"/>
    <n v="0"/>
    <n v="395.36479686227318"/>
    <n v="38398.566666666702"/>
    <n v="0.99807000000000001"/>
    <n v="1.1666666666666668E-4"/>
    <n v="-718.75173339662547"/>
    <n v="19.674703621769243"/>
    <n v="-180.37543339662551"/>
    <n v="0"/>
    <n v="0"/>
    <n v="1.9674703621769245"/>
    <n v="1.9674703621769245"/>
  </r>
  <r>
    <x v="380"/>
    <n v="37934.959999999999"/>
    <n v="37034.97"/>
    <n v="899.99"/>
    <n v="836.14"/>
    <n v="1264.7283462801427"/>
    <n v="7.5541666666666663"/>
    <n v="613.53950000000009"/>
    <n v="0"/>
    <n v="463.25924621685044"/>
    <n v="38398.566666666702"/>
    <n v="1.00139"/>
    <n v="1.0833333333333333E-4"/>
    <n v="-428.58834628014267"/>
    <n v="19.510747758254499"/>
    <n v="0"/>
    <n v="0"/>
    <n v="0"/>
    <n v="1.9510747758254501"/>
    <n v="1.9510747758254501"/>
  </r>
  <r>
    <x v="381"/>
    <n v="38218.81"/>
    <n v="37508.730000000003"/>
    <n v="710.08"/>
    <n v="1091.01"/>
    <n v="983.96792683072908"/>
    <n v="7.4999166666666666"/>
    <n v="617.24950000000001"/>
    <n v="0"/>
    <n v="359.21851016406237"/>
    <n v="40333.300000000003"/>
    <n v="0.99710999999999994"/>
    <n v="1.0833333333333333E-4"/>
    <n v="107.04207316927091"/>
    <n v="19.34815819360238"/>
    <n v="0"/>
    <n v="0"/>
    <n v="0"/>
    <n v="1.9348158193602381"/>
    <n v="1.9348158193602381"/>
  </r>
  <r>
    <x v="382"/>
    <n v="38488.31"/>
    <n v="37794.82"/>
    <n v="693.49"/>
    <n v="911.24"/>
    <n v="604.11905597950533"/>
    <n v="5.9173333333333336"/>
    <n v="625.14550000000008"/>
    <n v="0"/>
    <n v="-26.94377735382805"/>
    <n v="40333.300000000003"/>
    <n v="1.00105"/>
    <n v="1.0833333333333333E-4"/>
    <n v="307.12094402049468"/>
    <n v="19.186923541989028"/>
    <n v="0"/>
    <n v="0"/>
    <n v="0"/>
    <n v="1.9186923541989029"/>
    <n v="1.9186923541989029"/>
  </r>
  <r>
    <x v="383"/>
    <n v="39138.400000000001"/>
    <n v="37906.47"/>
    <n v="1231.93"/>
    <n v="741.56"/>
    <n v="610.85151238664685"/>
    <n v="5.7790833333333333"/>
    <n v="629.9136666666667"/>
    <n v="0"/>
    <n v="-24.841237613353176"/>
    <n v="40333.300000000003"/>
    <n v="1.0046899999999999"/>
    <n v="1.0833333333333333E-4"/>
    <n v="130.7084876133531"/>
    <n v="19.027032512472452"/>
    <n v="0"/>
    <n v="0"/>
    <n v="0"/>
    <n v="1.9027032512472453"/>
    <n v="1.9027032512472453"/>
  </r>
  <r>
    <x v="384"/>
    <n v="40232.15"/>
    <n v="38137.4"/>
    <n v="2094.75"/>
    <n v="862.7"/>
    <n v="1248.4597552372238"/>
    <n v="10.266083333333334"/>
    <n v="631.77449999999999"/>
    <n v="0"/>
    <n v="606.4191719038904"/>
    <n v="40595.033333333296"/>
    <n v="1.0044"/>
    <n v="9.9999999999999991E-5"/>
    <n v="-385.75975523722377"/>
    <n v="18.86847390820185"/>
    <n v="0"/>
    <n v="0"/>
    <n v="0"/>
    <n v="1.886847390820185"/>
    <n v="1.886847390820185"/>
  </r>
  <r>
    <x v="385"/>
    <n v="40304.81"/>
    <n v="37562.629999999997"/>
    <n v="2742.18"/>
    <n v="60.85"/>
    <n v="614.30727358300089"/>
    <n v="17.456250000000001"/>
    <n v="635.62333333333333"/>
    <n v="2.1561403738789267"/>
    <n v="-40.928450124211302"/>
    <n v="40595.033333333296"/>
    <n v="1.0101500000000001"/>
    <n v="9.9999999999999991E-5"/>
    <n v="-553.45727358300087"/>
    <n v="0"/>
    <n v="0"/>
    <n v="0"/>
    <n v="0"/>
    <n v="0"/>
    <n v="0"/>
  </r>
  <r>
    <x v="386"/>
    <n v="39799.550000000003"/>
    <n v="38402.21"/>
    <n v="1397.34"/>
    <n v="1465.62"/>
    <n v="633.01034244787945"/>
    <n v="22.851499999999998"/>
    <n v="626.04383333333328"/>
    <n v="0"/>
    <n v="-15.884990885453819"/>
    <n v="40595.033333333296"/>
    <n v="1.0123900000000001"/>
    <n v="9.9999999999999991E-5"/>
    <n v="832.60965755212044"/>
    <n v="0"/>
    <n v="0"/>
    <n v="0"/>
    <n v="0"/>
    <n v="0"/>
    <n v="0"/>
  </r>
  <r>
    <x v="387"/>
    <n v="39797.660000000003"/>
    <n v="38624.25"/>
    <n v="1173.4100000000001"/>
    <n v="862.08"/>
    <n v="681.65326784865476"/>
    <n v="11.644499999999999"/>
    <n v="640.03683333333333"/>
    <n v="0"/>
    <n v="29.971934515321408"/>
    <n v="40697.199999999997"/>
    <n v="1.0106999999999999"/>
    <n v="9.9999999999999991E-5"/>
    <n v="180.42673215134528"/>
    <n v="0"/>
    <n v="0"/>
    <n v="0"/>
    <n v="0"/>
    <n v="0"/>
    <n v="0"/>
  </r>
  <r>
    <x v="388"/>
    <n v="39859.26"/>
    <n v="38795.4"/>
    <n v="1063.8599999999999"/>
    <n v="814.89"/>
    <n v="595.7215274959234"/>
    <n v="9.7784166666666668"/>
    <n v="643.73749999999995"/>
    <n v="0"/>
    <n v="-57.794389170743237"/>
    <n v="40697.199999999997"/>
    <n v="1.0188299999999999"/>
    <n v="9.9999999999999991E-5"/>
    <n v="219.16847250407659"/>
    <n v="0"/>
    <n v="0"/>
    <n v="0"/>
    <n v="0"/>
    <n v="0"/>
    <n v="0"/>
  </r>
  <r>
    <x v="389"/>
    <n v="39994.01"/>
    <n v="39084.85"/>
    <n v="909.16"/>
    <n v="936.04"/>
    <n v="656.37407771898302"/>
    <n v="8.865499999999999"/>
    <n v="646.59"/>
    <n v="0"/>
    <n v="0.91857771898298246"/>
    <n v="40697.199999999997"/>
    <n v="1.0186999999999999"/>
    <n v="1E-4"/>
    <n v="279.66592228101695"/>
    <n v="0"/>
    <n v="0"/>
    <n v="0"/>
    <n v="0"/>
    <n v="0"/>
    <n v="0"/>
  </r>
  <r>
    <x v="390"/>
    <n v="40227.46"/>
    <n v="39163.46"/>
    <n v="1064"/>
    <n v="730.02"/>
    <n v="775.85643072992991"/>
    <n v="7.5763333333333334"/>
    <n v="651.41416666666669"/>
    <n v="0"/>
    <n v="116.86593072992989"/>
    <n v="41281.466666666704"/>
    <n v="1.0167200000000001"/>
    <n v="1E-4"/>
    <n v="-45.83643072992993"/>
    <n v="0"/>
    <n v="0"/>
    <n v="0"/>
    <n v="0"/>
    <n v="0"/>
    <n v="0"/>
  </r>
  <r>
    <x v="391"/>
    <n v="40298.65"/>
    <n v="39304.79"/>
    <n v="993.86"/>
    <n v="794.05"/>
    <n v="621.71252032291602"/>
    <n v="8.8666666666666671"/>
    <n v="652.72433333333333"/>
    <n v="0"/>
    <n v="-39.878479677083938"/>
    <n v="41281.466666666704"/>
    <n v="1.0223100000000001"/>
    <n v="1E-4"/>
    <n v="172.33747967708393"/>
    <n v="0"/>
    <n v="0"/>
    <n v="0"/>
    <n v="0"/>
    <n v="0"/>
    <n v="0"/>
  </r>
  <r>
    <x v="392"/>
    <n v="40413.660000000003"/>
    <n v="39429.040000000001"/>
    <n v="984.62"/>
    <n v="779.33"/>
    <n v="633.0648263813564"/>
    <n v="8.2821666666666669"/>
    <n v="655.07983333333334"/>
    <n v="0"/>
    <n v="-30.297173618643519"/>
    <n v="41281.466666666704"/>
    <n v="1.02657"/>
    <n v="1E-4"/>
    <n v="146.26517361864364"/>
    <n v="0"/>
    <n v="0"/>
    <n v="0"/>
    <n v="0"/>
    <n v="0"/>
    <n v="0"/>
  </r>
  <r>
    <x v="393"/>
    <n v="40682.81"/>
    <n v="39663.68"/>
    <n v="1019.13"/>
    <n v="891.79"/>
    <n v="912.59833329111211"/>
    <n v="8.2051666666666669"/>
    <n v="657.15066666666667"/>
    <n v="0"/>
    <n v="247.24249995777879"/>
    <n v="42813.5"/>
    <n v="1.0295000000000001"/>
    <n v="1E-4"/>
    <n v="-20.808333291112149"/>
    <n v="0"/>
    <n v="0"/>
    <n v="0"/>
    <n v="0"/>
    <n v="0"/>
    <n v="0"/>
  </r>
  <r>
    <x v="394"/>
    <n v="40922.839999999997"/>
    <n v="39820.76"/>
    <n v="1102.08"/>
    <n v="818.14"/>
    <n v="596.62831587383221"/>
    <n v="8.4927499999999991"/>
    <n v="661.06133333333332"/>
    <n v="0"/>
    <n v="-72.925767459501103"/>
    <n v="42813.5"/>
    <n v="1.03959"/>
    <n v="1E-4"/>
    <n v="221.51168412616778"/>
    <n v="0"/>
    <n v="0"/>
    <n v="0"/>
    <n v="0"/>
    <n v="0"/>
    <n v="0"/>
  </r>
  <r>
    <x v="395"/>
    <n v="41224.26"/>
    <n v="40107.83"/>
    <n v="1116.43"/>
    <n v="950.75"/>
    <n v="638.38427243233059"/>
    <n v="9.1839999999999993"/>
    <n v="663.67933333333337"/>
    <n v="0"/>
    <n v="-34.479060901002789"/>
    <n v="42813.5"/>
    <n v="1.0443899999999999"/>
    <n v="1E-4"/>
    <n v="312.36572756766941"/>
    <n v="0"/>
    <n v="0"/>
    <n v="0"/>
    <n v="0"/>
    <n v="0"/>
    <n v="0"/>
  </r>
  <r>
    <x v="396"/>
    <n v="41747.691722147807"/>
    <n v="40318.89599458014"/>
    <n v="1428.7957275676695"/>
    <n v="879.52982791347301"/>
    <n v="600.28409816673775"/>
    <n v="9.303583333333334"/>
    <n v="668.46383333333335"/>
    <n v="0"/>
    <n v="-77.483318499928984"/>
    <n v="42384.453998364857"/>
    <n v="1.0447199999999999"/>
    <n v="1E-4"/>
    <n v="279.24572974673526"/>
    <n v="0"/>
    <n v="0"/>
    <n v="0"/>
    <n v="0"/>
    <n v="0"/>
    <n v="0"/>
  </r>
  <r>
    <x v="397"/>
    <n v="42237.791577667391"/>
    <n v="40529.750120352983"/>
    <n v="1708.0414573144049"/>
    <n v="882.8357256825077"/>
    <n v="720.47257442642524"/>
    <n v="11.906631063063912"/>
    <n v="671.98159990966894"/>
    <n v="21.024614282080776"/>
    <n v="15.559729171611755"/>
    <n v="42549.318886685418"/>
    <n v="1.0465975972420696"/>
    <n v="1E-4"/>
    <n v="162.36315125608246"/>
    <n v="32.472630251216493"/>
    <n v="0"/>
    <n v="0"/>
    <n v="0"/>
    <n v="3.2472630251216494"/>
    <n v="3.2472630251216494"/>
  </r>
  <r>
    <x v="398"/>
    <n v="42610.800517035801"/>
    <n v="40740.395908465311"/>
    <n v="1870.4046085704872"/>
    <n v="886.1416234515425"/>
    <n v="703.80205770942257"/>
    <n v="14.233678810953373"/>
    <n v="675.49583533921634"/>
    <n v="0"/>
    <n v="14.072543559252802"/>
    <n v="42674.486869056032"/>
    <n v="1.0477013958631043"/>
    <n v="1E-4"/>
    <n v="182.33956574211993"/>
    <n v="32.202024999123026"/>
    <n v="0"/>
    <n v="0"/>
    <n v="0"/>
    <n v="3.2202024999123027"/>
    <n v="3.2202024999123027"/>
  </r>
  <r>
    <x v="399"/>
    <n v="43003.581005524073"/>
    <n v="40950.836831211469"/>
    <n v="2052.7441743126074"/>
    <n v="889.44752122057719"/>
    <n v="736.92940366603557"/>
    <n v="15.586705071420727"/>
    <n v="679.00659847442182"/>
    <n v="0"/>
    <n v="42.336100120193052"/>
    <n v="42961.457231834625"/>
    <n v="1.0488051944841392"/>
    <n v="1E-4"/>
    <n v="152.51811755454162"/>
    <n v="31.933674790796999"/>
    <n v="0"/>
    <n v="0"/>
    <n v="0"/>
    <n v="3.1933674790797002"/>
    <n v="3.1933674790797002"/>
  </r>
  <r>
    <x v="400"/>
    <n v="43366.338594881367"/>
    <n v="41161.076303014219"/>
    <n v="2205.2622918671491"/>
    <n v="892.75341898961199"/>
    <n v="752.09918850187228"/>
    <n v="17.10620145260506"/>
    <n v="682.51394718685776"/>
    <n v="0"/>
    <n v="52.479039862409422"/>
    <n v="43307.611904156147"/>
    <n v="1.0499089931051739"/>
    <n v="1E-4"/>
    <n v="140.65423048773971"/>
    <n v="31.667560834207027"/>
    <n v="0"/>
    <n v="0"/>
    <n v="0"/>
    <n v="3.1667560834207027"/>
    <n v="3.1667560834207027"/>
  </r>
  <r>
    <x v="401"/>
    <n v="43717.034203744188"/>
    <n v="41371.117681389296"/>
    <n v="2345.9165223548889"/>
    <n v="896.05931675864667"/>
    <n v="691.44530890069245"/>
    <n v="18.377185765559577"/>
    <n v="686.01793838357037"/>
    <n v="0"/>
    <n v="-12.949815248437561"/>
    <n v="43278.784265678456"/>
    <n v="1.0510127917262089"/>
    <n v="1E-4"/>
    <n v="204.61400785795422"/>
    <n v="31.403664493921966"/>
    <n v="0"/>
    <n v="0"/>
    <n v="0"/>
    <n v="3.1403664493921966"/>
    <n v="3.1403664493921966"/>
  </r>
  <r>
    <x v="402"/>
    <n v="44131.494798106658"/>
    <n v="41580.964267893818"/>
    <n v="2550.5305302128431"/>
    <n v="899.36521452768147"/>
    <n v="807.59003959894756"/>
    <n v="19.549304352957407"/>
    <n v="689.51862802315497"/>
    <n v="0"/>
    <n v="98.522107222835203"/>
    <n v="43891.555271431956"/>
    <n v="1.0521165903472436"/>
    <n v="1E-4"/>
    <n v="91.775174928733918"/>
    <n v="31.141967289805951"/>
    <n v="0"/>
    <n v="0"/>
    <n v="0"/>
    <n v="3.1141967289805952"/>
    <n v="3.1141967289805952"/>
  </r>
  <r>
    <x v="403"/>
    <n v="44432.925014200548"/>
    <n v="41790.619309058973"/>
    <n v="2642.3057051415772"/>
    <n v="902.67111229671616"/>
    <n v="669.14213714141488"/>
    <n v="21.254421085107026"/>
    <n v="693.01607113156365"/>
    <n v="0"/>
    <n v="-45.12835507525574"/>
    <n v="43677.282384102393"/>
    <n v="1.0532203889682785"/>
    <n v="1E-4"/>
    <n v="233.52897515530128"/>
    <n v="30.882450895724233"/>
    <n v="0"/>
    <n v="0"/>
    <n v="0"/>
    <n v="3.0882450895724234"/>
    <n v="3.0882450895724234"/>
  </r>
  <r>
    <x v="404"/>
    <n v="44875.92067760395"/>
    <n v="42000.085997307069"/>
    <n v="2875.8346802968786"/>
    <n v="905.97701006575096"/>
    <n v="705.13158560064767"/>
    <n v="22.019214209513144"/>
    <n v="696.51032181764958"/>
    <n v="0"/>
    <n v="-13.397950426515072"/>
    <n v="43645.920668848237"/>
    <n v="1.0543241875893132"/>
    <n v="1E-4"/>
    <n v="200.84542446510329"/>
    <n v="30.625097138259864"/>
    <n v="0"/>
    <n v="0"/>
    <n v="0"/>
    <n v="3.0625097138259867"/>
    <n v="3.0625097138259867"/>
  </r>
  <r>
    <x v="405"/>
    <n v="45286.047576615383"/>
    <n v="42209.367471853402"/>
    <n v="3076.680104761982"/>
    <n v="909.28290783478565"/>
    <n v="838.98336709893101"/>
    <n v="23.965289002473988"/>
    <n v="700.00143328845115"/>
    <n v="0"/>
    <n v="115.01664480800576"/>
    <n v="44356.018533606999"/>
    <n v="1.0554279862103482"/>
    <n v="1E-4"/>
    <n v="70.299540735854634"/>
    <n v="30.369887995441033"/>
    <n v="0"/>
    <n v="0"/>
    <n v="0"/>
    <n v="3.0369887995441034"/>
    <n v="3.0369887995441034"/>
  </r>
  <r>
    <x v="406"/>
    <n v="45565.446465090834"/>
    <n v="42418.466819592999"/>
    <n v="3146.9796454978368"/>
    <n v="912.58880560382045"/>
    <n v="667.88827536600434"/>
    <n v="25.639000873016517"/>
    <n v="703.48945786422337"/>
    <n v="0"/>
    <n v="-61.240183371235524"/>
    <n v="44048.023246339879"/>
    <n v="1.0565317848313829"/>
    <n v="1E-4"/>
    <n v="244.70053023781611"/>
    <n v="30.116805595479025"/>
    <n v="0"/>
    <n v="0"/>
    <n v="0"/>
    <n v="3.0116805595479028"/>
    <n v="3.0116805595479028"/>
  </r>
  <r>
    <x v="407"/>
    <n v="46019.067251708286"/>
    <n v="42627.387075972634"/>
    <n v="3391.6801757356529"/>
    <n v="915.89470337285525"/>
    <n v="705.71998506340924"/>
    <n v="26.224830379148639"/>
    <n v="706.9744469932167"/>
    <n v="0"/>
    <n v="-27.479292308956108"/>
    <n v="43935.486300855628"/>
    <n v="1.0576355834524176"/>
    <n v="1E-4"/>
    <n v="210.17471830944601"/>
    <n v="29.865832215516701"/>
    <n v="0"/>
    <n v="0"/>
    <n v="0"/>
    <n v="2.9865832215516703"/>
    <n v="2.9865832215516703"/>
  </r>
  <r>
    <x v="408"/>
    <n v="46437.986119893416"/>
    <n v="42836.131225848316"/>
    <n v="3601.8548940450992"/>
    <n v="919.20060114188993"/>
    <n v="656.13970454788807"/>
    <n v="28.264001464463774"/>
    <n v="710.45645126621059"/>
    <n v="0"/>
    <n v="-82.580748182786365"/>
    <n v="43506.565721795145"/>
    <n v="1.0587393820734525"/>
    <n v="1E-4"/>
    <n v="263.06089659400186"/>
    <n v="29.616950280387396"/>
    <n v="0"/>
    <n v="0"/>
    <n v="0"/>
    <n v="2.96169502803874"/>
    <n v="2.96169502803874"/>
  </r>
  <r>
    <x v="409"/>
    <n v="46909.617994967528"/>
    <n v="43044.702204328431"/>
    <n v="3864.915790639101"/>
    <n v="922.50649891092473"/>
    <n v="756.18756502542124"/>
    <n v="30.015457450375827"/>
    <n v="713.93552043080524"/>
    <n v="-8.5923359983066199"/>
    <n v="20.828923142546728"/>
    <n v="43671.430610115705"/>
    <n v="1.0598431806944872"/>
    <n v="1E-4"/>
    <n v="166.3189338855035"/>
    <n v="33.263786777100698"/>
    <n v="0"/>
    <n v="0"/>
    <n v="0"/>
    <n v="3.3263786777100699"/>
    <n v="3.3263786777100699"/>
  </r>
  <r>
    <x v="410"/>
    <n v="47284.337622127525"/>
    <n v="43253.102897602919"/>
    <n v="4031.2347245246046"/>
    <n v="925.81239667995942"/>
    <n v="763.49193235602945"/>
    <n v="32.207631588659176"/>
    <n v="717.41170340547387"/>
    <n v="0"/>
    <n v="13.872597361896448"/>
    <n v="43796.598592486327"/>
    <n v="1.0609469793155222"/>
    <n v="1E-4"/>
    <n v="162.32046432392997"/>
    <n v="32.986588553958192"/>
    <n v="0"/>
    <n v="0"/>
    <n v="0"/>
    <n v="3.2986588553958196"/>
    <n v="3.2986588553958196"/>
  </r>
  <r>
    <x v="411"/>
    <n v="47654.891332607061"/>
    <n v="43461.336143758526"/>
    <n v="4193.5551888485343"/>
    <n v="929.11829444899422"/>
    <n v="796.42857701166599"/>
    <n v="33.593622704371704"/>
    <n v="720.88504829338194"/>
    <n v="0"/>
    <n v="41.949906013912425"/>
    <n v="44083.568955264913"/>
    <n v="1.0620507779365569"/>
    <n v="1E-4"/>
    <n v="132.68971743732823"/>
    <n v="32.711700316008539"/>
    <n v="0"/>
    <n v="0"/>
    <n v="0"/>
    <n v="3.2711700316008541"/>
    <n v="3.2711700316008541"/>
  </r>
  <r>
    <x v="412"/>
    <n v="47995.649639866446"/>
    <n v="43669.404733580581"/>
    <n v="4326.2449062858623"/>
    <n v="932.42419221802891"/>
    <n v="811.33297563672409"/>
    <n v="34.946293240404451"/>
    <n v="724.35560239597544"/>
    <n v="0"/>
    <n v="52.03108000034424"/>
    <n v="44429.723627586434"/>
    <n v="1.0631545765575918"/>
    <n v="1E-4"/>
    <n v="121.09121658130482"/>
    <n v="32.439102813375136"/>
    <n v="80.395649509108807"/>
    <n v="12.059347426366321"/>
    <n v="16.079129901821762"/>
    <n v="3.2439102813375138"/>
    <n v="31.382387609525594"/>
  </r>
  <r>
    <x v="413"/>
    <n v="48244.251884699355"/>
    <n v="43877.311411341296"/>
    <n v="4366.9404733580586"/>
    <n v="935.73008998706371"/>
    <n v="750.90648861095883"/>
    <n v="36.05204088571552"/>
    <n v="727.82341222634307"/>
    <n v="0"/>
    <n v="-12.968964501099727"/>
    <n v="44400.895989108743"/>
    <n v="1.0642583751786265"/>
    <n v="1E-4"/>
    <n v="184.82360137610488"/>
    <n v="32.168776956597007"/>
    <n v="164.03293360003408"/>
    <n v="24.604940040005111"/>
    <n v="32.80658672000682"/>
    <n v="3.2168776956597007"/>
    <n v="60.628404455671628"/>
  </r>
  <r>
    <x v="414"/>
    <n v="48472.790016709165"/>
    <n v="44085.058875575036"/>
    <n v="4387.7311411341298"/>
    <n v="939.03598775609839"/>
    <n v="865.46504486633944"/>
    <n v="36.391170611317158"/>
    <n v="731.28852352235492"/>
    <n v="0"/>
    <n v="97.785350732667311"/>
    <n v="45013.666994862251"/>
    <n v="1.0653621737996615"/>
    <n v="1E-4"/>
    <n v="73.570942889758953"/>
    <n v="31.900703815292033"/>
    <n v="52.796196466384572"/>
    <n v="7.9194294699576853"/>
    <n v="10.559239293276915"/>
    <n v="3.1900703815292033"/>
    <n v="21.668739144763805"/>
  </r>
  <r>
    <x v="415"/>
    <n v="48701.155667398096"/>
    <n v="44292.649779840591"/>
    <n v="4408.5058875575041"/>
    <n v="942.34188552513319"/>
    <n v="726.37332844287562"/>
    <n v="36.564426176117749"/>
    <n v="734.75098125958391"/>
    <n v="0"/>
    <n v="-44.942078992826012"/>
    <n v="44799.39410753268"/>
    <n v="1.0664659724206962"/>
    <n v="1E-4"/>
    <n v="215.96855708225758"/>
    <n v="31.634864616831269"/>
    <n v="195.20946665570227"/>
    <n v="29.281419998355339"/>
    <n v="39.041893331140457"/>
    <n v="3.1634864616831271"/>
    <n v="71.48679979117891"/>
  </r>
  <r>
    <x v="416"/>
    <n v="48929.351711454809"/>
    <n v="44500.086733470751"/>
    <n v="4429.2649779840594"/>
    <n v="945.64778329416788"/>
    <n v="761.53414690404952"/>
    <n v="36.737549062979198"/>
    <n v="738.21082966400979"/>
    <n v="0"/>
    <n v="-13.414231822939401"/>
    <n v="44768.032392278525"/>
    <n v="1.0675697710417311"/>
    <n v="1E-4"/>
    <n v="184.11363639011836"/>
    <n v="31.371240745024341"/>
    <n v="163.36994102710287"/>
    <n v="24.505491154065428"/>
    <n v="32.673988205420578"/>
    <n v="3.1371240745024345"/>
    <n v="60.316603433988448"/>
  </r>
  <r>
    <x v="417"/>
    <n v="49157.380975656517"/>
    <n v="44707.372302309443"/>
    <n v="4450.0086733470753"/>
    <n v="948.95368106320268"/>
    <n v="892.76493583718923"/>
    <n v="36.910541483200497"/>
    <n v="741.66811222451247"/>
    <n v="0"/>
    <n v="114.18628212947621"/>
    <n v="45478.130257037286"/>
    <n v="1.0686735696627658"/>
    <n v="1E-4"/>
    <n v="56.188745226013452"/>
    <n v="31.109813738815806"/>
    <n v="35.460188342144647"/>
    <n v="5.3190282513216971"/>
    <n v="7.0920376684289295"/>
    <n v="3.1109813738815806"/>
    <n v="15.522047293632207"/>
  </r>
  <r>
    <x v="418"/>
    <n v="49385.246239667467"/>
    <n v="44914.509009436522"/>
    <n v="4470.7372302309441"/>
    <n v="952.25957883223737"/>
    <n v="721.25052021948898"/>
    <n v="37.083405611225629"/>
    <n v="745.12287170515742"/>
    <n v="0"/>
    <n v="-60.955757096894061"/>
    <n v="45170.134969770173"/>
    <n v="1.0697773682838008"/>
    <n v="1E-4"/>
    <n v="231.00905861274839"/>
    <n v="30.850565290992339"/>
    <n v="210.29538790003971"/>
    <n v="31.544308185005956"/>
    <n v="42.059077580007944"/>
    <n v="3.085056529099234"/>
    <n v="76.688442294113131"/>
  </r>
  <r>
    <x v="419"/>
    <n v="49612.950236824174"/>
    <n v="45121.499335880522"/>
    <n v="4491.4509009436524"/>
    <n v="955.56547660127217"/>
    <n v="758.42515815228035"/>
    <n v="37.256143585257867"/>
    <n v="748.5751501572754"/>
    <n v="0"/>
    <n v="-27.406135590252887"/>
    <n v="45057.598024285915"/>
    <n v="1.0708811669048355"/>
    <n v="1E-4"/>
    <n v="197.14031844899182"/>
    <n v="30.593477246900736"/>
    <n v="176.44128580459164"/>
    <n v="26.466192870688747"/>
    <n v="35.288257160918327"/>
    <n v="3.059347724690074"/>
    <n v="64.813797756297149"/>
  </r>
  <r>
    <x v="420"/>
    <n v="49840.495654907536"/>
    <n v="45328.345721319485"/>
    <n v="4512.1499335880526"/>
    <n v="958.87137437030697"/>
    <n v="707.30214951345067"/>
    <n v="37.428757507863772"/>
    <n v="752.02498893134202"/>
    <n v="0"/>
    <n v="-82.151596925755157"/>
    <n v="44628.677445225432"/>
    <n v="1.0719849655258702"/>
    <n v="1E-4"/>
    <n v="251.56922485685629"/>
    <n v="30.338531603176566"/>
    <n v="230.88458631296089"/>
    <n v="34.632687946944131"/>
    <n v="46.176917262592184"/>
    <n v="3.0338531603176566"/>
    <n v="83.843458369853977"/>
  </r>
  <r>
    <x v="421"/>
    <n v="50067.885136902121"/>
    <n v="45535.050564770172"/>
    <n v="4532.8345721319483"/>
    <n v="962.17727213934165"/>
    <n v="804.35080701415859"/>
    <n v="37.601249446567103"/>
    <n v="755.47242868865806"/>
    <n v="-9.31391732109579"/>
    <n v="20.591046200029261"/>
    <n v="44793.542333545993"/>
    <n v="1.0730887641469051"/>
    <n v="1E-4"/>
    <n v="157.82646512518306"/>
    <n v="31.565293025036613"/>
    <n v="137.15598078011408"/>
    <n v="20.573397117017112"/>
    <n v="27.431196156022818"/>
    <n v="3.1565293025036616"/>
    <n v="51.161122575543594"/>
  </r>
  <r>
    <x v="422"/>
    <n v="50295.121281742729"/>
    <n v="45741.616225265709"/>
    <n v="4553.5050564770172"/>
    <n v="965.48316990837634"/>
    <n v="810.37185882497261"/>
    <n v="37.773621434432904"/>
    <n v="758.91750941283624"/>
    <n v="0"/>
    <n v="13.680727977703398"/>
    <n v="44918.710315916614"/>
    <n v="1.0741925627679398"/>
    <n v="1E-4"/>
    <n v="155.11131108340373"/>
    <n v="31.302248916494641"/>
    <n v="134.45474503385049"/>
    <n v="20.168211755077571"/>
    <n v="26.8909490067701"/>
    <n v="3.1302248916494642"/>
    <n v="50.189385653497133"/>
  </r>
  <r>
    <x v="423"/>
    <n v="50522.206645048595"/>
    <n v="45948.045022522027"/>
    <n v="4574.1616225265707"/>
    <n v="968.78906767741114"/>
    <n v="841.88602328906336"/>
    <n v="37.945875470641809"/>
    <n v="762.36027042109515"/>
    <n v="0"/>
    <n v="41.579877397326456"/>
    <n v="45205.680678695207"/>
    <n v="1.0752963613889748"/>
    <n v="1E-4"/>
    <n v="126.90304438834778"/>
    <n v="31.041396842190519"/>
    <n v="106.2601646627154"/>
    <n v="15.939024699407309"/>
    <n v="21.252032932543081"/>
    <n v="3.1041396842190521"/>
    <n v="40.295197316169435"/>
  </r>
  <r>
    <x v="424"/>
    <n v="50749.143739845313"/>
    <n v="46154.339237593107"/>
    <n v="4594.8045022522028"/>
    <n v="972.09496544644594"/>
    <n v="855.52063548554747"/>
    <n v="38.118013521054756"/>
    <n v="765.8007503753671"/>
    <n v="0"/>
    <n v="51.601871589125608"/>
    <n v="45551.835351016722"/>
    <n v="1.0764001600100095"/>
    <n v="1E-4"/>
    <n v="116.57432996089847"/>
    <n v="30.782718535172265"/>
    <n v="95.944908453790049"/>
    <n v="14.391736268068506"/>
    <n v="19.188981690758013"/>
    <n v="3.0782718535172267"/>
    <n v="36.658989812343748"/>
  </r>
  <r>
    <x v="425"/>
    <n v="50975.935037274678"/>
    <n v="46360.501113515369"/>
    <n v="4615.4339237593113"/>
    <n v="975.40086321548063"/>
    <n v="794.5410987167138"/>
    <n v="38.290037518768358"/>
    <n v="769.23898729321843"/>
    <n v="0"/>
    <n v="-12.987926095273021"/>
    <n v="45523.007712539031"/>
    <n v="1.0775039586310444"/>
    <n v="1E-4"/>
    <n v="180.85976449876682"/>
    <n v="30.526195880712496"/>
    <n v="160.24357690654051"/>
    <n v="24.036536535981075"/>
    <n v="32.048715381308106"/>
    <n v="3.0526195880712499"/>
    <n v="59.137871505360437"/>
  </r>
  <r>
    <x v="426"/>
    <n v="51202.58296729283"/>
    <n v="46566.532855941296"/>
    <n v="4636.0501113515375"/>
    <n v="978.70676098451543"/>
    <n v="908.2165605490369"/>
    <n v="38.461949364660924"/>
    <n v="772.6750185585895"/>
    <n v="0"/>
    <n v="97.079592625786532"/>
    <n v="46135.778718292539"/>
    <n v="1.0786077572520791"/>
    <n v="1E-4"/>
    <n v="70.490200435478528"/>
    <n v="30.271810915039893"/>
    <n v="49.887026192885969"/>
    <n v="7.483053928932895"/>
    <n v="9.9774052385771945"/>
    <n v="3.0271810915039894"/>
    <n v="20.487640259014078"/>
  </r>
  <r>
    <x v="427"/>
    <n v="51429.089919356615"/>
    <n v="46772.436633762489"/>
    <n v="4656.6532855941296"/>
    <n v="982.01265875355011"/>
    <n v="769.97824761432548"/>
    <n v="38.633750927929476"/>
    <n v="776.10888093235496"/>
    <n v="0"/>
    <n v="-44.764384245958929"/>
    <n v="45921.505830962975"/>
    <n v="1.0797115558731141"/>
    <n v="1E-4"/>
    <n v="212.03441113922463"/>
    <n v="30.019545824081227"/>
    <n v="191.44403335710467"/>
    <n v="28.7166050035657"/>
    <n v="38.288806671420936"/>
    <n v="3.0019545824081231"/>
    <n v="70.00736625739475"/>
  </r>
  <r>
    <x v="428"/>
    <n v="51655.458243098612"/>
    <n v="46978.214579722364"/>
    <n v="4677.2436633762491"/>
    <n v="985.31855652258491"/>
    <n v="804.91561517138962"/>
    <n v="38.805444046617744"/>
    <n v="779.54061056270814"/>
    <n v="0"/>
    <n v="-13.430439437936228"/>
    <n v="45890.144115708812"/>
    <n v="1.0808153544941488"/>
    <n v="1E-4"/>
    <n v="180.4029413511953"/>
    <n v="29.769382942213884"/>
    <n v="159.82514675520815"/>
    <n v="23.973772013281224"/>
    <n v="31.965029351041633"/>
    <n v="2.9769382942213887"/>
    <n v="58.915739658544247"/>
  </r>
  <r>
    <x v="429"/>
    <n v="51881.690248990839"/>
    <n v="47183.868791018605"/>
    <n v="4697.8214579722362"/>
    <n v="988.6244542916196"/>
    <n v="935.33793546633535"/>
    <n v="38.977030528135408"/>
    <n v="782.9702429953727"/>
    <n v="0"/>
    <n v="113.39066194282729"/>
    <n v="46600.241980467574"/>
    <n v="1.0819191531151837"/>
    <n v="1E-4"/>
    <n v="53.286518825284247"/>
    <n v="29.521304751028769"/>
    <n v="32.721097695660319"/>
    <n v="4.908164654349048"/>
    <n v="6.5442195391320643"/>
    <n v="2.952130475102877"/>
    <n v="14.404514668583989"/>
  </r>
  <r>
    <x v="430"/>
    <n v="52107.788208997481"/>
    <n v="47389.40132989562"/>
    <n v="4718.3868791018604"/>
    <n v="991.9303520606544"/>
    <n v="764.86233273084849"/>
    <n v="39.148512149768635"/>
    <n v="786.39781318364339"/>
    <n v="0"/>
    <n v="-60.683992602563585"/>
    <n v="46292.246693200461"/>
    <n v="1.0830229517362184"/>
    <n v="1E-4"/>
    <n v="227.06801932980591"/>
    <n v="29.275293878103529"/>
    <n v="206.51476544210436"/>
    <n v="30.977214816315652"/>
    <n v="41.302953088420878"/>
    <n v="2.927529387810353"/>
    <n v="75.207697292546882"/>
  </r>
  <r>
    <x v="431"/>
    <n v="52333.754357216611"/>
    <n v="47594.814224227048"/>
    <n v="4738.9401329895618"/>
    <n v="995.23624982968909"/>
    <n v="801.80654232616268"/>
    <n v="39.319890659182171"/>
    <n v="789.8233554982603"/>
    <n v="0"/>
    <n v="-27.336703831279845"/>
    <n v="46179.70974771621"/>
    <n v="1.0841267503572531"/>
    <n v="1E-4"/>
    <n v="193.4297075035264"/>
    <n v="29.031333095786"/>
    <n v="172.88841807038352"/>
    <n v="25.933262710557528"/>
    <n v="34.577683614076705"/>
    <n v="2.9031333095786001"/>
    <n v="63.414079634212833"/>
  </r>
  <r>
    <x v="432"/>
    <n v="52559.590890511361"/>
    <n v="47800.109468088653"/>
    <n v="4759.4814224227048"/>
    <n v="998.54214759872389"/>
    <n v="750.99664351719161"/>
    <n v="39.491167774913016"/>
    <n v="793.24690373711746"/>
    <n v="0"/>
    <n v="-81.741427994838858"/>
    <n v="45750.78916865572"/>
    <n v="1.0852305489782881"/>
    <n v="1E-4"/>
    <n v="247.54550408153227"/>
    <n v="28.789405319987782"/>
    <n v="227.01597969537124"/>
    <n v="34.052396954305685"/>
    <n v="45.403195939074251"/>
    <n v="2.8789405319987784"/>
    <n v="82.334533425378709"/>
  </r>
  <r>
    <x v="433"/>
    <n v="52785.299969130465"/>
    <n v="48005.289022321602"/>
    <n v="4780.0109468088658"/>
    <n v="1001.8480453677587"/>
    <n v="848.92878158309168"/>
    <n v="39.662345186855873"/>
    <n v="796.66849113481089"/>
    <n v="-7.7647910379070062"/>
    <n v="20.362736299331871"/>
    <n v="45915.65405697628"/>
    <n v="1.0863343475993228"/>
    <n v="1E-4"/>
    <n v="152.91926378466701"/>
    <n v="30.583852756933403"/>
    <n v="132.40130836137268"/>
    <n v="19.860196254205903"/>
    <n v="26.480261672274537"/>
    <n v="3.0583852756933405"/>
    <n v="49.398843202173779"/>
  </r>
  <r>
    <x v="434"/>
    <n v="53010.883717318524"/>
    <n v="48210.354815086364"/>
    <n v="4800.5289022321604"/>
    <n v="1005.1539431367934"/>
    <n v="853.41801046900298"/>
    <n v="39.833424556740546"/>
    <n v="800.08815037202669"/>
    <n v="0"/>
    <n v="13.496435540235794"/>
    <n v="46040.822039346902"/>
    <n v="1.0874381462203577"/>
    <n v="1E-4"/>
    <n v="151.73593266779039"/>
    <n v="30.328987317292292"/>
    <n v="131.22935339131436"/>
    <n v="19.684403008697153"/>
    <n v="26.245870678262875"/>
    <n v="3.0328987317292295"/>
    <n v="48.963172418689254"/>
  </r>
  <r>
    <x v="435"/>
    <n v="53236.344223916065"/>
    <n v="48415.308742407426"/>
    <n v="4821.0354815086366"/>
    <n v="1008.4598409058281"/>
    <n v="884.73530958350727"/>
    <n v="40.004407518601333"/>
    <n v="803.50591358477277"/>
    <n v="0"/>
    <n v="41.224988480133177"/>
    <n v="46327.792402125495"/>
    <n v="1.0885419448413924"/>
    <n v="1E-4"/>
    <n v="123.72453132232079"/>
    <n v="30.076245756314854"/>
    <n v="103.22913859021537"/>
    <n v="15.484370788532305"/>
    <n v="20.645827718043076"/>
    <n v="3.0076245756314854"/>
    <n v="39.137823082206864"/>
  </r>
  <r>
    <x v="436"/>
    <n v="53461.683542949577"/>
    <n v="48620.152668708834"/>
    <n v="4841.5308742407424"/>
    <n v="1011.7657386748629"/>
    <n v="898.28733515190697"/>
    <n v="40.175295679238637"/>
    <n v="806.9218123734571"/>
    <n v="0"/>
    <n v="51.190227099211242"/>
    <n v="46673.947074447016"/>
    <n v="1.0896457434624274"/>
    <n v="1E-4"/>
    <n v="113.47840352295589"/>
    <n v="29.825610375012229"/>
    <n v="92.994010892814913"/>
    <n v="13.949101633922236"/>
    <n v="18.598802178562984"/>
    <n v="2.982561037501223"/>
    <n v="35.530464849986437"/>
  </r>
  <r>
    <x v="437"/>
    <n v="53686.903694211804"/>
    <n v="48824.88842734092"/>
    <n v="4862.0152668708834"/>
    <n v="1015.0716364438977"/>
    <n v="837.67528390740222"/>
    <n v="40.346090618672854"/>
    <n v="810.33587781181393"/>
    <n v="0"/>
    <n v="-13.006684523084559"/>
    <n v="46645.119435969318"/>
    <n v="1.0907495420834621"/>
    <n v="1E-4"/>
    <n v="177.39635253649544"/>
    <n v="29.577063621887127"/>
    <n v="156.92277667328653"/>
    <n v="23.53841650099298"/>
    <n v="31.384555334657307"/>
    <n v="2.9577063621887127"/>
    <n v="57.880678197839003"/>
  </r>
  <r>
    <x v="438"/>
    <n v="53912.006663832261"/>
    <n v="49029.517821098168"/>
    <n v="4882.488842734092"/>
    <n v="1018.3775342129323"/>
    <n v="950.66780266977094"/>
    <n v="40.516793890590698"/>
    <n v="813.74814045568201"/>
    <n v="0"/>
    <n v="96.402868323498197"/>
    <n v="47257.890441722826"/>
    <n v="1.091853340704497"/>
    <n v="1E-4"/>
    <n v="67.709731543161411"/>
    <n v="29.330588091704733"/>
    <n v="47.24679216743607"/>
    <n v="7.0870188251154103"/>
    <n v="9.4493584334872143"/>
    <n v="2.9330588091704737"/>
    <n v="19.469436067773096"/>
  </r>
  <r>
    <x v="439"/>
    <n v="54136.994404838319"/>
    <n v="49234.042622728499"/>
    <n v="4902.951782109817"/>
    <n v="1021.6834319819671"/>
    <n v="813.25134224127953"/>
    <n v="40.6874070227841"/>
    <n v="817.15863035163613"/>
    <n v="0"/>
    <n v="-44.594695133140696"/>
    <n v="47043.617554393262"/>
    <n v="1.0929571393255317"/>
    <n v="1E-4"/>
    <n v="208.43208974068762"/>
    <n v="29.08616652427386"/>
    <n v="187.97960957765463"/>
    <n v="28.196941436648192"/>
    <n v="37.59592191553093"/>
    <n v="2.9086166524273862"/>
    <n v="68.701480004606509"/>
  </r>
  <r>
    <x v="440"/>
    <n v="54361.868837706876"/>
    <n v="49438.464575434024"/>
    <n v="4923.4042622728502"/>
    <n v="1024.9893297510018"/>
    <n v="847.97875742160784"/>
    <n v="40.857931517581811"/>
    <n v="820.56737704547493"/>
    <n v="0"/>
    <n v="-13.446551141448916"/>
    <n v="47012.255839139107"/>
    <n v="1.0940609379465667"/>
    <n v="1E-4"/>
    <n v="177.01057232939399"/>
    <n v="28.843781803238244"/>
    <n v="156.56837705884118"/>
    <n v="23.485256558826176"/>
    <n v="31.313675411768237"/>
    <n v="2.8843781803238246"/>
    <n v="57.683310150918231"/>
  </r>
  <r>
    <x v="441"/>
    <n v="54586.631850906895"/>
    <n v="49642.785393363491"/>
    <n v="4943.8464575434027"/>
    <n v="1028.2952275200366"/>
    <n v="977.63037507808099"/>
    <n v="41.028368852273751"/>
    <n v="823.97440959056701"/>
    <n v="0"/>
    <n v="112.62759663524029"/>
    <n v="47722.353703897861"/>
    <n v="1.0951647365676014"/>
    <n v="1E-4"/>
    <n v="50.664852441955645"/>
    <n v="28.603416954877925"/>
    <n v="30.232770649009581"/>
    <n v="4.5349155973514366"/>
    <n v="6.0465541298019163"/>
    <n v="2.8603416954877927"/>
    <n v="13.441811422641145"/>
  </r>
  <r>
    <x v="442"/>
    <n v="54811.285301432858"/>
    <n v="49847.006762096506"/>
    <n v="4964.2785393363492"/>
    <n v="1031.6011252890714"/>
    <n v="808.15441644627492"/>
    <n v="41.198720479528355"/>
    <n v="827.37975655605817"/>
    <n v="0"/>
    <n v="-60.424060589311573"/>
    <n v="47414.358416630748"/>
    <n v="1.0962685351886361"/>
    <n v="1E-4"/>
    <n v="223.44670884279651"/>
    <n v="28.365055146920611"/>
    <n v="203.0245719694949"/>
    <n v="30.453685795424235"/>
    <n v="40.60491439389898"/>
    <n v="2.8365055146920612"/>
    <n v="73.895105704015279"/>
  </r>
  <r>
    <x v="443"/>
    <n v="55035.831015329321"/>
    <n v="50051.130339119671"/>
    <n v="4984.7006762096507"/>
    <n v="1034.907023058106"/>
    <n v="844.88170035850681"/>
    <n v="41.368987827802911"/>
    <n v="830.78344603494179"/>
    <n v="0"/>
    <n v="-27.270733504237928"/>
    <n v="47301.821471146497"/>
    <n v="1.097372333809671"/>
    <n v="1E-4"/>
    <n v="190.0253226995992"/>
    <n v="28.12867968736294"/>
    <n v="169.61296499728269"/>
    <n v="25.441944749592402"/>
    <n v="33.92259299945654"/>
    <n v="2.8128679687362941"/>
    <n v="62.177405717785234"/>
  </r>
  <r>
    <x v="444"/>
    <n v="55260.270788206792"/>
    <n v="50255.157754294822"/>
    <n v="5005.1130339119672"/>
    <n v="1038.2129208271408"/>
    <n v="794.37567902462615"/>
    <n v="41.539172301747087"/>
    <n v="834.1855056519945"/>
    <n v="0"/>
    <n v="-81.348998929115439"/>
    <n v="46872.900892086014"/>
    <n v="1.0984761324307057"/>
    <n v="1E-4"/>
    <n v="243.83724180251465"/>
    <n v="27.894274023301584"/>
    <n v="223.43450028499956"/>
    <n v="33.515175042749931"/>
    <n v="44.686900056999917"/>
    <n v="2.7894274023301584"/>
    <n v="80.99150250208001"/>
  </r>
  <r>
    <x v="445"/>
    <n v="55484.606385748899"/>
    <n v="50459.090610319414"/>
    <n v="5025.5157754294823"/>
    <n v="1041.5188185961756"/>
    <n v="892.56898452037751"/>
    <n v="41.709275282599727"/>
    <n v="837.58596257158035"/>
    <n v="-6.8696597412208078"/>
    <n v="20.14340640741834"/>
    <n v="47037.765780406568"/>
    <n v="1.0995799310517407"/>
    <n v="1E-4"/>
    <n v="148.94983407579809"/>
    <n v="29.78996681515962"/>
    <n v="128.55654847333881"/>
    <n v="19.283482271000821"/>
    <n v="25.711309694667762"/>
    <n v="2.9789966815159623"/>
    <n v="47.973788647184548"/>
  </r>
  <r>
    <x v="446"/>
    <n v="55708.839544211245"/>
    <n v="50662.930483179305"/>
    <n v="5045.9090610319417"/>
    <n v="1044.8247163652104"/>
    <n v="896.18340351099266"/>
    <n v="41.879298128579016"/>
    <n v="840.98484350532351"/>
    <n v="0"/>
    <n v="13.319261877090222"/>
    <n v="47162.933762777189"/>
    <n v="1.1006837296727754"/>
    <n v="1E-4"/>
    <n v="148.64131285421774"/>
    <n v="29.541717091699958"/>
    <n v="128.25732556822913"/>
    <n v="19.23859883523437"/>
    <n v="25.651465113645827"/>
    <n v="2.9541717091699962"/>
    <n v="47.844235658050195"/>
  </r>
  <r>
    <x v="447"/>
    <n v="55932.971970911822"/>
    <n v="50866.678922593892"/>
    <n v="5066.2930483179307"/>
    <n v="1048.1306141342452"/>
    <n v="927.31571736771355"/>
    <n v="42.04924217526618"/>
    <n v="844.38217471965504"/>
    <n v="0"/>
    <n v="40.88430047279234"/>
    <n v="47449.904125555782"/>
    <n v="1.1017875282938103"/>
    <n v="1E-4"/>
    <n v="120.81489676653166"/>
    <n v="29.295536115935793"/>
    <n v="100.44005282507351"/>
    <n v="15.066007923761026"/>
    <n v="20.088010565014702"/>
    <n v="2.9295536115935796"/>
    <n v="38.08357210036931"/>
  </r>
  <r>
    <x v="448"/>
    <n v="56157.005344713325"/>
    <n v="51070.337452453939"/>
    <n v="5086.6678922593892"/>
    <n v="1051.4365119032798"/>
    <n v="940.79215016013029"/>
    <n v="42.219108735982758"/>
    <n v="847.77798204323153"/>
    <n v="0"/>
    <n v="50.795059380915944"/>
    <n v="47796.058797877304"/>
    <n v="1.102891326914845"/>
    <n v="1E-4"/>
    <n v="110.64436174314949"/>
    <n v="29.051406648302994"/>
    <n v="90.278508757144664"/>
    <n v="13.541776313571699"/>
    <n v="18.055701751428934"/>
    <n v="2.9051406648302995"/>
    <n v="34.502618729830935"/>
  </r>
  <r>
    <x v="449"/>
    <n v="56380.941316497418"/>
    <n v="51273.907571252021"/>
    <n v="5107.0337452453941"/>
    <n v="1054.7424096723146"/>
    <n v="880.53596278416535"/>
    <n v="42.388899102161574"/>
    <n v="851.17229087423232"/>
    <n v="0"/>
    <n v="-13.025227192228474"/>
    <n v="47767.231159399613"/>
    <n v="1.10399512553588"/>
    <n v="1E-4"/>
    <n v="174.20644688814923"/>
    <n v="28.809311592900471"/>
    <n v="153.84943500834106"/>
    <n v="23.077415251251157"/>
    <n v="30.769887001668213"/>
    <n v="2.8809311592900473"/>
    <n v="56.72823341220942"/>
  </r>
  <r>
    <x v="450"/>
    <n v="56604.781509631037"/>
    <n v="51477.390752505838"/>
    <n v="5127.3907571252021"/>
    <n v="1058.0483074413494"/>
    <n v="992.87711966042593"/>
    <n v="42.55861454371162"/>
    <n v="854.56512618753368"/>
    <n v="0"/>
    <n v="95.753378929180641"/>
    <n v="48380.002165153113"/>
    <n v="1.1050989241569147"/>
    <n v="1E-4"/>
    <n v="65.171187780923447"/>
    <n v="28.569233996292965"/>
    <n v="44.822869655540671"/>
    <n v="6.7234304483311007"/>
    <n v="8.9645739311081343"/>
    <n v="2.8569233996292969"/>
    <n v="18.54492777906853"/>
  </r>
  <r>
    <x v="451"/>
    <n v="56828.527520425043"/>
    <n v="51680.788445174461"/>
    <n v="5147.7390752505844"/>
    <n v="1061.3542052103842"/>
    <n v="856.25228257019899"/>
    <n v="42.728256309376683"/>
    <n v="857.95651254176403"/>
    <n v="0"/>
    <n v="-44.432486280941681"/>
    <n v="48165.72927782355"/>
    <n v="1.1062027227779496"/>
    <n v="1E-4"/>
    <n v="205.10192264018519"/>
    <n v="28.33115704632386"/>
    <n v="184.76215337332269"/>
    <n v="27.714323005998402"/>
    <n v="36.952430674664541"/>
    <n v="2.833115704632386"/>
    <n v="67.499869385295327"/>
  </r>
  <r>
    <x v="452"/>
    <n v="57052.180918585087"/>
    <n v="51884.102074067639"/>
    <n v="5168.0788445174467"/>
    <n v="1064.6601029794188"/>
    <n v="890.78175149281276"/>
    <n v="42.897825627088203"/>
    <n v="861.34647408624107"/>
    <n v="0"/>
    <n v="-13.462548220516529"/>
    <n v="48134.367562569394"/>
    <n v="1.1073065213989843"/>
    <n v="1E-4"/>
    <n v="173.87835148660599"/>
    <n v="28.095064070937827"/>
    <n v="153.54698859728887"/>
    <n v="23.03204828959333"/>
    <n v="30.709397719457776"/>
    <n v="2.809506407093783"/>
    <n v="56.550952416144888"/>
  </r>
  <r>
    <x v="453"/>
    <n v="57275.743247655068"/>
    <n v="52087.333040248304"/>
    <n v="5188.4102074067641"/>
    <n v="1067.9660007484536"/>
    <n v="1019.6974400599254"/>
    <n v="43.067323704312052"/>
    <n v="864.73503456779395"/>
    <n v="0"/>
    <n v="111.89508178781945"/>
    <n v="48844.465427328156"/>
    <n v="1.108410320020019"/>
    <n v="1E-4"/>
    <n v="48.268560688528169"/>
    <n v="27.860938537013343"/>
    <n v="27.945464070461639"/>
    <n v="4.1918196105692456"/>
    <n v="5.5890928140923286"/>
    <n v="2.7860938537013347"/>
    <n v="12.567006278362909"/>
  </r>
  <r>
    <x v="454"/>
    <n v="57499.216025453148"/>
    <n v="52290.482721428321"/>
    <n v="5208.7333040248304"/>
    <n v="1071.2718985174884"/>
    <n v="851.18376611293195"/>
    <n v="43.236751728389699"/>
    <n v="868.12221733747174"/>
    <n v="0"/>
    <n v="-60.175202952929446"/>
    <n v="48536.470140061036"/>
    <n v="1.109514118641054"/>
    <n v="1E-4"/>
    <n v="220.0881324045564"/>
    <n v="27.6287640492049"/>
    <n v="199.77316428655467"/>
    <n v="29.965974642983198"/>
    <n v="39.954632857310941"/>
    <n v="2.7628764049204904"/>
    <n v="72.683483905214629"/>
  </r>
  <r>
    <x v="455"/>
    <n v="57722.600744500545"/>
    <n v="52493.552472357711"/>
    <n v="5229.0482721428325"/>
    <n v="1074.5777962865232"/>
    <n v="887.7061714037053"/>
    <n v="43.40611086687359"/>
    <n v="871.50804535713871"/>
    <n v="0"/>
    <n v="-27.207984820307068"/>
    <n v="48423.933194576784"/>
    <n v="1.1106179172620887"/>
    <n v="1E-4"/>
    <n v="186.87162488281785"/>
    <n v="27.398524348794858"/>
    <n v="166.56464978987879"/>
    <n v="24.984697468481816"/>
    <n v="33.312929957975761"/>
    <n v="2.7398524348794862"/>
    <n v="61.037479861337069"/>
  </r>
  <r>
    <x v="456"/>
    <n v="57945.898872443075"/>
    <n v="52696.543625207305"/>
    <n v="5249.3552472357715"/>
    <n v="1077.883694055558"/>
    <n v="837.49476923993325"/>
    <n v="43.575402267856937"/>
    <n v="874.89254120596183"/>
    <n v="0"/>
    <n v="-80.973174233885558"/>
    <n v="47995.012615516302"/>
    <n v="1.1117217158831236"/>
    <n v="1E-4"/>
    <n v="240.3889248156247"/>
    <n v="27.170203312554904"/>
    <n v="220.08980953066566"/>
    <n v="33.013471429599846"/>
    <n v="44.017961906133138"/>
    <n v="2.7170203312554904"/>
    <n v="79.748453666988468"/>
  </r>
  <r>
    <x v="457"/>
    <n v="58169.111852465838"/>
    <n v="52899.457489945111"/>
    <n v="5269.6543625207305"/>
    <n v="1081.1895918245925"/>
    <n v="935.8072829996546"/>
    <n v="43.744627060298093"/>
    <n v="878.27572708678838"/>
    <n v="-6.1455890304741274"/>
    <n v="19.932517883042401"/>
    <n v="48159.877503836862"/>
    <n v="1.1128255145041583"/>
    <n v="1E-4"/>
    <n v="145.38230882493792"/>
    <n v="29.076461764987585"/>
    <n v="125.09092235115713"/>
    <n v="18.763638352673571"/>
    <n v="25.018184470231429"/>
    <n v="2.9076461764987585"/>
    <n v="46.689468999403758"/>
  </r>
  <r>
    <x v="458"/>
    <n v="58392.241103700828"/>
    <n v="53102.295354706315"/>
    <n v="5289.9457489945116"/>
    <n v="1084.4954895936273"/>
    <n v="938.7201973392182"/>
    <n v="43.913786354339422"/>
    <n v="881.65762483241849"/>
    <n v="0"/>
    <n v="13.148786152460247"/>
    <n v="48285.045486207477"/>
    <n v="1.1139293131251933"/>
    <n v="1E-4"/>
    <n v="145.77529225440912"/>
    <n v="28.834157916946022"/>
    <n v="125.49150577828823"/>
    <n v="18.823725866743235"/>
    <n v="25.098301155657648"/>
    <n v="2.8834157916946026"/>
    <n v="46.805442814095485"/>
  </r>
  <r>
    <x v="459"/>
    <n v="58615.288021627835"/>
    <n v="53305.058486157206"/>
    <n v="5310.2295354706321"/>
    <n v="1087.8013873626621"/>
    <n v="969.6780895503606"/>
    <n v="44.082881241620932"/>
    <n v="885.0382559117719"/>
    <n v="0"/>
    <n v="40.556952396967738"/>
    <n v="48572.01584898607"/>
    <n v="1.115033111746228"/>
    <n v="1E-4"/>
    <n v="118.12329781230153"/>
    <n v="28.593873267638138"/>
    <n v="97.846984667212382"/>
    <n v="14.677047700081857"/>
    <n v="19.569396933442476"/>
    <n v="2.8593873267638141"/>
    <n v="37.10583196028815"/>
  </r>
  <r>
    <x v="460"/>
    <n v="58838.253978468667"/>
    <n v="53507.748129852946"/>
    <n v="5330.5058486157213"/>
    <n v="1091.1072851316967"/>
    <n v="983.08492533828814"/>
    <n v="44.251912795588602"/>
    <n v="888.41764143595344"/>
    <n v="0"/>
    <n v="50.415371106746129"/>
    <n v="48918.170521307591"/>
    <n v="1.1161369103672629"/>
    <n v="1E-4"/>
    <n v="108.02235979340855"/>
    <n v="28.355590990407823"/>
    <n v="87.753395423834263"/>
    <n v="13.16300931357514"/>
    <n v="17.550679084766852"/>
    <n v="2.8355590990407826"/>
    <n v="33.54924749738278"/>
  </r>
  <r>
    <x v="461"/>
    <n v="59061.140323574757"/>
    <n v="53710.365510589458"/>
    <n v="5350.7748129852953"/>
    <n v="1094.4131829007315"/>
    <n v="923.1731402333686"/>
    <n v="44.420882071797678"/>
    <n v="891.79580216421573"/>
    <n v="0"/>
    <n v="-13.043544002644762"/>
    <n v="48889.3428828299"/>
    <n v="1.1172407089882976"/>
    <n v="1E-4"/>
    <n v="171.2400426673629"/>
    <n v="28.11929439882109"/>
    <n v="150.97830459371198"/>
    <n v="22.646745689056797"/>
    <n v="30.195660918742398"/>
    <n v="2.8119294398821091"/>
    <n v="55.654336047681298"/>
  </r>
  <r>
    <x v="462"/>
    <n v="59283.948383808347"/>
    <n v="53912.9118327494"/>
    <n v="5371.0365510589463"/>
    <n v="1097.7190806697663"/>
    <n v="1034.8920224950314"/>
    <n v="44.589790108210792"/>
    <n v="895.17275850982435"/>
    <n v="0"/>
    <n v="95.129473876996244"/>
    <n v="49502.113888583408"/>
    <n v="1.1183445076093326"/>
    <n v="1E-4"/>
    <n v="62.82705817473493"/>
    <n v="27.884966945497581"/>
    <n v="42.572425958740496"/>
    <n v="6.3858638938110746"/>
    <n v="8.5144851917480988"/>
    <n v="2.7884966945497585"/>
    <n v="17.688845780108934"/>
  </r>
  <r>
    <x v="463"/>
    <n v="59506.679463917317"/>
    <n v="54115.388280642379"/>
    <n v="5391.2911832749405"/>
    <n v="1101.0249784388011"/>
    <n v="899.02989121928908"/>
    <n v="44.758637925491222"/>
    <n v="898.54853054582338"/>
    <n v="0"/>
    <n v="-44.277277252025556"/>
    <n v="49287.841001253837"/>
    <n v="1.1194483062303673"/>
    <n v="1E-4"/>
    <n v="201.99508721951202"/>
    <n v="27.652592220951767"/>
    <n v="181.74744243021451"/>
    <n v="27.262116364532176"/>
    <n v="36.349488486042901"/>
    <n v="2.7652592220951768"/>
    <n v="66.376864072670259"/>
  </r>
  <r>
    <x v="464"/>
    <n v="59729.334846903745"/>
    <n v="54317.796018839508"/>
    <n v="5411.5388280642383"/>
    <n v="1104.3308762078359"/>
    <n v="933.37214962830114"/>
    <n v="44.927426527291168"/>
    <n v="901.92313801070634"/>
    <n v="0"/>
    <n v="-13.478414909696353"/>
    <n v="49256.479285999681"/>
    <n v="1.1205521048514022"/>
    <n v="1E-4"/>
    <n v="170.95872657953475"/>
    <n v="27.422153952443839"/>
    <n v="150.71795275982186"/>
    <n v="22.607692913973278"/>
    <n v="30.143590551964373"/>
    <n v="2.7422153952443842"/>
    <n v="55.493498861182033"/>
  </r>
  <r>
    <x v="465"/>
    <n v="59951.915794386332"/>
    <n v="54520.136192502381"/>
    <n v="5431.7796018839508"/>
    <n v="1107.6367739768705"/>
    <n v="1061.5840343457239"/>
    <n v="45.09615690053532"/>
    <n v="905.2966003139918"/>
    <n v="0"/>
    <n v="111.19127713119687"/>
    <n v="49966.577150758443"/>
    <n v="1.1216559034724369"/>
    <n v="1E-4"/>
    <n v="46.052739631146551"/>
    <n v="27.19363600284014"/>
    <n v="25.818722264858479"/>
    <n v="3.8728083397287718"/>
    <n v="5.163744452971696"/>
    <n v="2.719363600284014"/>
    <n v="11.755916392984481"/>
  </r>
  <r>
    <x v="466"/>
    <n v="60174.423546956823"/>
    <n v="54722.409927706583"/>
    <n v="5452.0136192502387"/>
    <n v="1110.9426717459053"/>
    <n v="893.9970412905285"/>
    <n v="45.264830015699587"/>
    <n v="908.66893654170633"/>
    <n v="0"/>
    <n v="-59.936725266877403"/>
    <n v="49658.58186349133"/>
    <n v="1.1227597020934716"/>
    <n v="1E-4"/>
    <n v="216.94563045537677"/>
    <n v="26.967022369483139"/>
    <n v="196.71825693495703"/>
    <n v="29.507738540243551"/>
    <n v="39.343651386991411"/>
    <n v="2.696702236948314"/>
    <n v="71.548092164183274"/>
  </r>
  <r>
    <x v="467"/>
    <n v="60396.859324530407"/>
    <n v="54924.618331759746"/>
    <n v="5472.2409927706585"/>
    <n v="1114.2485695149401"/>
    <n v="930.32537314712988"/>
    <n v="45.433446827085319"/>
    <n v="912.04016546177638"/>
    <n v="0"/>
    <n v="-27.148239141731782"/>
    <n v="49546.044918007072"/>
    <n v="1.1238635007145066"/>
    <n v="1E-4"/>
    <n v="183.92319636781019"/>
    <n v="26.742297183070779"/>
    <n v="163.70235596249404"/>
    <n v="24.555353394374105"/>
    <n v="32.740471192498809"/>
    <n v="2.6742297183070782"/>
    <n v="59.970054305179985"/>
  </r>
  <r>
    <x v="468"/>
    <n v="60619.224326690368"/>
    <n v="55126.76249351439"/>
    <n v="5492.4618331759748"/>
    <n v="1117.5544672839749"/>
    <n v="880.39939977165818"/>
    <n v="45.602008273088821"/>
    <n v="915.41030552932909"/>
    <n v="0"/>
    <n v="-80.612914030759697"/>
    <n v="49117.124338946589"/>
    <n v="1.1249672993355413"/>
    <n v="1E-4"/>
    <n v="237.15506751231669"/>
    <n v="26.51944470654519"/>
    <n v="216.94065133685217"/>
    <n v="32.541097700527821"/>
    <n v="43.388130267370435"/>
    <n v="2.6519444706545192"/>
    <n v="78.58117243855277"/>
  </r>
  <r>
    <x v="469"/>
    <n v="60841.519733026929"/>
    <n v="55328.84348367549"/>
    <n v="5512.6762493514398"/>
    <n v="1120.8603650530094"/>
    <n v="978.784635233264"/>
    <n v="45.770515276466455"/>
    <n v="918.77937489190651"/>
    <n v="-5.4948304244644142"/>
    <n v="19.729575489355504"/>
    <n v="49281.98922726715"/>
    <n v="1.1260710979565762"/>
    <n v="1E-4"/>
    <n v="142.07572981974545"/>
    <n v="28.41514596394909"/>
    <n v="121.86763080363653"/>
    <n v="18.280144620545478"/>
    <n v="24.373526160727309"/>
    <n v="2.8415145963949091"/>
    <n v="45.495185377667696"/>
  </r>
  <r>
    <x v="470"/>
    <n v="61063.746703470497"/>
    <n v="55530.862355102945"/>
    <n v="5532.8843483675491"/>
    <n v="1124.1662628220442"/>
    <n v="981.07098119330874"/>
    <n v="45.938968744595329"/>
    <n v="922.14739139459152"/>
    <n v="0"/>
    <n v="12.984621054121963"/>
    <n v="49407.157209637771"/>
    <n v="1.1271748965776109"/>
    <n v="1E-4"/>
    <n v="143.09528162873551"/>
    <n v="28.178353080916182"/>
    <n v="122.89339448599003"/>
    <n v="18.434009172898502"/>
    <n v="24.578678897198007"/>
    <n v="2.8178353080916185"/>
    <n v="45.830523378188126"/>
  </r>
  <r>
    <x v="471"/>
    <n v="61285.906378619271"/>
    <n v="55732.820143108976"/>
    <n v="5553.0862355102945"/>
    <n v="1127.472160591079"/>
    <n v="1011.8638952061441"/>
    <n v="46.107369569729578"/>
    <n v="925.51437258504905"/>
    <n v="0"/>
    <n v="40.242153051365413"/>
    <n v="49694.127572416357"/>
    <n v="1.1282786951986459"/>
    <n v="1E-4"/>
    <n v="115.60826538493495"/>
    <n v="27.943533471908548"/>
    <n v="95.412486584331418"/>
    <n v="14.311872987649712"/>
    <n v="19.082497316866284"/>
    <n v="2.7943533471908548"/>
    <n v="36.188723651706852"/>
  </r>
  <r>
    <x v="472"/>
    <n v="61507.999880061507"/>
    <n v="55934.717865750608"/>
    <n v="5573.2820143108984"/>
    <n v="1130.7780583601138"/>
    <n v="1025.2062998825913"/>
    <n v="46.275718629252452"/>
    <n v="928.88033571848291"/>
    <n v="0"/>
    <n v="50.050245534855918"/>
    <n v="50040.282244737879"/>
    <n v="1.1293824938196806"/>
    <n v="1E-4"/>
    <n v="105.57175847752251"/>
    <n v="27.710670692975974"/>
    <n v="85.381986213360506"/>
    <n v="12.807297932004076"/>
    <n v="17.076397242672101"/>
    <n v="2.7710670692975974"/>
    <n v="32.654762243973778"/>
  </r>
  <r>
    <x v="473"/>
    <n v="61730.028310692316"/>
    <n v="56136.556524117252"/>
    <n v="5593.4717865750608"/>
    <n v="1134.0839561291486"/>
    <n v="965.62768756206322"/>
    <n v="46.444016785924155"/>
    <n v="932.24529776251018"/>
    <n v="0"/>
    <n v="-13.061626986371119"/>
    <n v="50011.454606260188"/>
    <n v="1.1304862924407155"/>
    <n v="1E-4"/>
    <n v="168.45626856708543"/>
    <n v="27.479748437201174"/>
    <n v="148.27240273042025"/>
    <n v="22.240860409563037"/>
    <n v="29.654480546084052"/>
    <n v="2.7479748437201175"/>
    <n v="54.643315799367201"/>
  </r>
  <r>
    <x v="474"/>
    <n v="61951.992755025203"/>
    <n v="56338.337102613477"/>
    <n v="5613.6556524117259"/>
    <n v="1137.3898538981832"/>
    <n v="1076.7511760298303"/>
    <n v="46.612264888125509"/>
    <n v="935.60927540195416"/>
    <n v="0"/>
    <n v="94.529635739750631"/>
    <n v="50624.225612013695"/>
    <n v="1.1315900910617502"/>
    <n v="1E-4"/>
    <n v="60.638677868352943"/>
    <n v="27.250750533557831"/>
    <n v="40.460620018730879"/>
    <n v="6.0690930028096313"/>
    <n v="8.0921240037461768"/>
    <n v="2.7250750533557833"/>
    <n v="16.886292059911593"/>
  </r>
  <r>
    <x v="475"/>
    <n v="62173.894279498491"/>
    <n v="56540.060569237139"/>
    <n v="5633.8337102613477"/>
    <n v="1140.695751667218"/>
    <n v="941.62412097981758"/>
    <n v="46.780463770097718"/>
    <n v="938.97228504355792"/>
    <n v="0"/>
    <n v="-44.128627833838095"/>
    <n v="50409.952724684132"/>
    <n v="1.1326938896827852"/>
    <n v="1E-4"/>
    <n v="199.07163068740044"/>
    <n v="27.023660945778182"/>
    <n v="178.89928402503392"/>
    <n v="26.834892603755087"/>
    <n v="35.779856805006787"/>
    <n v="2.7023660945778185"/>
    <n v="65.317115503339693"/>
  </r>
  <r>
    <x v="476"/>
    <n v="62395.733932776478"/>
    <n v="56741.727875852768"/>
    <n v="5654.0060569237139"/>
    <n v="1144.0016494362528"/>
    <n v="975.78881908320932"/>
    <n v="46.948614252177897"/>
    <n v="942.33434282061899"/>
    <n v="0"/>
    <n v="-13.494137989587555"/>
    <n v="50378.591009429969"/>
    <n v="1.1337976883038199"/>
    <n v="1E-4"/>
    <n v="168.2128303530435"/>
    <n v="26.798463771230033"/>
    <n v="148.04609969147987"/>
    <n v="22.206914953721981"/>
    <n v="29.609219938295976"/>
    <n v="2.6798463771230034"/>
    <n v="54.495981269140962"/>
  </r>
  <r>
    <x v="477"/>
    <n v="62617.512746045788"/>
    <n v="56943.339958460507"/>
    <n v="5674.1727875852775"/>
    <n v="1147.3075472052874"/>
    <n v="1103.3266715918342"/>
    <n v="47.116717141030946"/>
    <n v="945.69546459754611"/>
    <n v="0"/>
    <n v="110.51448985325715"/>
    <n v="51088.688874188731"/>
    <n v="1.1349014869248548"/>
    <n v="1E-4"/>
    <n v="43.980875613453236"/>
    <n v="26.575143239803118"/>
    <n v="23.819667352679971"/>
    <n v="3.5729501029019954"/>
    <n v="4.7639334705359948"/>
    <n v="2.6575143239803118"/>
    <n v="10.994397897418303"/>
  </r>
  <r>
    <x v="478"/>
    <n v="62839.231733306537"/>
    <n v="57144.897737460487"/>
    <n v="5694.333995846051"/>
    <n v="1150.6134449743222"/>
    <n v="936.63244900163943"/>
    <n v="47.28477322987731"/>
    <n v="949.05566597434176"/>
    <n v="0"/>
    <n v="-59.70799020257963"/>
    <n v="50780.693586921618"/>
    <n v="1.1360052855458895"/>
    <n v="1E-4"/>
    <n v="213.98099597268276"/>
    <n v="26.353683712804759"/>
    <n v="193.82521807268495"/>
    <n v="29.073782710902741"/>
    <n v="38.765043614536992"/>
    <n v="2.6353683712804763"/>
    <n v="70.474194696720204"/>
  </r>
  <r>
    <x v="479"/>
    <n v="63060.891891658881"/>
    <n v="57346.402117912832"/>
    <n v="5714.4897737460487"/>
    <n v="1153.919342743357"/>
    <n v="972.77644886589701"/>
    <n v="47.452783298717094"/>
    <n v="952.41496229100812"/>
    <n v="0"/>
    <n v="-27.091296723828261"/>
    <n v="50668.156641437366"/>
    <n v="1.1371090841669242"/>
    <n v="1E-4"/>
    <n v="181.14289387745998"/>
    <n v="26.13406968186472"/>
    <n v="160.99245583222455"/>
    <n v="24.148868374833683"/>
    <n v="32.19849116644491"/>
    <n v="2.6134069681864722"/>
    <n v="58.960766509465067"/>
  </r>
  <r>
    <x v="480"/>
    <n v="63282.494201584632"/>
    <n v="57547.853989793344"/>
    <n v="5734.6402117912839"/>
    <n v="1157.2252405123918"/>
    <n v="923.12685261458466"/>
    <n v="47.620748114550409"/>
    <n v="955.77336863188054"/>
    <n v="0"/>
    <n v="-80.267264131846318"/>
    <n v="50239.236062376876"/>
    <n v="1.1382128827879592"/>
    <n v="1E-4"/>
    <n v="234.09838789780713"/>
    <n v="25.916285767849178"/>
    <n v="213.95320070975595"/>
    <n v="32.092980106463393"/>
    <n v="42.790640141951194"/>
    <n v="2.5916285767849181"/>
    <n v="77.4752488251995"/>
  </r>
  <r>
    <x v="481"/>
    <n v="63504.039627224214"/>
    <n v="57749.254228244878"/>
    <n v="5754.7853989793348"/>
    <n v="1160.5311382814266"/>
    <n v="1021.5620197959297"/>
    <n v="47.788668431594033"/>
    <n v="959.13089982988902"/>
    <n v="-4.8916714857684021"/>
    <n v="19.534123020215063"/>
    <n v="50404.100950697437"/>
    <n v="1.1393166814089939"/>
    <n v="1E-4"/>
    <n v="138.96911848549689"/>
    <n v="27.793823697099381"/>
    <n v="118.8290946403431"/>
    <n v="17.824364196051466"/>
    <n v="23.765818928068622"/>
    <n v="2.7793823697099382"/>
    <n v="44.369565493830024"/>
  </r>
  <r>
    <x v="482"/>
    <n v="63725.529116649086"/>
    <n v="57950.603693824596"/>
    <n v="5774.9254228244881"/>
    <n v="1163.8370360504614"/>
    <n v="1023.2705249082528"/>
    <n v="47.956544991494454"/>
    <n v="962.48757047074798"/>
    <n v="0"/>
    <n v="12.826409446010437"/>
    <n v="50529.268933068059"/>
    <n v="1.1404204800300288"/>
    <n v="1E-4"/>
    <n v="140.56651114220858"/>
    <n v="27.562208499623555"/>
    <n v="120.43156458423709"/>
    <n v="18.064734687635564"/>
    <n v="24.086312916847419"/>
    <n v="2.7562208499623555"/>
    <n v="44.907268454445337"/>
  </r>
  <r>
    <x v="483"/>
    <n v="63946.963602129472"/>
    <n v="58151.903232747012"/>
    <n v="5795.0603693824596"/>
    <n v="1167.142933819496"/>
    <n v="1053.9069473860659"/>
    <n v="48.124378523537402"/>
    <n v="965.84339489707656"/>
    <n v="0"/>
    <n v="39.939173965451879"/>
    <n v="50816.239295846652"/>
    <n v="1.1415242786510635"/>
    <n v="1E-4"/>
    <n v="113.23598643343007"/>
    <n v="27.332523428793358"/>
    <n v="93.106032541188142"/>
    <n v="13.96590488117822"/>
    <n v="18.621206508237631"/>
    <n v="2.7332523428793358"/>
    <n v="35.320363732295192"/>
  </r>
  <r>
    <x v="484"/>
    <n v="64168.344000397796"/>
    <n v="58353.153677123097"/>
    <n v="5815.1903232747018"/>
    <n v="1170.4488315885308"/>
    <n v="1067.1893953601661"/>
    <n v="48.29216974485383"/>
    <n v="969.19838721245026"/>
    <n v="0"/>
    <n v="49.698838402862158"/>
    <n v="51162.393968168166"/>
    <n v="1.1426280772720985"/>
    <n v="1E-4"/>
    <n v="103.25943622836462"/>
    <n v="27.104752400220082"/>
    <n v="83.134391790756126"/>
    <n v="12.470158768613418"/>
    <n v="16.626878358151227"/>
    <n v="2.7104752400220082"/>
    <n v="31.807512366786654"/>
  </r>
  <r>
    <x v="485"/>
    <n v="64389.67121290759"/>
    <n v="58554.355845195278"/>
    <n v="5835.31536771231"/>
    <n v="1173.7547293575656"/>
    <n v="1007.9330106456925"/>
    <n v="48.459919360622514"/>
    <n v="972.55256128538497"/>
    <n v="0"/>
    <n v="-13.079470000314908"/>
    <n v="51133.566329690475"/>
    <n v="1.1437318758931332"/>
    <n v="1E-4"/>
    <n v="165.82171871187302"/>
    <n v="26.878879463551581"/>
    <n v="145.70150190465574"/>
    <n v="21.85522528569836"/>
    <n v="29.140300380931151"/>
    <n v="2.6878879463551582"/>
    <n v="53.683413612984673"/>
  </r>
  <r>
    <x v="486"/>
    <n v="64610.946126088151"/>
    <n v="58755.510541568627"/>
    <n v="5855.4355845195278"/>
    <n v="1177.0606271266001"/>
    <n v="1118.4860257037128"/>
    <n v="48.627628064269253"/>
    <n v="975.90593075325467"/>
    <n v="0"/>
    <n v="93.952466886188844"/>
    <n v="51746.337335443983"/>
    <n v="1.1448356745141681"/>
    <n v="1E-4"/>
    <n v="58.574601422887326"/>
    <n v="26.654888801355316"/>
    <n v="38.459131785552017"/>
    <n v="5.7688697678328023"/>
    <n v="7.6918263571104042"/>
    <n v="2.6654888801355319"/>
    <n v="16.126185005078739"/>
  </r>
  <r>
    <x v="487"/>
    <n v="64832.169611594989"/>
    <n v="58956.618557438123"/>
    <n v="5875.5510541568628"/>
    <n v="1180.3665248956349"/>
    <n v="984.06767165432768"/>
    <n v="48.795296537662729"/>
    <n v="979.25850902614377"/>
    <n v="0"/>
    <n v="-43.986133909478767"/>
    <n v="51532.064448114419"/>
    <n v="1.1459394731352028"/>
    <n v="1E-4"/>
    <n v="196.29885324130726"/>
    <n v="26.432764728010689"/>
    <n v="176.18805165435788"/>
    <n v="26.428207748153682"/>
    <n v="35.237610330871576"/>
    <n v="2.6432764728010691"/>
    <n v="64.30909455182632"/>
  </r>
  <r>
    <x v="488"/>
    <n v="65053.342526555971"/>
    <n v="59157.680670812158"/>
    <n v="5895.6618557438123"/>
    <n v="1183.6724226646697"/>
    <n v="1018.0635282992426"/>
    <n v="48.962925451307193"/>
    <n v="982.61030929063543"/>
    <n v="0"/>
    <n v="-13.509706442699937"/>
    <n v="51500.702732860263"/>
    <n v="1.1470432717562375"/>
    <n v="1E-4"/>
    <n v="165.60889436542709"/>
    <n v="26.212491688610601"/>
    <n v="145.50268302802306"/>
    <n v="21.825402454203459"/>
    <n v="29.100536605604614"/>
    <n v="2.6212491688610604"/>
    <n v="53.547188228669135"/>
  </r>
  <r>
    <x v="489"/>
    <n v="65274.465713813552"/>
    <n v="59358.697646732333"/>
    <n v="5915.768067081216"/>
    <n v="1186.9783204337045"/>
    <n v="1144.9550199021578"/>
    <n v="49.130515464531769"/>
    <n v="985.96134451353601"/>
    <n v="0"/>
    <n v="109.86315992408997"/>
    <n v="52210.800597619018"/>
    <n v="1.1481470703772725"/>
    <n v="1E-4"/>
    <n v="42.023300531546738"/>
    <n v="25.994054257872179"/>
    <n v="21.921602939529294"/>
    <n v="3.2882404409293939"/>
    <n v="4.3843205879058589"/>
    <n v="2.5994054257872179"/>
    <n v="10.27196645462247"/>
  </r>
  <r>
    <x v="490"/>
    <n v="65495.540002162765"/>
    <n v="59559.670237489532"/>
    <n v="5935.8697646732335"/>
    <n v="1190.2842182027393"/>
    <n v="979.12128291848398"/>
    <n v="49.298067225676803"/>
    <n v="989.31162744553887"/>
    <n v="0"/>
    <n v="-59.4884117527317"/>
    <n v="51902.805310351905"/>
    <n v="1.1492508689983072"/>
    <n v="1E-4"/>
    <n v="211.16293528425535"/>
    <n v="25.777437139056577"/>
    <n v="191.06567620853548"/>
    <n v="28.65985143128032"/>
    <n v="38.2131352417071"/>
    <n v="2.577743713905658"/>
    <n v="69.450730386893085"/>
  </r>
  <r>
    <x v="491"/>
    <n v="65716.566206585441"/>
    <n v="59760.599182836486"/>
    <n v="5955.9670237489536"/>
    <n v="1193.5901159717741"/>
    <n v="1015.089777258036"/>
    <n v="49.465581372276944"/>
    <n v="992.66117062482556"/>
    <n v="0"/>
    <n v="-27.036974739066544"/>
    <n v="51790.268364867654"/>
    <n v="1.1503546676193421"/>
    <n v="1E-4"/>
    <n v="178.50033871373819"/>
    <n v="25.562625162897771"/>
    <n v="158.40744417904352"/>
    <n v="23.761116626856527"/>
    <n v="31.681488835808707"/>
    <n v="2.5562625162897774"/>
    <n v="57.998867978955012"/>
  </r>
  <r>
    <x v="492"/>
    <n v="65937.545128480328"/>
    <n v="59961.485210196683"/>
    <n v="5976.0599182836486"/>
    <n v="1196.8960137408087"/>
    <n v="965.70769757928633"/>
    <n v="49.633058531241282"/>
    <n v="996.0099863806081"/>
    <n v="0"/>
    <n v="-79.935347332562984"/>
    <n v="51361.347785807171"/>
    <n v="1.1514584662403768"/>
    <n v="1E-4"/>
    <n v="231.18831616152238"/>
    <n v="25.34960328654029"/>
    <n v="211.09971342550216"/>
    <n v="31.664957013825322"/>
    <n v="42.219942685100435"/>
    <n v="2.5349603286540292"/>
    <n v="76.419860027579773"/>
  </r>
  <r>
    <x v="493"/>
    <n v="66158.477555889578"/>
    <n v="60162.329034869916"/>
    <n v="5996.1485210196688"/>
    <n v="1200.2019115098435"/>
    <n v="1064.1793366038637"/>
    <n v="49.800499319030408"/>
    <n v="999.35808683661139"/>
    <n v="-4.3249890044595141"/>
    <n v="19.345739452681372"/>
    <n v="51526.212674127732"/>
    <n v="1.1525622648614118"/>
    <n v="1E-4"/>
    <n v="136.02257490597981"/>
    <n v="27.204514981195963"/>
    <n v="115.9381924386571"/>
    <n v="17.390728865798565"/>
    <n v="23.187638487731419"/>
    <n v="2.7204514981195964"/>
    <n v="43.298818851649578"/>
  </r>
  <r>
    <x v="494"/>
    <n v="66379.364263721291"/>
    <n v="60363.131360234293"/>
    <n v="6016.2329034869917"/>
    <n v="1203.5078092788783"/>
    <n v="1065.3472096770795"/>
    <n v="49.967904341830575"/>
    <n v="1002.7054839144986"/>
    <n v="0"/>
    <n v="12.673821420750397"/>
    <n v="51651.380656498346"/>
    <n v="1.1536660634824465"/>
    <n v="1E-4"/>
    <n v="138.16059960179882"/>
    <n v="26.977810689685999"/>
    <n v="118.08036706536132"/>
    <n v="17.712055059804197"/>
    <n v="23.616073413072264"/>
    <n v="2.6977810689686001"/>
    <n v="44.02590954184506"/>
  </r>
  <r>
    <x v="495"/>
    <n v="66600.206013968404"/>
    <n v="60563.892877944971"/>
    <n v="6036.3131360234293"/>
    <n v="1206.8137070479129"/>
    <n v="1095.834806733691"/>
    <n v="50.135274195724932"/>
    <n v="1006.0521893372382"/>
    <n v="0"/>
    <n v="39.647343200727768"/>
    <n v="51938.351019276939"/>
    <n v="1.1547698621034814"/>
    <n v="1E-4"/>
    <n v="110.97890031422185"/>
    <n v="26.752995600605281"/>
    <n v="90.902748543153393"/>
    <n v="13.635412281473009"/>
    <n v="18.180549708630679"/>
    <n v="2.6752995600605285"/>
    <n v="34.491261550164218"/>
  </r>
  <r>
    <x v="496"/>
    <n v="66821.003555923991"/>
    <n v="60764.614268129495"/>
    <n v="6056.3892877944972"/>
    <n v="1210.1196048169477"/>
    <n v="1109.0611948917783"/>
    <n v="50.302609466861909"/>
    <n v="1009.3982146324162"/>
    <n v="0"/>
    <n v="49.360370792500177"/>
    <n v="52284.505691598461"/>
    <n v="1.1558736607245161"/>
    <n v="1E-4"/>
    <n v="101.05840992516937"/>
    <n v="26.530053970600239"/>
    <n v="80.986270906716527"/>
    <n v="12.147940636007478"/>
    <n v="16.197254181343308"/>
    <n v="2.6530053970600243"/>
    <n v="30.998200214410812"/>
  </r>
  <r>
    <x v="497"/>
    <n v="67041.757626392937"/>
    <n v="60965.296199579985"/>
    <n v="6076.4614268129499"/>
    <n v="1213.4255025859825"/>
    <n v="1050.1164134033922"/>
    <n v="50.469910731620807"/>
    <n v="1012.7435711354916"/>
    <n v="0"/>
    <n v="-13.097068463720316"/>
    <n v="52255.678053120762"/>
    <n v="1.1569774593455511"/>
    <n v="1E-4"/>
    <n v="163.30908918259024"/>
    <n v="26.308970187511907"/>
    <n v="143.24089603754146"/>
    <n v="21.486134405631219"/>
    <n v="28.648179207508292"/>
    <n v="2.6308970187511909"/>
    <n v="52.765210631890703"/>
  </r>
  <r>
    <x v="498"/>
    <n v="67262.468949900009"/>
    <n v="61165.939329942004"/>
    <n v="6096.5296199579989"/>
    <n v="1216.7314003550173"/>
    <n v="1160.1221262779766"/>
    <n v="50.637178556774579"/>
    <n v="1016.0882699929997"/>
    <n v="0"/>
    <n v="93.396677728202391"/>
    <n v="52868.44905887427"/>
    <n v="1.1580812579665858"/>
    <n v="1E-4"/>
    <n v="56.609274077040709"/>
    <n v="26.08972876928264"/>
    <n v="36.544961040838643"/>
    <n v="5.4817441561257967"/>
    <n v="7.3089922081677292"/>
    <n v="2.6089728769282643"/>
    <n v="15.399709241221791"/>
  </r>
  <r>
    <x v="499"/>
    <n v="67483.138238894549"/>
    <n v="61366.544305900352"/>
    <n v="6116.5939329942012"/>
    <n v="1220.0372981240521"/>
    <n v="1026.3873118371218"/>
    <n v="50.804413499649989"/>
    <n v="1019.4323221657"/>
    <n v="0"/>
    <n v="-43.849423828228367"/>
    <n v="52654.176171544706"/>
    <n v="1.1591850565876207"/>
    <n v="1E-4"/>
    <n v="193.64998628693024"/>
    <n v="25.872314362871954"/>
    <n v="173.58948869109645"/>
    <n v="26.038423303664466"/>
    <n v="34.717897738219293"/>
    <n v="2.5872314362871958"/>
    <n v="63.343552478170956"/>
  </r>
  <r>
    <x v="500"/>
    <n v="67703.7661939518"/>
    <n v="61567.111763361769"/>
    <n v="6136.6544305900352"/>
    <n v="1223.3431958930867"/>
    <n v="1060.2222433821337"/>
    <n v="50.971616108285012"/>
    <n v="1022.7757384316725"/>
    <n v="0"/>
    <n v="-13.525111157823817"/>
    <n v="52622.814456290551"/>
    <n v="1.1602888552086554"/>
    <n v="1E-4"/>
    <n v="163.12095251095297"/>
    <n v="25.656711743181354"/>
    <n v="143.06420676481139"/>
    <n v="21.459631014721708"/>
    <n v="28.612841352962278"/>
    <n v="2.5656711743181355"/>
    <n v="52.638143542002119"/>
  </r>
  <r>
    <x v="501"/>
    <n v="67924.353503970706"/>
    <n v="61767.642327634523"/>
    <n v="6156.7111763361772"/>
    <n v="1226.6490936621215"/>
    <n v="1186.4931634681388"/>
    <n v="51.138786921583623"/>
    <n v="1026.1185293893627"/>
    <n v="0"/>
    <n v="109.2358471571925"/>
    <n v="53332.912321049313"/>
    <n v="1.1613926538296901"/>
    <n v="1E-4"/>
    <n v="40.155930193982613"/>
    <n v="25.442905811988176"/>
    <n v="20.10287376670658"/>
    <n v="3.0154310650059868"/>
    <n v="4.0205747533413163"/>
    <n v="2.5442905811988177"/>
    <n v="9.5802963995461212"/>
  </r>
  <r>
    <x v="502"/>
    <n v="68144.90084636856"/>
    <n v="61968.136613605107"/>
    <n v="6176.764232763453"/>
    <n v="1229.9549914311563"/>
    <n v="1021.4891817848576"/>
    <n v="51.30592646946814"/>
    <n v="1029.4607054605754"/>
    <n v="0"/>
    <n v="-59.277450145185981"/>
    <n v="53024.917033782192"/>
    <n v="1.1624964524507251"/>
    <n v="1E-4"/>
    <n v="208.46580964629868"/>
    <n v="25.230881596888274"/>
    <n v="188.41638104924095"/>
    <n v="28.262457157386141"/>
    <n v="37.683276209848195"/>
    <n v="2.5230881596888275"/>
    <n v="68.4688215269231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C5B15A-9579-4EA3-ABCA-C761EB5A93AF}" name="PivotTable1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7" rowHeaderCaption="Year">
  <location ref="A3:D13" firstHeaderRow="0" firstDataRow="1" firstDataCol="1"/>
  <pivotFields count="22">
    <pivotField axis="axisRow" numFmtId="16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10" showAll="0"/>
    <pivotField numFmtId="2" showAll="0"/>
    <pivotField showAll="0"/>
    <pivotField numFmtId="2" showAll="0"/>
    <pivotField dataField="1" showAll="0"/>
    <pivotField dataField="1" showAll="0"/>
    <pivotField dataField="1" showAll="0"/>
    <pivotField showAll="0"/>
    <pivotField axis="axisRow" showAll="0">
      <items count="7">
        <item sd="0" x="1"/>
        <item sd="0" x="2"/>
        <item sd="0" x="3"/>
        <item sd="0" x="4"/>
        <item x="0"/>
        <item x="5"/>
        <item t="default" sd="0"/>
      </items>
    </pivotField>
    <pivotField axis="axisRow" showAll="0">
      <items count="45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x="0"/>
        <item x="43"/>
        <item t="default" sd="0"/>
      </items>
    </pivotField>
  </pivotFields>
  <rowFields count="3">
    <field x="21"/>
    <field x="20"/>
    <field x="0"/>
  </rowFields>
  <rowItems count="10"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Cost of Destroying" fld="16" baseField="21" baseItem="0"/>
    <dataField name="Total Cost of Printing" fld="17" baseField="21" baseItem="0"/>
    <dataField name="Total Cost of Storing" fld="18" baseField="21" baseItem="0"/>
  </dataFields>
  <chartFormats count="6">
    <chartFormat chart="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345">
      <autoFilter ref="A1">
        <filterColumn colId="0">
          <customFilters>
            <customFilter operator="greaterThan" val="4456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0392A2-FFB9-4898-A72B-F04D920D1EFB}" name="PivotTable1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3" rowHeaderCaption="Year">
  <location ref="A3:D718" firstHeaderRow="0" firstDataRow="1" firstDataCol="1"/>
  <pivotFields count="22">
    <pivotField name="Month" axis="axisRow" numFmtId="16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10" showAll="0"/>
    <pivotField numFmtId="2" showAll="0"/>
    <pivotField showAll="0"/>
    <pivotField numFmtId="2" showAll="0"/>
    <pivotField dataField="1" showAll="0"/>
    <pivotField dataField="1" showAll="0"/>
    <pivotField dataField="1" showAll="0"/>
    <pivotField showAll="0"/>
    <pivotField axis="axisRow"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4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0"/>
        <item x="43"/>
        <item t="default"/>
      </items>
    </pivotField>
  </pivotFields>
  <rowFields count="3">
    <field x="21"/>
    <field x="20"/>
    <field x="0"/>
  </rowFields>
  <rowItems count="715">
    <i>
      <x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st of destroying" fld="16" baseField="0" baseItem="0"/>
    <dataField name="Sum of Cost of printing" fld="17" baseField="0" baseItem="0"/>
    <dataField name="Sum of Cost of storing" fld="18" baseField="0" baseItem="0"/>
  </dataFields>
  <chartFormats count="3">
    <chartFormat chart="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7C1603-78AA-4E93-B6B4-CB52B0590D84}" name="PivotTable1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0">
  <location ref="A3:G718" firstHeaderRow="0" firstDataRow="1" firstDataCol="1"/>
  <pivotFields count="22">
    <pivotField name="Month" axis="axisRow" numFmtId="16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numFmtId="2" showAll="0"/>
    <pivotField numFmtId="2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numFmtId="2" showAll="0"/>
    <pivotField numFmtId="2" showAll="0"/>
    <pivotField numFmtId="10" showAll="0"/>
    <pivotField numFmtId="2" showAll="0"/>
    <pivotField showAll="0"/>
    <pivotField numFmtId="2" showAll="0"/>
    <pivotField showAll="0"/>
    <pivotField showAll="0"/>
    <pivotField showAll="0"/>
    <pivotField showAll="0"/>
    <pivotField axis="axisRow"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4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0"/>
        <item x="43"/>
        <item t="default"/>
      </items>
    </pivotField>
  </pivotFields>
  <rowFields count="3">
    <field x="21"/>
    <field x="20"/>
    <field x="0"/>
  </rowFields>
  <rowItems count="715">
    <i>
      <x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Money Printed (Change in MS)" fld="4" baseField="0" baseItem="0"/>
    <dataField name="Sum of Money Demand" fld="5" baseField="0" baseItem="0"/>
    <dataField name="Sum of CNY" fld="8" baseField="0" baseItem="0"/>
    <dataField name="Sum of New Money Demand" fld="9" baseField="0" baseItem="0"/>
    <dataField name="Sum of Currency Notes in Circulation" fld="7" baseField="0" baseItem="0"/>
    <dataField name="Sum of Currency Notes in Storage2" fld="6" baseField="0" baseItem="0"/>
  </dataFields>
  <formats count="5">
    <format dxfId="4">
      <pivotArea dataOnly="0" labelOnly="1" outline="0" fieldPosition="0">
        <references count="1">
          <reference field="4294967294" count="4">
            <x v="2"/>
            <x v="3"/>
            <x v="4"/>
            <x v="5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6">
    <chartFormat chart="6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29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30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A3400-932E-4898-B0E8-60D0F99E8831}" name="PivotTable1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6">
  <location ref="A4:B14" firstHeaderRow="1" firstDataRow="1" firstDataCol="1"/>
  <pivotFields count="22">
    <pivotField name="Month" axis="axisRow" numFmtId="16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10" showAll="0"/>
    <pivotField dataField="1" numFmtId="2" showAll="0"/>
    <pivotField showAll="0"/>
    <pivotField numFmtId="2" showAll="0"/>
    <pivotField showAll="0"/>
    <pivotField showAll="0"/>
    <pivotField showAll="0"/>
    <pivotField showAll="0"/>
    <pivotField axis="axisRow" showAll="0">
      <items count="7">
        <item sd="0" x="1"/>
        <item sd="0" x="2"/>
        <item sd="0" x="3"/>
        <item sd="0" x="4"/>
        <item x="0"/>
        <item x="5"/>
        <item t="default" sd="0"/>
      </items>
    </pivotField>
    <pivotField axis="axisRow" showAll="0">
      <items count="45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x="0"/>
        <item x="43"/>
        <item t="default" sd="0"/>
      </items>
    </pivotField>
  </pivotFields>
  <rowFields count="3">
    <field x="21"/>
    <field x="20"/>
    <field x="0"/>
  </rowFields>
  <rowItems count="10"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Items count="1">
    <i/>
  </colItems>
  <dataFields count="1">
    <dataField name="Sum of Excess Notes" fld="13" baseField="0" baseItem="0"/>
  </dataFields>
  <chartFormats count="4"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297">
      <autoFilter ref="A1">
        <filterColumn colId="0">
          <customFilters>
            <customFilter operator="greaterThan" val="4456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7D893A-2380-450E-9C1C-2BB1E7EDD433}" name="PivotTable1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6">
  <location ref="A4:B718" firstHeaderRow="1" firstDataRow="1" firstDataCol="1"/>
  <pivotFields count="22">
    <pivotField name="Month" axis="axisRow" numFmtId="16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10" showAll="0"/>
    <pivotField dataField="1" numFmtId="2" showAll="0"/>
    <pivotField showAll="0"/>
    <pivotField numFmtId="2" showAll="0"/>
    <pivotField showAll="0"/>
    <pivotField showAll="0"/>
    <pivotField showAll="0"/>
    <pivotField showAll="0"/>
    <pivotField axis="axisRow"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4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0"/>
        <item x="43"/>
        <item t="default"/>
      </items>
    </pivotField>
  </pivotFields>
  <rowFields count="3">
    <field x="21"/>
    <field x="20"/>
    <field x="0"/>
  </rowFields>
  <rowItems count="714">
    <i>
      <x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t="grand">
      <x/>
    </i>
  </rowItems>
  <colItems count="1">
    <i/>
  </colItems>
  <dataFields count="1">
    <dataField name="Sum of Excess Notes" fld="13" baseField="0" baseItem="0"/>
  </dataFields>
  <chartFormats count="3"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94EBD1-5DC8-4BE3-8155-58D55066C73B}" name="PivotTable1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5">
  <location ref="A3:C717" firstHeaderRow="0" firstDataRow="1" firstDataCol="1"/>
  <pivotFields count="22">
    <pivotField name="Month" axis="axisRow" numFmtId="16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showAll="0"/>
    <pivotField numFmtId="2" showAll="0"/>
    <pivotField numFmtId="2" showAll="0"/>
    <pivotField numFmtId="10" showAll="0"/>
    <pivotField numFmtId="2" showAll="0"/>
    <pivotField dataField="1" showAll="0"/>
    <pivotField dataField="1" numFmtId="2" showAll="0"/>
    <pivotField showAll="0"/>
    <pivotField showAll="0"/>
    <pivotField showAll="0"/>
    <pivotField showAll="0"/>
    <pivotField axis="axisRow"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4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0"/>
        <item x="43"/>
        <item t="default"/>
      </items>
    </pivotField>
  </pivotFields>
  <rowFields count="3">
    <field x="21"/>
    <field x="20"/>
    <field x="0"/>
  </rowFields>
  <rowItems count="714">
    <i>
      <x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1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2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4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5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6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7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8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9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0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41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f Notes saved for next CNY" fld="14" baseField="0" baseItem="0"/>
    <dataField name="Sum of Amount left after sieve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Red Orange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8DB1-69AB-4ED1-9327-7396BC21060A}">
  <sheetPr codeName="Sheet10">
    <tabColor rgb="FFC00000"/>
    <pageSetUpPr fitToPage="1"/>
  </sheetPr>
  <dimension ref="A1:L26"/>
  <sheetViews>
    <sheetView showGridLines="0" tabSelected="1" zoomScale="115" zoomScaleNormal="115" workbookViewId="0"/>
  </sheetViews>
  <sheetFormatPr defaultColWidth="8.6640625" defaultRowHeight="15.6" x14ac:dyDescent="0.3"/>
  <cols>
    <col min="1" max="1" width="2.6640625" style="112" customWidth="1"/>
    <col min="2" max="2" width="3.109375" style="112" customWidth="1"/>
    <col min="3" max="3" width="9" style="112" customWidth="1"/>
    <col min="4" max="5" width="20.6640625" style="112" customWidth="1"/>
    <col min="6" max="6" width="27.6640625" style="112" customWidth="1"/>
    <col min="7" max="7" width="20.6640625" style="112" customWidth="1"/>
    <col min="8" max="8" width="12.88671875" style="112" bestFit="1" customWidth="1"/>
    <col min="9" max="9" width="12.109375" style="112" bestFit="1" customWidth="1"/>
    <col min="10" max="16384" width="8.6640625" style="112"/>
  </cols>
  <sheetData>
    <row r="1" spans="1:12" x14ac:dyDescent="0.3">
      <c r="A1" s="238"/>
      <c r="B1" s="238"/>
      <c r="C1" s="238"/>
      <c r="D1" s="238"/>
      <c r="E1" s="238"/>
      <c r="F1" s="238"/>
      <c r="G1" s="238"/>
      <c r="H1" s="238"/>
      <c r="I1" s="238"/>
      <c r="J1" s="238"/>
      <c r="K1" s="238"/>
    </row>
    <row r="2" spans="1:12" ht="34.799999999999997" x14ac:dyDescent="0.3">
      <c r="A2" s="238"/>
      <c r="B2" s="239"/>
      <c r="C2" s="240"/>
      <c r="D2" s="240"/>
      <c r="E2" s="240"/>
      <c r="F2" s="238"/>
      <c r="G2" s="238"/>
      <c r="H2" s="238"/>
      <c r="I2" s="238"/>
      <c r="J2" s="238"/>
      <c r="K2" s="238"/>
    </row>
    <row r="3" spans="1:12" ht="10.35" customHeight="1" x14ac:dyDescent="0.3">
      <c r="A3" s="241"/>
      <c r="B3" s="238"/>
      <c r="C3" s="242"/>
      <c r="D3" s="238"/>
      <c r="E3" s="242"/>
      <c r="F3" s="243"/>
      <c r="G3" s="238"/>
      <c r="H3" s="238"/>
      <c r="I3" s="238"/>
      <c r="J3" s="238"/>
      <c r="K3" s="238"/>
    </row>
    <row r="4" spans="1:12" x14ac:dyDescent="0.3">
      <c r="A4" s="238"/>
      <c r="B4" s="238"/>
      <c r="C4" s="238"/>
      <c r="D4" s="238"/>
      <c r="E4" s="238"/>
      <c r="F4" s="238"/>
      <c r="G4" s="238"/>
      <c r="H4" s="238"/>
      <c r="I4" s="238"/>
      <c r="J4" s="238"/>
      <c r="K4" s="238"/>
    </row>
    <row r="5" spans="1:12" x14ac:dyDescent="0.3">
      <c r="A5" s="238"/>
      <c r="B5" s="238"/>
      <c r="C5" s="240"/>
      <c r="D5" s="238"/>
      <c r="E5" s="238"/>
      <c r="F5" s="238"/>
      <c r="G5" s="238"/>
      <c r="H5" s="238"/>
      <c r="I5" s="238"/>
      <c r="J5" s="238"/>
      <c r="K5" s="238"/>
    </row>
    <row r="6" spans="1:12" s="117" customFormat="1" x14ac:dyDescent="0.3">
      <c r="A6" s="244"/>
      <c r="B6" s="244"/>
      <c r="C6" s="244"/>
      <c r="D6" s="238"/>
      <c r="E6" s="238"/>
      <c r="F6" s="238"/>
      <c r="G6" s="238"/>
      <c r="H6" s="238"/>
      <c r="I6" s="244"/>
      <c r="J6" s="238"/>
      <c r="K6" s="244"/>
      <c r="L6" s="112"/>
    </row>
    <row r="7" spans="1:12" x14ac:dyDescent="0.3">
      <c r="A7" s="245"/>
      <c r="B7" s="246"/>
      <c r="C7" s="247"/>
      <c r="D7" s="238"/>
      <c r="E7" s="238"/>
      <c r="F7" s="238"/>
      <c r="G7" s="238"/>
      <c r="H7" s="238"/>
      <c r="I7" s="238"/>
      <c r="J7" s="238"/>
      <c r="K7" s="238"/>
    </row>
    <row r="8" spans="1:12" x14ac:dyDescent="0.3">
      <c r="A8" s="245"/>
      <c r="B8" s="246"/>
      <c r="C8" s="247"/>
      <c r="D8" s="238"/>
      <c r="E8" s="238"/>
      <c r="F8" s="238"/>
      <c r="G8" s="238"/>
      <c r="H8" s="238"/>
      <c r="I8" s="238"/>
      <c r="J8" s="238"/>
      <c r="K8" s="238"/>
    </row>
    <row r="9" spans="1:12" x14ac:dyDescent="0.3">
      <c r="A9" s="245"/>
      <c r="B9" s="246"/>
      <c r="C9" s="247"/>
      <c r="D9" s="238"/>
      <c r="E9" s="238"/>
      <c r="F9" s="238"/>
      <c r="G9" s="238"/>
      <c r="H9" s="238"/>
      <c r="I9" s="238"/>
      <c r="J9" s="238"/>
      <c r="K9" s="238"/>
    </row>
    <row r="10" spans="1:12" x14ac:dyDescent="0.3">
      <c r="A10" s="245"/>
      <c r="B10" s="248"/>
      <c r="C10" s="248"/>
      <c r="D10" s="248"/>
      <c r="E10" s="248"/>
      <c r="F10" s="238"/>
      <c r="G10" s="238"/>
      <c r="H10" s="238"/>
      <c r="I10" s="238"/>
      <c r="J10" s="238"/>
      <c r="K10" s="238"/>
    </row>
    <row r="11" spans="1:12" x14ac:dyDescent="0.3">
      <c r="A11" s="238"/>
      <c r="B11" s="238"/>
      <c r="C11" s="238"/>
      <c r="D11" s="243"/>
      <c r="E11" s="238"/>
      <c r="F11" s="238"/>
      <c r="G11" s="238"/>
      <c r="H11" s="238"/>
      <c r="I11" s="238"/>
      <c r="J11" s="238"/>
      <c r="K11" s="238"/>
    </row>
    <row r="12" spans="1:12" x14ac:dyDescent="0.3">
      <c r="A12" s="238"/>
      <c r="B12" s="238"/>
      <c r="C12" s="238"/>
      <c r="D12" s="238"/>
      <c r="E12" s="238"/>
      <c r="F12" s="238"/>
      <c r="G12" s="238"/>
      <c r="H12" s="238"/>
      <c r="I12" s="238"/>
      <c r="J12" s="238"/>
      <c r="K12" s="238"/>
    </row>
    <row r="13" spans="1:12" x14ac:dyDescent="0.3">
      <c r="A13" s="238"/>
      <c r="B13" s="238"/>
      <c r="C13" s="238"/>
      <c r="D13" s="249"/>
      <c r="E13" s="238"/>
      <c r="F13" s="238"/>
      <c r="G13" s="238"/>
      <c r="H13" s="238"/>
      <c r="I13" s="238"/>
      <c r="J13" s="238"/>
      <c r="K13" s="238"/>
    </row>
    <row r="14" spans="1:12" x14ac:dyDescent="0.3">
      <c r="A14" s="238"/>
      <c r="B14" s="238"/>
      <c r="C14" s="238"/>
      <c r="D14" s="238"/>
      <c r="E14" s="238"/>
      <c r="F14" s="238"/>
      <c r="G14" s="238"/>
      <c r="H14" s="238"/>
      <c r="I14" s="238"/>
      <c r="J14" s="238"/>
      <c r="K14" s="238"/>
    </row>
    <row r="15" spans="1:12" x14ac:dyDescent="0.3">
      <c r="A15" s="238"/>
      <c r="B15" s="238"/>
      <c r="C15" s="238"/>
      <c r="D15" s="238"/>
      <c r="E15" s="249"/>
      <c r="F15" s="238"/>
      <c r="G15" s="238"/>
      <c r="H15" s="238"/>
      <c r="I15" s="238"/>
      <c r="J15" s="238"/>
      <c r="K15" s="238"/>
    </row>
    <row r="16" spans="1:12" x14ac:dyDescent="0.3">
      <c r="A16" s="238"/>
      <c r="B16" s="238"/>
      <c r="C16" s="238"/>
      <c r="D16" s="238"/>
      <c r="E16" s="238"/>
      <c r="F16" s="238"/>
      <c r="G16" s="238"/>
      <c r="H16" s="238"/>
      <c r="I16" s="238"/>
      <c r="J16" s="238"/>
      <c r="K16" s="238"/>
    </row>
    <row r="17" spans="1:11" x14ac:dyDescent="0.3">
      <c r="A17" s="238"/>
      <c r="B17" s="238"/>
      <c r="C17" s="238"/>
      <c r="D17" s="238"/>
      <c r="E17" s="238"/>
      <c r="F17" s="238"/>
      <c r="G17" s="238"/>
      <c r="H17" s="238"/>
      <c r="I17" s="238"/>
      <c r="J17" s="238"/>
      <c r="K17" s="238"/>
    </row>
    <row r="18" spans="1:11" x14ac:dyDescent="0.3">
      <c r="A18" s="238"/>
      <c r="B18" s="238"/>
      <c r="C18" s="238"/>
      <c r="D18" s="238"/>
      <c r="E18" s="238"/>
      <c r="F18" s="238"/>
      <c r="G18" s="238"/>
      <c r="H18" s="238"/>
      <c r="I18" s="238"/>
      <c r="J18" s="238"/>
      <c r="K18" s="238"/>
    </row>
    <row r="19" spans="1:11" x14ac:dyDescent="0.3">
      <c r="A19" s="238"/>
      <c r="B19" s="238"/>
      <c r="C19" s="238"/>
      <c r="D19" s="238"/>
      <c r="E19" s="238"/>
      <c r="F19" s="238"/>
      <c r="G19" s="238"/>
      <c r="H19" s="238"/>
      <c r="I19" s="238"/>
      <c r="J19" s="238"/>
      <c r="K19" s="238"/>
    </row>
    <row r="20" spans="1:11" x14ac:dyDescent="0.3">
      <c r="A20" s="238"/>
      <c r="B20" s="238"/>
      <c r="C20" s="238"/>
      <c r="D20" s="238"/>
      <c r="E20" s="238"/>
      <c r="F20" s="238"/>
      <c r="G20" s="238"/>
      <c r="H20" s="238"/>
      <c r="I20" s="238"/>
      <c r="J20" s="238"/>
      <c r="K20" s="238"/>
    </row>
    <row r="21" spans="1:11" x14ac:dyDescent="0.3">
      <c r="A21" s="238"/>
      <c r="B21" s="238"/>
      <c r="C21" s="238"/>
      <c r="D21" s="238"/>
      <c r="E21" s="238"/>
      <c r="F21" s="238"/>
      <c r="G21" s="238"/>
      <c r="H21" s="238"/>
      <c r="I21" s="238"/>
      <c r="J21" s="276" t="s">
        <v>183</v>
      </c>
      <c r="K21" s="276" t="s">
        <v>184</v>
      </c>
    </row>
    <row r="22" spans="1:11" x14ac:dyDescent="0.3">
      <c r="D22" s="267" t="s">
        <v>177</v>
      </c>
      <c r="E22" s="160"/>
      <c r="H22" s="275"/>
      <c r="I22" s="275"/>
      <c r="J22" s="275"/>
      <c r="K22" s="275"/>
    </row>
    <row r="23" spans="1:11" x14ac:dyDescent="0.3">
      <c r="D23" s="263" t="s">
        <v>172</v>
      </c>
      <c r="F23" s="266" t="s">
        <v>175</v>
      </c>
    </row>
    <row r="24" spans="1:11" ht="23.25" customHeight="1" x14ac:dyDescent="0.3">
      <c r="D24" s="264" t="s">
        <v>173</v>
      </c>
      <c r="F24" s="266" t="s">
        <v>181</v>
      </c>
    </row>
    <row r="25" spans="1:11" ht="22.5" customHeight="1" x14ac:dyDescent="0.3">
      <c r="D25" s="265" t="s">
        <v>174</v>
      </c>
      <c r="F25" s="266" t="s">
        <v>176</v>
      </c>
    </row>
    <row r="26" spans="1:11" ht="21" customHeight="1" x14ac:dyDescent="0.3">
      <c r="F26" s="266" t="s">
        <v>180</v>
      </c>
    </row>
  </sheetData>
  <sheetProtection sheet="1" objects="1" scenarios="1"/>
  <protectedRanges>
    <protectedRange sqref="D23:D25" name="Input_1"/>
  </protectedRanges>
  <conditionalFormatting sqref="B10">
    <cfRule type="expression" dxfId="29" priority="5">
      <formula>B10&lt;0</formula>
    </cfRule>
  </conditionalFormatting>
  <conditionalFormatting sqref="C10">
    <cfRule type="expression" dxfId="28" priority="4">
      <formula>C10&lt;0</formula>
    </cfRule>
  </conditionalFormatting>
  <conditionalFormatting sqref="D10">
    <cfRule type="expression" dxfId="27" priority="3">
      <formula>D10&lt;0</formula>
    </cfRule>
  </conditionalFormatting>
  <conditionalFormatting sqref="E10">
    <cfRule type="expression" dxfId="26" priority="2">
      <formula>E10&lt;0</formula>
    </cfRule>
  </conditionalFormatting>
  <dataValidations disablePrompts="1" xWindow="415" yWindow="1159" count="1">
    <dataValidation allowBlank="1" showErrorMessage="1" sqref="D23:D25" xr:uid="{220A804B-DE5D-4215-B61A-B21A510EA755}"/>
  </dataValidations>
  <printOptions horizontalCentered="1"/>
  <pageMargins left="0.7" right="0.7" top="0.75" bottom="0.75" header="0.3" footer="0.3"/>
  <pageSetup scale="82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D05D-70ED-4BAD-B3FD-165C8BACA9FF}">
  <sheetPr codeName="Sheet13">
    <tabColor theme="5"/>
    <pageSetUpPr fitToPage="1"/>
  </sheetPr>
  <dimension ref="A2:AU148"/>
  <sheetViews>
    <sheetView showGridLines="0" showRowColHeaders="0" zoomScale="85" zoomScaleNormal="85" workbookViewId="0"/>
  </sheetViews>
  <sheetFormatPr defaultColWidth="8.6640625" defaultRowHeight="15.6" x14ac:dyDescent="0.3"/>
  <cols>
    <col min="1" max="1" width="3" style="112" customWidth="1"/>
    <col min="2" max="2" width="6.44140625" style="112" customWidth="1"/>
    <col min="3" max="3" width="20" style="112" customWidth="1"/>
    <col min="4" max="4" width="27.44140625" style="112" customWidth="1"/>
    <col min="5" max="5" width="20.6640625" style="112" customWidth="1"/>
    <col min="6" max="6" width="17.88671875" style="112" bestFit="1" customWidth="1"/>
    <col min="7" max="7" width="21" style="112" bestFit="1" customWidth="1"/>
    <col min="8" max="8" width="22.6640625" style="112" customWidth="1"/>
    <col min="9" max="9" width="9" style="112" customWidth="1"/>
    <col min="10" max="10" width="14.109375" style="112" customWidth="1"/>
    <col min="11" max="11" width="13.6640625" style="112" customWidth="1"/>
    <col min="12" max="12" width="16.6640625" style="112" customWidth="1"/>
    <col min="13" max="13" width="13.6640625" style="112" customWidth="1"/>
    <col min="14" max="14" width="23" style="112" customWidth="1"/>
    <col min="15" max="15" width="15.44140625" style="112" customWidth="1"/>
    <col min="16" max="16" width="8.6640625" style="112"/>
    <col min="17" max="17" width="10.44140625" style="112" bestFit="1" customWidth="1"/>
    <col min="18" max="18" width="16.109375" style="112" customWidth="1"/>
    <col min="19" max="20" width="8.6640625" style="112"/>
    <col min="21" max="21" width="9" style="112" bestFit="1" customWidth="1"/>
    <col min="22" max="22" width="11.109375" style="112" bestFit="1" customWidth="1"/>
    <col min="23" max="23" width="8.6640625" style="112"/>
    <col min="24" max="34" width="9.109375" style="112" bestFit="1" customWidth="1"/>
    <col min="35" max="36" width="8.6640625" style="112"/>
    <col min="37" max="37" width="1.44140625" style="112" customWidth="1"/>
    <col min="38" max="38" width="11.109375" style="112" customWidth="1"/>
    <col min="39" max="40" width="8.6640625" style="112"/>
    <col min="41" max="42" width="9" style="112" bestFit="1" customWidth="1"/>
    <col min="43" max="43" width="29.6640625" style="112" customWidth="1"/>
    <col min="44" max="44" width="14.109375" style="112" bestFit="1" customWidth="1"/>
    <col min="45" max="45" width="9" style="112" bestFit="1" customWidth="1"/>
    <col min="46" max="46" width="15.109375" style="112" bestFit="1" customWidth="1"/>
    <col min="47" max="47" width="15.44140625" style="112" bestFit="1" customWidth="1"/>
    <col min="48" max="16384" width="8.6640625" style="112"/>
  </cols>
  <sheetData>
    <row r="2" spans="1:12" ht="34.799999999999997" x14ac:dyDescent="0.3">
      <c r="B2" s="114" t="s">
        <v>0</v>
      </c>
      <c r="F2" s="213">
        <f>LOOKUP(DATE(D7, MONTH(E7), 1), 'Model-Data'!A7:A510, 'Model-Data'!M7:M510)</f>
        <v>1E-4</v>
      </c>
      <c r="G2" s="183"/>
      <c r="H2" s="214">
        <f>LOOKUP(DATE(D7, MONTH(E7), 1), 'Model-Data'!A7:A510, 'Model-Data'!E7:E510)</f>
        <v>886.1416234515425</v>
      </c>
    </row>
    <row r="3" spans="1:12" ht="10.35" customHeight="1" x14ac:dyDescent="0.3">
      <c r="A3" s="113"/>
      <c r="C3" s="115"/>
      <c r="E3" s="115"/>
      <c r="F3" s="215"/>
      <c r="G3" s="183"/>
      <c r="H3" s="183"/>
    </row>
    <row r="4" spans="1:12" x14ac:dyDescent="0.3">
      <c r="C4" s="125"/>
      <c r="D4" s="125"/>
      <c r="E4" s="125"/>
      <c r="F4" s="125"/>
      <c r="G4" s="125"/>
      <c r="H4" s="125"/>
      <c r="I4" s="125"/>
    </row>
    <row r="5" spans="1:12" x14ac:dyDescent="0.3">
      <c r="A5" s="160"/>
      <c r="C5" s="130"/>
      <c r="D5" s="125"/>
      <c r="E5" s="125"/>
      <c r="F5" s="134" t="s">
        <v>1</v>
      </c>
      <c r="G5" s="134" t="s">
        <v>1</v>
      </c>
      <c r="H5" s="134" t="s">
        <v>2</v>
      </c>
      <c r="I5" s="125"/>
    </row>
    <row r="6" spans="1:12" s="117" customFormat="1" ht="17.399999999999999" x14ac:dyDescent="0.3">
      <c r="C6" s="126"/>
      <c r="D6" s="152" t="s">
        <v>3</v>
      </c>
      <c r="E6" s="152" t="s">
        <v>4</v>
      </c>
      <c r="F6" s="152" t="s">
        <v>5</v>
      </c>
      <c r="G6" s="152" t="s">
        <v>6</v>
      </c>
      <c r="H6" s="132" t="s">
        <v>7</v>
      </c>
      <c r="I6" s="126"/>
      <c r="L6" s="112"/>
    </row>
    <row r="7" spans="1:12" ht="24.75" customHeight="1" x14ac:dyDescent="0.3">
      <c r="A7" s="182"/>
      <c r="C7" s="127"/>
      <c r="D7" s="154">
        <v>2022</v>
      </c>
      <c r="E7" s="155">
        <v>7366</v>
      </c>
      <c r="F7" s="268">
        <v>1E-4</v>
      </c>
      <c r="G7" s="143">
        <v>0.05</v>
      </c>
      <c r="H7" s="157">
        <v>886.1416234515425</v>
      </c>
      <c r="I7" s="125"/>
    </row>
    <row r="8" spans="1:12" ht="17.399999999999999" x14ac:dyDescent="0.3">
      <c r="A8" s="181"/>
      <c r="B8" s="180"/>
      <c r="C8" s="127"/>
      <c r="D8" s="146"/>
      <c r="E8" s="125"/>
      <c r="F8" s="148"/>
      <c r="G8" s="148"/>
      <c r="H8" s="149"/>
      <c r="I8" s="125"/>
    </row>
    <row r="9" spans="1:12" x14ac:dyDescent="0.3">
      <c r="A9" s="122"/>
      <c r="B9" s="122"/>
      <c r="C9" s="128"/>
      <c r="D9" s="150"/>
      <c r="E9" s="151"/>
      <c r="F9" s="147"/>
      <c r="G9" s="125"/>
      <c r="H9" s="125"/>
      <c r="I9" s="125"/>
    </row>
    <row r="10" spans="1:12" x14ac:dyDescent="0.3">
      <c r="B10" s="123"/>
      <c r="C10" s="129"/>
      <c r="D10" s="145"/>
      <c r="E10" s="145"/>
      <c r="F10" s="125"/>
      <c r="G10" s="125"/>
      <c r="H10" s="125"/>
      <c r="I10" s="125"/>
    </row>
    <row r="11" spans="1:12" ht="22.8" x14ac:dyDescent="0.4">
      <c r="A11" s="111"/>
    </row>
    <row r="12" spans="1:12" ht="24.6" x14ac:dyDescent="0.3">
      <c r="A12" s="124"/>
      <c r="B12" s="123"/>
      <c r="C12" s="123"/>
      <c r="D12" s="123"/>
      <c r="E12" s="123"/>
      <c r="F12" s="123"/>
    </row>
    <row r="13" spans="1:12" x14ac:dyDescent="0.3">
      <c r="B13" s="125"/>
      <c r="C13" s="125"/>
      <c r="D13" s="140"/>
      <c r="E13" s="125"/>
      <c r="F13" s="125"/>
    </row>
    <row r="14" spans="1:12" x14ac:dyDescent="0.3">
      <c r="B14" s="125"/>
      <c r="C14" s="125"/>
      <c r="D14" s="125"/>
      <c r="E14" s="125"/>
      <c r="F14" s="179"/>
      <c r="G14" s="197"/>
      <c r="H14" s="198"/>
    </row>
    <row r="15" spans="1:12" x14ac:dyDescent="0.3">
      <c r="B15" s="125"/>
      <c r="C15" s="125"/>
      <c r="D15" s="125"/>
      <c r="E15" s="125"/>
      <c r="F15" s="179"/>
      <c r="G15" s="197"/>
      <c r="H15" s="198"/>
    </row>
    <row r="16" spans="1:12" x14ac:dyDescent="0.3">
      <c r="B16" s="125"/>
      <c r="C16" s="125"/>
      <c r="D16" s="125"/>
      <c r="E16" s="125"/>
      <c r="F16" s="178"/>
      <c r="G16" s="198"/>
      <c r="H16" s="198"/>
    </row>
    <row r="17" spans="2:6" x14ac:dyDescent="0.3">
      <c r="B17" s="125"/>
      <c r="C17" s="125"/>
      <c r="D17" s="125"/>
      <c r="E17" s="125"/>
      <c r="F17" s="178"/>
    </row>
    <row r="18" spans="2:6" x14ac:dyDescent="0.3">
      <c r="B18" s="125"/>
      <c r="C18" s="125"/>
      <c r="D18" s="125"/>
      <c r="E18" s="125"/>
      <c r="F18" s="125"/>
    </row>
    <row r="19" spans="2:6" x14ac:dyDescent="0.3">
      <c r="B19" s="125"/>
      <c r="C19" s="125"/>
      <c r="D19" s="125"/>
      <c r="E19" s="125"/>
      <c r="F19" s="125"/>
    </row>
    <row r="20" spans="2:6" x14ac:dyDescent="0.3">
      <c r="B20" s="125"/>
      <c r="C20" s="125"/>
      <c r="D20" s="125"/>
      <c r="E20" s="125"/>
      <c r="F20" s="125"/>
    </row>
    <row r="21" spans="2:6" x14ac:dyDescent="0.3">
      <c r="B21" s="125"/>
      <c r="C21" s="125"/>
      <c r="D21" s="125"/>
      <c r="E21" s="125"/>
      <c r="F21" s="125"/>
    </row>
    <row r="22" spans="2:6" x14ac:dyDescent="0.3">
      <c r="B22" s="125"/>
      <c r="C22" s="125"/>
      <c r="D22" s="125"/>
      <c r="E22" s="125"/>
      <c r="F22" s="125"/>
    </row>
    <row r="23" spans="2:6" x14ac:dyDescent="0.3">
      <c r="B23" s="125"/>
      <c r="C23" s="125"/>
      <c r="D23" s="125"/>
      <c r="E23" s="125"/>
      <c r="F23" s="125"/>
    </row>
    <row r="24" spans="2:6" x14ac:dyDescent="0.3">
      <c r="B24" s="125"/>
      <c r="C24" s="125"/>
      <c r="D24" s="125"/>
      <c r="E24" s="125"/>
      <c r="F24" s="125"/>
    </row>
    <row r="25" spans="2:6" x14ac:dyDescent="0.3">
      <c r="B25" s="125"/>
      <c r="C25" s="125"/>
      <c r="D25" s="125"/>
      <c r="E25" s="125"/>
      <c r="F25" s="125"/>
    </row>
    <row r="26" spans="2:6" x14ac:dyDescent="0.3">
      <c r="B26" s="125"/>
      <c r="C26" s="125"/>
      <c r="D26" s="125"/>
      <c r="E26" s="125"/>
      <c r="F26" s="125"/>
    </row>
    <row r="27" spans="2:6" x14ac:dyDescent="0.3">
      <c r="B27" s="125"/>
      <c r="C27" s="125"/>
      <c r="D27" s="125"/>
      <c r="E27" s="125"/>
      <c r="F27" s="125"/>
    </row>
    <row r="28" spans="2:6" x14ac:dyDescent="0.3">
      <c r="B28" s="125"/>
      <c r="C28" s="125"/>
      <c r="D28" s="125"/>
      <c r="E28" s="125"/>
      <c r="F28" s="125"/>
    </row>
    <row r="29" spans="2:6" x14ac:dyDescent="0.3">
      <c r="B29" s="125"/>
      <c r="C29" s="125"/>
      <c r="D29" s="125"/>
      <c r="E29" s="125"/>
      <c r="F29" s="125"/>
    </row>
    <row r="30" spans="2:6" x14ac:dyDescent="0.3">
      <c r="B30" s="125"/>
      <c r="C30" s="125"/>
      <c r="D30" s="125"/>
      <c r="E30" s="125"/>
      <c r="F30" s="125"/>
    </row>
    <row r="31" spans="2:6" x14ac:dyDescent="0.3">
      <c r="B31" s="125"/>
      <c r="C31" s="125"/>
      <c r="D31" s="125"/>
      <c r="E31" s="125"/>
      <c r="F31" s="125"/>
    </row>
    <row r="32" spans="2:6" x14ac:dyDescent="0.3">
      <c r="B32" s="125"/>
      <c r="C32" s="178"/>
      <c r="D32" s="178"/>
      <c r="E32" s="125"/>
      <c r="F32" s="125"/>
    </row>
    <row r="33" spans="2:6" x14ac:dyDescent="0.3">
      <c r="B33" s="125"/>
      <c r="C33" s="125"/>
      <c r="D33" s="211"/>
      <c r="E33" s="212"/>
      <c r="F33" s="125"/>
    </row>
    <row r="34" spans="2:6" x14ac:dyDescent="0.3">
      <c r="B34" s="125"/>
      <c r="C34" s="257" t="s">
        <v>171</v>
      </c>
      <c r="D34" s="258" t="s">
        <v>170</v>
      </c>
      <c r="E34" s="259" t="s">
        <v>179</v>
      </c>
      <c r="F34" s="125"/>
    </row>
    <row r="35" spans="2:6" x14ac:dyDescent="0.3">
      <c r="B35" s="125"/>
      <c r="C35" s="260">
        <f ca="1">'Hongbao demand'!N77</f>
        <v>15</v>
      </c>
      <c r="D35" s="261">
        <f ca="1">'Hongbao demand'!P77</f>
        <v>1274</v>
      </c>
      <c r="E35" s="262">
        <f ca="1">'Hongbao demand'!Q77</f>
        <v>12</v>
      </c>
      <c r="F35" s="125"/>
    </row>
    <row r="36" spans="2:6" x14ac:dyDescent="0.3">
      <c r="B36" s="125"/>
      <c r="C36" s="125"/>
      <c r="D36" s="125"/>
      <c r="E36" s="125"/>
      <c r="F36" s="125"/>
    </row>
    <row r="83" spans="5:35" ht="18" x14ac:dyDescent="0.35">
      <c r="E83" s="278"/>
      <c r="F83" s="278"/>
      <c r="G83" s="278"/>
      <c r="H83" s="278"/>
      <c r="I83" s="278"/>
      <c r="J83" s="278"/>
      <c r="K83" s="278"/>
      <c r="L83" s="38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5:35" ht="120" customHeight="1" x14ac:dyDescent="0.3">
      <c r="E84" s="42"/>
      <c r="F84" s="42"/>
      <c r="G84" s="42"/>
      <c r="H84" s="42"/>
      <c r="I84" s="42"/>
      <c r="J84" s="42"/>
      <c r="L84" s="42"/>
      <c r="M84" s="177"/>
      <c r="P84" s="42"/>
      <c r="Q84" s="42"/>
      <c r="R84" s="42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5:35" x14ac:dyDescent="0.3">
      <c r="E85" s="163"/>
      <c r="F85" s="162"/>
      <c r="G85" s="17"/>
      <c r="H85" s="17"/>
      <c r="I85" s="17"/>
      <c r="J85" s="17"/>
      <c r="L85" s="14"/>
      <c r="M85" s="14"/>
      <c r="P85" s="176"/>
      <c r="Q85" s="175"/>
      <c r="R85" s="174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5:35" x14ac:dyDescent="0.3">
      <c r="E86" s="163"/>
      <c r="F86" s="162"/>
      <c r="G86" s="17"/>
      <c r="H86" s="17"/>
      <c r="I86" s="17"/>
      <c r="J86" s="17"/>
      <c r="L86" s="14"/>
      <c r="M86" s="14"/>
      <c r="P86"/>
      <c r="Q86"/>
      <c r="R86" s="135"/>
      <c r="S86"/>
      <c r="T86"/>
      <c r="U86"/>
      <c r="V86"/>
      <c r="W86" s="65"/>
      <c r="X86"/>
      <c r="Y86" s="173"/>
      <c r="Z86" s="51"/>
      <c r="AA86"/>
      <c r="AB86"/>
      <c r="AC86" s="2"/>
      <c r="AD86"/>
      <c r="AE86"/>
      <c r="AF86"/>
      <c r="AG86" s="51"/>
      <c r="AH86"/>
      <c r="AI86"/>
    </row>
    <row r="87" spans="5:35" x14ac:dyDescent="0.3">
      <c r="E87" s="163"/>
      <c r="F87" s="162"/>
      <c r="G87" s="17"/>
      <c r="H87" s="17"/>
      <c r="I87" s="17"/>
      <c r="J87" s="17"/>
      <c r="L87" s="14"/>
      <c r="M87" s="14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</row>
    <row r="88" spans="5:35" ht="18" x14ac:dyDescent="0.3">
      <c r="E88" s="163"/>
      <c r="F88" s="162"/>
      <c r="G88" s="17"/>
      <c r="H88" s="17"/>
      <c r="I88" s="17"/>
      <c r="J88" s="17"/>
      <c r="L88" s="14"/>
      <c r="M88" s="14"/>
      <c r="P88" s="172"/>
      <c r="Q88" s="172"/>
      <c r="R88" s="172"/>
      <c r="S88" s="172"/>
      <c r="T88" s="172"/>
      <c r="U88" s="171"/>
      <c r="V88"/>
      <c r="W88" s="65"/>
      <c r="X88" s="51"/>
      <c r="Y88"/>
      <c r="Z88"/>
      <c r="AA88"/>
      <c r="AB88"/>
      <c r="AC88"/>
      <c r="AD88"/>
      <c r="AE88"/>
      <c r="AF88"/>
      <c r="AG88"/>
      <c r="AH88"/>
      <c r="AI88"/>
    </row>
    <row r="89" spans="5:35" x14ac:dyDescent="0.3">
      <c r="E89" s="163"/>
      <c r="F89" s="162"/>
      <c r="G89" s="17"/>
      <c r="H89" s="17"/>
      <c r="I89" s="17"/>
      <c r="J89" s="17"/>
      <c r="L89" s="14"/>
      <c r="M89" s="14"/>
      <c r="P89"/>
      <c r="Q89" s="2"/>
      <c r="R89"/>
      <c r="S89" s="42"/>
      <c r="T89" s="42"/>
      <c r="U89" s="10"/>
      <c r="V89"/>
      <c r="W89"/>
      <c r="X89" s="64"/>
      <c r="Y89"/>
      <c r="Z89"/>
      <c r="AA89"/>
      <c r="AB89"/>
      <c r="AC89"/>
      <c r="AD89"/>
      <c r="AE89"/>
      <c r="AF89"/>
      <c r="AG89"/>
      <c r="AH89"/>
      <c r="AI89"/>
    </row>
    <row r="90" spans="5:35" x14ac:dyDescent="0.3">
      <c r="E90" s="163"/>
      <c r="F90" s="162"/>
      <c r="G90" s="17"/>
      <c r="H90" s="17"/>
      <c r="I90" s="17"/>
      <c r="J90" s="17"/>
      <c r="L90" s="14"/>
      <c r="M90" s="14"/>
      <c r="P90" s="169"/>
      <c r="Q90"/>
      <c r="R90" s="166"/>
      <c r="S90" s="51"/>
      <c r="T90" s="51"/>
      <c r="U90" s="170"/>
      <c r="V90"/>
      <c r="W90"/>
      <c r="X90" s="64"/>
      <c r="Y90"/>
      <c r="Z90"/>
      <c r="AA90"/>
      <c r="AB90"/>
      <c r="AC90"/>
      <c r="AD90"/>
      <c r="AE90"/>
      <c r="AF90"/>
      <c r="AG90"/>
      <c r="AH90"/>
      <c r="AI90"/>
    </row>
    <row r="91" spans="5:35" x14ac:dyDescent="0.3">
      <c r="E91" s="163"/>
      <c r="F91" s="162"/>
      <c r="G91" s="17"/>
      <c r="H91" s="17"/>
      <c r="I91" s="17"/>
      <c r="J91" s="17"/>
      <c r="L91" s="14"/>
      <c r="M91" s="14"/>
      <c r="P91" s="169"/>
      <c r="Q91"/>
      <c r="R91" s="166"/>
      <c r="S91" s="51"/>
      <c r="T91" s="51"/>
      <c r="U91" s="170"/>
      <c r="V91"/>
      <c r="W91"/>
      <c r="X91" s="64"/>
      <c r="Y91"/>
      <c r="Z91"/>
      <c r="AA91"/>
      <c r="AB91"/>
      <c r="AC91"/>
      <c r="AD91"/>
      <c r="AE91"/>
      <c r="AF91"/>
      <c r="AG91"/>
      <c r="AH91"/>
      <c r="AI91"/>
    </row>
    <row r="92" spans="5:35" x14ac:dyDescent="0.3">
      <c r="E92" s="163"/>
      <c r="F92" s="162"/>
      <c r="G92" s="17"/>
      <c r="H92" s="17"/>
      <c r="I92" s="17"/>
      <c r="J92" s="17"/>
      <c r="L92" s="14"/>
      <c r="M92" s="14"/>
      <c r="P92" s="169"/>
      <c r="Q92"/>
      <c r="R92" s="166"/>
      <c r="S92" s="51"/>
      <c r="T92" s="51"/>
      <c r="U92" s="170"/>
      <c r="V92"/>
      <c r="W92"/>
      <c r="X92" s="64"/>
      <c r="Y92"/>
      <c r="Z92"/>
      <c r="AA92"/>
      <c r="AB92"/>
      <c r="AC92"/>
      <c r="AD92"/>
      <c r="AE92"/>
      <c r="AF92"/>
      <c r="AG92"/>
      <c r="AH92"/>
      <c r="AI92"/>
    </row>
    <row r="93" spans="5:35" x14ac:dyDescent="0.3">
      <c r="E93" s="163"/>
      <c r="F93" s="162"/>
      <c r="G93" s="17"/>
      <c r="H93" s="17"/>
      <c r="I93" s="17"/>
      <c r="J93" s="17"/>
      <c r="L93" s="14"/>
      <c r="M93" s="14"/>
      <c r="P93" s="169"/>
      <c r="Q93"/>
      <c r="R93" s="166"/>
      <c r="S93" s="51"/>
      <c r="T93" s="51"/>
      <c r="U93" s="170"/>
      <c r="V93"/>
      <c r="W93"/>
      <c r="X93" s="64"/>
      <c r="Y93"/>
      <c r="Z93"/>
      <c r="AA93"/>
      <c r="AB93"/>
      <c r="AC93"/>
      <c r="AD93"/>
      <c r="AE93"/>
      <c r="AF93"/>
      <c r="AG93"/>
      <c r="AH93"/>
      <c r="AI93"/>
    </row>
    <row r="94" spans="5:35" x14ac:dyDescent="0.3">
      <c r="E94" s="163"/>
      <c r="F94" s="162"/>
      <c r="G94" s="17"/>
      <c r="H94" s="17"/>
      <c r="I94" s="17"/>
      <c r="J94" s="17"/>
      <c r="L94" s="14"/>
      <c r="M94" s="14"/>
      <c r="P94" s="169"/>
      <c r="Q94"/>
      <c r="R94" s="166"/>
      <c r="S94" s="51"/>
      <c r="T94" s="51"/>
      <c r="U94" s="170"/>
      <c r="V94"/>
      <c r="W94"/>
      <c r="X94" s="64"/>
      <c r="Y94"/>
      <c r="Z94"/>
      <c r="AA94"/>
      <c r="AB94"/>
      <c r="AC94"/>
      <c r="AD94"/>
      <c r="AE94"/>
      <c r="AF94"/>
      <c r="AG94"/>
      <c r="AH94"/>
      <c r="AI94"/>
    </row>
    <row r="95" spans="5:35" x14ac:dyDescent="0.3">
      <c r="E95" s="163"/>
      <c r="F95" s="162"/>
      <c r="G95" s="17"/>
      <c r="H95" s="17"/>
      <c r="I95" s="17"/>
      <c r="J95" s="17"/>
      <c r="L95" s="14"/>
      <c r="M95" s="14"/>
      <c r="P95" s="169"/>
      <c r="Q95"/>
      <c r="R95" s="166"/>
      <c r="S95" s="51"/>
      <c r="T95" s="51"/>
      <c r="U95"/>
      <c r="V95"/>
      <c r="W95"/>
      <c r="X95" s="64"/>
      <c r="Y95"/>
      <c r="Z95"/>
      <c r="AA95"/>
      <c r="AB95"/>
      <c r="AC95"/>
      <c r="AD95"/>
      <c r="AE95"/>
      <c r="AF95"/>
      <c r="AG95"/>
      <c r="AH95"/>
      <c r="AI95"/>
    </row>
    <row r="96" spans="5:35" x14ac:dyDescent="0.3">
      <c r="E96" s="163"/>
      <c r="F96" s="162"/>
      <c r="G96" s="17"/>
      <c r="H96" s="17"/>
      <c r="I96" s="17"/>
      <c r="J96" s="17"/>
      <c r="L96" s="14"/>
      <c r="M96" s="14"/>
      <c r="P96" s="169"/>
      <c r="Q96"/>
      <c r="R96" s="166"/>
      <c r="S96" s="51"/>
      <c r="T96" s="51"/>
      <c r="U96"/>
      <c r="V96"/>
      <c r="W96"/>
      <c r="X96" s="64"/>
      <c r="Y96"/>
      <c r="Z96"/>
      <c r="AA96"/>
      <c r="AB96"/>
      <c r="AC96"/>
      <c r="AD96"/>
      <c r="AE96"/>
      <c r="AF96"/>
      <c r="AG96"/>
      <c r="AH96"/>
      <c r="AI96"/>
    </row>
    <row r="97" spans="5:47" x14ac:dyDescent="0.3">
      <c r="E97" s="163"/>
      <c r="F97" s="162"/>
      <c r="G97" s="17"/>
      <c r="H97" s="17"/>
      <c r="I97" s="17"/>
      <c r="J97" s="17"/>
      <c r="L97" s="14"/>
      <c r="M97" s="14"/>
      <c r="P97" s="65"/>
      <c r="Q97"/>
      <c r="R97" s="166"/>
      <c r="S97" s="10"/>
      <c r="T97" s="10"/>
      <c r="U97"/>
      <c r="V97"/>
      <c r="W97"/>
      <c r="X97" s="64"/>
      <c r="Y97"/>
      <c r="Z97"/>
      <c r="AA97"/>
      <c r="AB97"/>
      <c r="AC97"/>
      <c r="AD97"/>
      <c r="AE97"/>
      <c r="AF97"/>
      <c r="AG97"/>
      <c r="AH97"/>
      <c r="AI97"/>
    </row>
    <row r="98" spans="5:47" x14ac:dyDescent="0.3">
      <c r="E98" s="163"/>
      <c r="F98" s="162"/>
      <c r="G98" s="17"/>
      <c r="H98" s="17"/>
      <c r="I98" s="17"/>
      <c r="J98" s="17"/>
      <c r="L98" s="14"/>
      <c r="M98" s="14"/>
      <c r="P98"/>
      <c r="Q98"/>
      <c r="R98" s="166"/>
      <c r="S98" s="53"/>
      <c r="T98" s="54"/>
      <c r="U98"/>
      <c r="V98"/>
      <c r="W98"/>
      <c r="X98" s="64"/>
      <c r="Y98"/>
      <c r="Z98"/>
      <c r="AA98"/>
      <c r="AB98"/>
      <c r="AC98"/>
      <c r="AD98"/>
      <c r="AE98"/>
      <c r="AF98"/>
      <c r="AG98"/>
      <c r="AH98"/>
      <c r="AI98"/>
    </row>
    <row r="99" spans="5:47" x14ac:dyDescent="0.3">
      <c r="E99" s="163"/>
      <c r="F99" s="162"/>
      <c r="G99" s="17"/>
      <c r="H99" s="17"/>
      <c r="I99" s="17"/>
      <c r="J99" s="17"/>
      <c r="L99" s="14"/>
      <c r="M99" s="14"/>
      <c r="P99"/>
      <c r="Q99"/>
      <c r="R99" s="166"/>
      <c r="S99" s="53"/>
      <c r="T99" s="54"/>
      <c r="U99"/>
      <c r="V99"/>
      <c r="W99"/>
      <c r="X99" s="64"/>
      <c r="Y99"/>
      <c r="Z99"/>
      <c r="AA99"/>
      <c r="AB99"/>
      <c r="AC99"/>
      <c r="AD99"/>
      <c r="AE99"/>
      <c r="AF99"/>
      <c r="AG99"/>
      <c r="AH99"/>
      <c r="AI99"/>
    </row>
    <row r="100" spans="5:47" ht="18" x14ac:dyDescent="0.35">
      <c r="E100" s="163"/>
      <c r="F100" s="162"/>
      <c r="G100" s="17"/>
      <c r="H100" s="17"/>
      <c r="I100" s="17"/>
      <c r="J100" s="17"/>
      <c r="L100" s="14"/>
      <c r="M100" s="14"/>
      <c r="P100" s="168"/>
      <c r="Q100"/>
      <c r="R100" s="166"/>
      <c r="S100" s="168"/>
      <c r="T100" s="168"/>
      <c r="W100"/>
      <c r="X100" s="64"/>
      <c r="Y100"/>
      <c r="Z100"/>
      <c r="AA100"/>
      <c r="AB100"/>
      <c r="AC100"/>
      <c r="AD100"/>
      <c r="AE100"/>
      <c r="AF100"/>
      <c r="AG100"/>
      <c r="AH100"/>
      <c r="AI100"/>
    </row>
    <row r="101" spans="5:47" ht="45" customHeight="1" x14ac:dyDescent="0.3">
      <c r="E101" s="163"/>
      <c r="F101" s="162"/>
      <c r="G101" s="17"/>
      <c r="H101" s="17"/>
      <c r="I101" s="17"/>
      <c r="J101" s="17"/>
      <c r="L101" s="14"/>
      <c r="M101" s="14"/>
      <c r="P101" s="167"/>
      <c r="Q101"/>
      <c r="R101" s="166"/>
      <c r="S101" s="42"/>
      <c r="T101" s="43"/>
      <c r="W101"/>
      <c r="X101" s="64"/>
      <c r="Y101"/>
      <c r="Z101"/>
      <c r="AA101"/>
      <c r="AB101"/>
      <c r="AC101"/>
      <c r="AD101"/>
      <c r="AE101"/>
      <c r="AF101"/>
      <c r="AG101"/>
      <c r="AH101"/>
      <c r="AI101"/>
      <c r="AM101"/>
      <c r="AN101" s="53"/>
      <c r="AO101"/>
      <c r="AP101" s="53"/>
      <c r="AQ101" s="54"/>
    </row>
    <row r="102" spans="5:47" x14ac:dyDescent="0.3">
      <c r="E102" s="163"/>
      <c r="F102" s="162"/>
      <c r="G102" s="17"/>
      <c r="H102" s="17"/>
      <c r="I102" s="17"/>
      <c r="J102" s="17"/>
      <c r="L102" s="14"/>
      <c r="M102" s="14"/>
      <c r="O102" s="42"/>
      <c r="P102" s="42"/>
      <c r="Q102" s="43"/>
      <c r="R102" s="43"/>
      <c r="S102" s="43"/>
      <c r="T102"/>
      <c r="W102"/>
      <c r="X102" s="64"/>
      <c r="Y102"/>
      <c r="Z102"/>
      <c r="AA102"/>
      <c r="AB102"/>
      <c r="AC102"/>
      <c r="AD102"/>
      <c r="AE102"/>
      <c r="AF102"/>
      <c r="AG102"/>
      <c r="AH102"/>
      <c r="AI102"/>
    </row>
    <row r="103" spans="5:47" x14ac:dyDescent="0.3">
      <c r="E103" s="163"/>
      <c r="F103" s="162"/>
      <c r="G103" s="17"/>
      <c r="H103" s="17"/>
      <c r="I103" s="17"/>
      <c r="J103" s="17"/>
      <c r="L103" s="14"/>
      <c r="M103" s="14"/>
      <c r="O103" s="38"/>
      <c r="P103" s="38"/>
      <c r="Q103" s="38"/>
      <c r="R103" s="38"/>
      <c r="S103" s="38"/>
      <c r="T103"/>
      <c r="W103"/>
      <c r="X103" s="64"/>
      <c r="Y103"/>
      <c r="Z103"/>
      <c r="AA103"/>
      <c r="AB103"/>
      <c r="AC103"/>
      <c r="AD103"/>
      <c r="AE103"/>
      <c r="AF103"/>
      <c r="AG103"/>
      <c r="AH103"/>
      <c r="AI103"/>
    </row>
    <row r="104" spans="5:47" x14ac:dyDescent="0.3">
      <c r="E104" s="163"/>
      <c r="F104" s="162"/>
      <c r="G104" s="17"/>
      <c r="H104" s="17"/>
      <c r="I104" s="17"/>
      <c r="J104" s="17"/>
      <c r="L104" s="14"/>
      <c r="M104" s="14"/>
      <c r="O104" s="38"/>
      <c r="P104" s="38"/>
      <c r="Q104" s="38"/>
      <c r="R104" s="38"/>
      <c r="S104" s="38"/>
      <c r="T104"/>
      <c r="W104"/>
      <c r="X104" s="64"/>
      <c r="Y104"/>
      <c r="Z104"/>
      <c r="AA104"/>
      <c r="AB104"/>
      <c r="AC104"/>
      <c r="AD104"/>
      <c r="AE104"/>
      <c r="AF104"/>
      <c r="AG104"/>
      <c r="AH104"/>
      <c r="AI104"/>
    </row>
    <row r="105" spans="5:47" x14ac:dyDescent="0.3">
      <c r="E105" s="163"/>
      <c r="F105" s="162"/>
      <c r="G105" s="17"/>
      <c r="H105" s="17"/>
      <c r="I105" s="17"/>
      <c r="J105" s="17"/>
      <c r="L105" s="14"/>
      <c r="M105" s="14"/>
      <c r="O105" s="38"/>
      <c r="P105" s="38"/>
      <c r="Q105" s="38"/>
      <c r="R105" s="38"/>
      <c r="S105" s="38"/>
      <c r="T105"/>
      <c r="W105"/>
      <c r="X105" s="64"/>
      <c r="Y105"/>
      <c r="Z105"/>
      <c r="AA105"/>
      <c r="AB105"/>
      <c r="AC105"/>
      <c r="AD105"/>
      <c r="AE105"/>
      <c r="AF105"/>
      <c r="AG105"/>
      <c r="AH105"/>
      <c r="AI105"/>
    </row>
    <row r="106" spans="5:47" x14ac:dyDescent="0.3">
      <c r="E106" s="163"/>
      <c r="F106" s="162"/>
      <c r="G106" s="17"/>
      <c r="H106" s="17"/>
      <c r="I106" s="17"/>
      <c r="J106" s="17"/>
      <c r="L106" s="14"/>
      <c r="M106" s="14"/>
      <c r="O106" s="38"/>
      <c r="P106" s="38"/>
      <c r="Q106" s="38"/>
      <c r="R106" s="38"/>
      <c r="S106" s="38"/>
      <c r="T106"/>
      <c r="W106"/>
      <c r="X106" s="64"/>
      <c r="Y106"/>
      <c r="Z106"/>
      <c r="AA106"/>
      <c r="AB106"/>
      <c r="AC106"/>
      <c r="AD106"/>
      <c r="AE106"/>
      <c r="AF106"/>
      <c r="AG106"/>
      <c r="AH106"/>
      <c r="AI106"/>
    </row>
    <row r="107" spans="5:47" x14ac:dyDescent="0.3">
      <c r="E107" s="163"/>
      <c r="F107" s="162"/>
      <c r="G107" s="17"/>
      <c r="H107" s="17"/>
      <c r="I107" s="17"/>
      <c r="J107" s="17"/>
      <c r="L107" s="14"/>
      <c r="M107" s="14"/>
      <c r="O107" s="38"/>
      <c r="P107" s="38"/>
      <c r="Q107" s="38"/>
      <c r="R107" s="38"/>
      <c r="S107" s="38"/>
      <c r="T107"/>
      <c r="W107"/>
      <c r="X107" s="64"/>
      <c r="Y107"/>
      <c r="Z107"/>
      <c r="AA107"/>
      <c r="AB107"/>
      <c r="AC107"/>
      <c r="AD107"/>
      <c r="AE107"/>
      <c r="AF107"/>
      <c r="AG107"/>
      <c r="AH107"/>
      <c r="AI107"/>
    </row>
    <row r="108" spans="5:47" ht="18" x14ac:dyDescent="0.35">
      <c r="E108" s="163"/>
      <c r="F108" s="162"/>
      <c r="G108" s="17"/>
      <c r="H108" s="17"/>
      <c r="I108" s="17"/>
      <c r="J108" s="17"/>
      <c r="L108" s="14"/>
      <c r="M108" s="14"/>
      <c r="O108" s="38"/>
      <c r="P108" s="38"/>
      <c r="Q108" s="38"/>
      <c r="R108" s="38"/>
      <c r="S108" s="38"/>
      <c r="T108"/>
      <c r="W108"/>
      <c r="X108" s="64"/>
      <c r="Y108"/>
      <c r="Z108"/>
      <c r="AA108"/>
      <c r="AB108"/>
      <c r="AC108"/>
      <c r="AD108"/>
      <c r="AE108"/>
      <c r="AF108"/>
      <c r="AG108"/>
      <c r="AH108"/>
      <c r="AI108"/>
      <c r="AO108" s="278"/>
      <c r="AP108" s="278"/>
      <c r="AQ108" s="278"/>
      <c r="AR108" s="278"/>
      <c r="AS108" s="278"/>
      <c r="AT108" s="278"/>
      <c r="AU108" s="278"/>
    </row>
    <row r="109" spans="5:47" x14ac:dyDescent="0.3">
      <c r="E109" s="163"/>
      <c r="F109" s="162"/>
      <c r="G109" s="17"/>
      <c r="H109" s="17"/>
      <c r="I109" s="17"/>
      <c r="J109" s="17"/>
      <c r="L109" s="14"/>
      <c r="M109" s="14"/>
      <c r="O109" s="38"/>
      <c r="P109" s="38"/>
      <c r="Q109" s="38"/>
      <c r="R109" s="38"/>
      <c r="S109" s="38"/>
      <c r="T109"/>
      <c r="W109"/>
      <c r="X109" s="64"/>
      <c r="Y109"/>
      <c r="Z109"/>
      <c r="AA109"/>
      <c r="AB109"/>
      <c r="AC109"/>
      <c r="AD109"/>
      <c r="AE109"/>
      <c r="AF109"/>
      <c r="AG109"/>
      <c r="AH109"/>
      <c r="AI109"/>
      <c r="AO109" s="279"/>
      <c r="AP109" s="280"/>
      <c r="AQ109" s="281"/>
      <c r="AR109" s="281"/>
      <c r="AS109" s="282"/>
      <c r="AT109" s="282"/>
      <c r="AU109" s="282"/>
    </row>
    <row r="110" spans="5:47" x14ac:dyDescent="0.3">
      <c r="E110" s="163"/>
      <c r="F110" s="162"/>
      <c r="G110" s="17"/>
      <c r="H110" s="17"/>
      <c r="I110" s="17"/>
      <c r="J110" s="17"/>
      <c r="L110" s="14"/>
      <c r="M110" s="14"/>
      <c r="O110" s="38"/>
      <c r="P110" s="38"/>
      <c r="Q110" s="38"/>
      <c r="R110" s="38"/>
      <c r="S110" s="38"/>
      <c r="T110"/>
      <c r="W110"/>
      <c r="X110" s="64"/>
      <c r="Y110"/>
      <c r="Z110"/>
      <c r="AA110"/>
      <c r="AB110"/>
      <c r="AC110"/>
      <c r="AD110"/>
      <c r="AE110"/>
      <c r="AF110"/>
      <c r="AG110"/>
      <c r="AH110"/>
      <c r="AI110"/>
      <c r="AO110" s="279"/>
      <c r="AP110" s="280"/>
      <c r="AQ110" s="281"/>
      <c r="AR110" s="281"/>
      <c r="AS110" s="282"/>
      <c r="AT110" s="282"/>
      <c r="AU110" s="282"/>
    </row>
    <row r="111" spans="5:47" x14ac:dyDescent="0.3">
      <c r="E111" s="163"/>
      <c r="F111" s="162"/>
      <c r="G111" s="17"/>
      <c r="H111" s="17"/>
      <c r="I111" s="17"/>
      <c r="J111" s="17"/>
      <c r="L111" s="14"/>
      <c r="M111" s="14"/>
      <c r="O111" s="38"/>
      <c r="P111" s="38"/>
      <c r="Q111" s="38"/>
      <c r="R111" s="38"/>
      <c r="S111" s="38"/>
      <c r="T111"/>
      <c r="W111"/>
      <c r="X111" s="64"/>
      <c r="Y111"/>
      <c r="Z111"/>
      <c r="AA111"/>
      <c r="AB111"/>
      <c r="AC111"/>
      <c r="AD111"/>
      <c r="AE111"/>
      <c r="AF111"/>
      <c r="AG111"/>
      <c r="AH111"/>
      <c r="AI111"/>
      <c r="AO111" s="165"/>
      <c r="AP111" s="164"/>
      <c r="AQ111" s="38"/>
      <c r="AR111" s="38"/>
      <c r="AS111" s="38"/>
      <c r="AT111" s="38"/>
      <c r="AU111" s="38"/>
    </row>
    <row r="112" spans="5:47" x14ac:dyDescent="0.3">
      <c r="E112" s="163"/>
      <c r="F112" s="162"/>
      <c r="G112" s="17"/>
      <c r="H112" s="17"/>
      <c r="I112" s="17"/>
      <c r="J112" s="17"/>
      <c r="L112" s="14"/>
      <c r="M112" s="14"/>
      <c r="O112" s="38"/>
      <c r="P112" s="38"/>
      <c r="Q112" s="38"/>
      <c r="R112" s="38"/>
      <c r="S112" s="38"/>
      <c r="T112"/>
      <c r="W112"/>
      <c r="X112" s="64"/>
      <c r="Y112"/>
      <c r="Z112"/>
      <c r="AA112"/>
      <c r="AB112"/>
      <c r="AC112"/>
      <c r="AD112"/>
      <c r="AE112"/>
      <c r="AF112"/>
      <c r="AG112"/>
      <c r="AH112"/>
      <c r="AI112"/>
      <c r="AO112" s="165"/>
      <c r="AP112" s="164"/>
      <c r="AQ112" s="38"/>
      <c r="AR112" s="38"/>
      <c r="AS112" s="38"/>
      <c r="AT112" s="38"/>
      <c r="AU112" s="38"/>
    </row>
    <row r="113" spans="5:47" x14ac:dyDescent="0.3">
      <c r="E113" s="163"/>
      <c r="F113" s="162"/>
      <c r="G113" s="17"/>
      <c r="H113" s="17"/>
      <c r="I113" s="17"/>
      <c r="J113" s="17"/>
      <c r="L113" s="14"/>
      <c r="M113" s="14"/>
      <c r="O113" s="38"/>
      <c r="P113" s="38"/>
      <c r="Q113" s="38"/>
      <c r="R113" s="38"/>
      <c r="S113" s="38"/>
      <c r="T113"/>
      <c r="U113"/>
      <c r="V113"/>
      <c r="W113"/>
      <c r="X113" s="64"/>
      <c r="Y113"/>
      <c r="Z113"/>
      <c r="AA113"/>
      <c r="AB113"/>
      <c r="AC113"/>
      <c r="AD113"/>
      <c r="AE113"/>
      <c r="AF113"/>
      <c r="AG113"/>
      <c r="AH113"/>
      <c r="AI113"/>
      <c r="AO113" s="165"/>
      <c r="AP113" s="164"/>
      <c r="AQ113" s="38"/>
      <c r="AR113" s="38"/>
      <c r="AS113" s="38"/>
      <c r="AT113" s="38"/>
      <c r="AU113" s="38"/>
    </row>
    <row r="114" spans="5:47" x14ac:dyDescent="0.3">
      <c r="E114" s="163"/>
      <c r="F114" s="162"/>
      <c r="G114" s="17"/>
      <c r="H114" s="17"/>
      <c r="I114" s="17"/>
      <c r="J114" s="17"/>
      <c r="L114" s="14"/>
      <c r="M114" s="14"/>
      <c r="O114" s="38"/>
      <c r="P114" s="38"/>
      <c r="Q114" s="38"/>
      <c r="R114" s="38"/>
      <c r="S114" s="38"/>
      <c r="T114"/>
      <c r="U114"/>
      <c r="V114"/>
      <c r="W114"/>
      <c r="X114" s="64"/>
      <c r="Y114"/>
      <c r="Z114"/>
      <c r="AA114"/>
      <c r="AB114"/>
      <c r="AC114"/>
      <c r="AD114"/>
      <c r="AE114"/>
      <c r="AF114"/>
      <c r="AG114"/>
      <c r="AH114"/>
      <c r="AI114"/>
      <c r="AO114" s="165"/>
      <c r="AP114" s="164"/>
      <c r="AQ114" s="38"/>
      <c r="AR114" s="38"/>
      <c r="AS114" s="38"/>
      <c r="AT114" s="38"/>
      <c r="AU114" s="38"/>
    </row>
    <row r="115" spans="5:47" x14ac:dyDescent="0.3">
      <c r="E115" s="163"/>
      <c r="F115" s="162"/>
      <c r="G115" s="17"/>
      <c r="H115" s="17"/>
      <c r="I115" s="17"/>
      <c r="J115" s="17"/>
      <c r="L115" s="14"/>
      <c r="M115" s="14"/>
      <c r="O115" s="38"/>
      <c r="P115" s="38"/>
      <c r="Q115" s="38"/>
      <c r="R115" s="38"/>
      <c r="S115" s="38"/>
      <c r="T115"/>
      <c r="U115"/>
      <c r="V115"/>
      <c r="W115"/>
      <c r="X115" s="64"/>
      <c r="Y115"/>
      <c r="Z115"/>
      <c r="AA115"/>
      <c r="AB115"/>
      <c r="AC115"/>
      <c r="AD115"/>
      <c r="AE115"/>
      <c r="AF115"/>
      <c r="AG115"/>
      <c r="AH115"/>
      <c r="AI115"/>
      <c r="AO115" s="165"/>
      <c r="AP115" s="164"/>
      <c r="AQ115" s="38"/>
      <c r="AR115" s="38"/>
      <c r="AS115" s="38"/>
      <c r="AT115" s="38"/>
      <c r="AU115" s="38"/>
    </row>
    <row r="116" spans="5:47" x14ac:dyDescent="0.3">
      <c r="E116" s="163"/>
      <c r="F116" s="162"/>
      <c r="G116" s="17"/>
      <c r="H116" s="17"/>
      <c r="I116" s="17"/>
      <c r="J116" s="17"/>
      <c r="L116" s="14"/>
      <c r="M116" s="14"/>
      <c r="O116" s="38"/>
      <c r="P116" s="38"/>
      <c r="Q116" s="38"/>
      <c r="R116" s="38"/>
      <c r="S116" s="38"/>
      <c r="T116"/>
      <c r="U116"/>
      <c r="V116"/>
      <c r="W116"/>
      <c r="X116" s="64"/>
      <c r="Y116"/>
      <c r="Z116"/>
      <c r="AA116"/>
      <c r="AB116"/>
      <c r="AC116"/>
      <c r="AD116"/>
      <c r="AE116"/>
      <c r="AF116"/>
      <c r="AG116"/>
      <c r="AH116"/>
      <c r="AI116"/>
      <c r="AO116" s="165"/>
      <c r="AP116" s="164"/>
      <c r="AQ116" s="38"/>
      <c r="AR116" s="38"/>
      <c r="AS116" s="38"/>
      <c r="AT116" s="38"/>
      <c r="AU116" s="38"/>
    </row>
    <row r="117" spans="5:47" x14ac:dyDescent="0.3">
      <c r="E117" s="163"/>
      <c r="F117" s="162"/>
      <c r="G117" s="17"/>
      <c r="H117" s="17"/>
      <c r="I117" s="17"/>
      <c r="J117" s="17"/>
      <c r="L117" s="14"/>
      <c r="M117" s="14"/>
      <c r="O117" s="38"/>
      <c r="P117" s="38"/>
      <c r="Q117" s="38"/>
      <c r="R117" s="38"/>
      <c r="S117" s="38"/>
      <c r="T117"/>
      <c r="U117"/>
      <c r="V117"/>
      <c r="W117"/>
      <c r="X117" s="64"/>
      <c r="Y117"/>
      <c r="Z117"/>
      <c r="AA117"/>
      <c r="AB117"/>
      <c r="AC117"/>
      <c r="AD117"/>
      <c r="AE117"/>
      <c r="AF117"/>
      <c r="AG117"/>
      <c r="AH117"/>
      <c r="AI117"/>
      <c r="AO117" s="165"/>
      <c r="AP117" s="164"/>
      <c r="AQ117" s="38"/>
      <c r="AR117" s="38"/>
      <c r="AS117" s="38"/>
      <c r="AT117" s="38"/>
      <c r="AU117" s="38"/>
    </row>
    <row r="118" spans="5:47" x14ac:dyDescent="0.3">
      <c r="E118" s="163"/>
      <c r="F118" s="162"/>
      <c r="G118" s="17"/>
      <c r="H118" s="17"/>
      <c r="I118" s="17"/>
      <c r="J118" s="17"/>
      <c r="L118" s="14"/>
      <c r="M118" s="14"/>
      <c r="O118" s="38"/>
      <c r="P118" s="38"/>
      <c r="Q118" s="38"/>
      <c r="R118" s="38"/>
      <c r="S118" s="38"/>
      <c r="T118"/>
      <c r="U118"/>
      <c r="V118"/>
      <c r="W118"/>
      <c r="X118" s="64"/>
      <c r="Y118"/>
      <c r="Z118"/>
      <c r="AA118"/>
      <c r="AB118"/>
      <c r="AC118"/>
      <c r="AD118"/>
      <c r="AE118"/>
      <c r="AF118"/>
      <c r="AG118"/>
      <c r="AH118"/>
      <c r="AI118"/>
      <c r="AO118" s="165"/>
      <c r="AP118" s="164"/>
      <c r="AQ118" s="38"/>
      <c r="AR118" s="38"/>
      <c r="AS118" s="38"/>
      <c r="AT118" s="38"/>
      <c r="AU118" s="38"/>
    </row>
    <row r="119" spans="5:47" x14ac:dyDescent="0.3">
      <c r="E119" s="163"/>
      <c r="F119" s="162"/>
      <c r="G119" s="17"/>
      <c r="H119" s="17"/>
      <c r="I119" s="17"/>
      <c r="J119" s="17"/>
      <c r="L119" s="14"/>
      <c r="M119" s="14"/>
      <c r="O119" s="38"/>
      <c r="P119" s="38"/>
      <c r="Q119" s="38"/>
      <c r="R119" s="38"/>
      <c r="S119" s="38"/>
      <c r="T119"/>
      <c r="U119"/>
      <c r="V119"/>
      <c r="W119"/>
      <c r="X119" s="64"/>
      <c r="Y119"/>
      <c r="Z119"/>
      <c r="AA119"/>
      <c r="AB119"/>
      <c r="AC119"/>
      <c r="AD119"/>
      <c r="AE119"/>
      <c r="AF119"/>
      <c r="AG119"/>
      <c r="AH119"/>
      <c r="AI119"/>
      <c r="AO119" s="165"/>
      <c r="AP119" s="164"/>
      <c r="AQ119" s="38"/>
      <c r="AR119" s="38"/>
      <c r="AS119" s="38"/>
      <c r="AT119" s="38"/>
      <c r="AU119" s="38"/>
    </row>
    <row r="120" spans="5:47" x14ac:dyDescent="0.3">
      <c r="E120" s="163"/>
      <c r="F120" s="162"/>
      <c r="G120" s="17"/>
      <c r="H120" s="17"/>
      <c r="I120" s="17"/>
      <c r="J120" s="17"/>
      <c r="L120" s="14"/>
      <c r="M120" s="14"/>
      <c r="O120" s="38"/>
      <c r="P120" s="38"/>
      <c r="Q120" s="38"/>
      <c r="R120" s="38"/>
      <c r="S120" s="38"/>
      <c r="T120"/>
      <c r="U120"/>
      <c r="V120"/>
      <c r="W120"/>
      <c r="X120" s="64"/>
      <c r="Y120"/>
      <c r="Z120"/>
      <c r="AA120"/>
      <c r="AB120"/>
      <c r="AC120"/>
      <c r="AD120"/>
      <c r="AE120"/>
      <c r="AF120"/>
      <c r="AG120"/>
      <c r="AH120"/>
      <c r="AI120"/>
      <c r="AO120" s="165"/>
      <c r="AP120" s="164"/>
      <c r="AQ120" s="38"/>
      <c r="AR120" s="38"/>
      <c r="AS120" s="38"/>
      <c r="AT120" s="38"/>
      <c r="AU120" s="38"/>
    </row>
    <row r="121" spans="5:47" x14ac:dyDescent="0.3">
      <c r="E121" s="163"/>
      <c r="F121" s="162"/>
      <c r="G121" s="17"/>
      <c r="H121" s="17"/>
      <c r="I121" s="17"/>
      <c r="J121" s="17"/>
      <c r="L121" s="14"/>
      <c r="M121" s="14"/>
      <c r="O121" s="38"/>
      <c r="P121" s="38"/>
      <c r="Q121" s="38"/>
      <c r="R121" s="38"/>
      <c r="S121" s="38"/>
      <c r="T121"/>
      <c r="U121"/>
      <c r="V121"/>
      <c r="W121"/>
      <c r="X121" s="64"/>
      <c r="Y121"/>
      <c r="Z121"/>
      <c r="AA121"/>
      <c r="AB121"/>
      <c r="AC121"/>
      <c r="AD121"/>
      <c r="AE121"/>
      <c r="AF121"/>
      <c r="AG121"/>
      <c r="AH121"/>
      <c r="AI121"/>
      <c r="AO121" s="165"/>
      <c r="AP121" s="164"/>
      <c r="AQ121" s="38"/>
      <c r="AR121" s="38"/>
      <c r="AS121" s="38"/>
      <c r="AT121" s="38"/>
      <c r="AU121" s="38"/>
    </row>
    <row r="122" spans="5:47" x14ac:dyDescent="0.3">
      <c r="E122" s="163"/>
      <c r="F122" s="162"/>
      <c r="G122" s="17"/>
      <c r="H122" s="17"/>
      <c r="I122" s="17"/>
      <c r="J122" s="17"/>
      <c r="L122" s="14"/>
      <c r="M122" s="14"/>
      <c r="O122" s="38"/>
      <c r="P122" s="38"/>
      <c r="Q122" s="38"/>
      <c r="R122" s="38"/>
      <c r="S122" s="38"/>
      <c r="T122"/>
      <c r="U122"/>
      <c r="V122"/>
      <c r="W122"/>
      <c r="X122" s="64"/>
      <c r="Y122"/>
      <c r="Z122"/>
      <c r="AA122"/>
      <c r="AB122"/>
      <c r="AC122"/>
      <c r="AD122"/>
      <c r="AE122"/>
      <c r="AF122"/>
      <c r="AG122"/>
      <c r="AH122"/>
      <c r="AI122"/>
      <c r="AO122" s="165"/>
      <c r="AP122" s="164"/>
      <c r="AQ122" s="38"/>
      <c r="AR122" s="38"/>
      <c r="AS122" s="38"/>
      <c r="AT122" s="38"/>
      <c r="AU122" s="38"/>
    </row>
    <row r="123" spans="5:47" x14ac:dyDescent="0.3">
      <c r="E123" s="163"/>
      <c r="F123" s="162"/>
      <c r="G123" s="17"/>
      <c r="H123" s="17"/>
      <c r="I123" s="17"/>
      <c r="J123" s="17"/>
      <c r="L123" s="14"/>
      <c r="M123" s="14"/>
      <c r="O123" s="38"/>
      <c r="P123" s="38"/>
      <c r="Q123" s="38"/>
      <c r="R123" s="38"/>
      <c r="S123" s="38"/>
      <c r="T123"/>
      <c r="U123"/>
      <c r="V123"/>
      <c r="W123"/>
      <c r="X123" s="64"/>
      <c r="Y123"/>
      <c r="Z123"/>
      <c r="AA123"/>
      <c r="AB123"/>
      <c r="AC123"/>
      <c r="AD123"/>
      <c r="AE123"/>
      <c r="AF123"/>
      <c r="AG123"/>
      <c r="AH123"/>
      <c r="AI123"/>
      <c r="AO123" s="165"/>
      <c r="AP123" s="164"/>
      <c r="AQ123" s="38"/>
      <c r="AR123" s="38"/>
      <c r="AS123" s="38"/>
      <c r="AT123" s="38"/>
      <c r="AU123" s="38"/>
    </row>
    <row r="124" spans="5:47" x14ac:dyDescent="0.3">
      <c r="E124" s="163"/>
      <c r="F124" s="162"/>
      <c r="G124" s="17"/>
      <c r="H124" s="17"/>
      <c r="I124" s="17"/>
      <c r="J124" s="17"/>
      <c r="L124" s="14"/>
      <c r="M124" s="14"/>
      <c r="O124" s="38"/>
      <c r="P124" s="38"/>
      <c r="Q124" s="38"/>
      <c r="R124" s="38"/>
      <c r="S124" s="38"/>
      <c r="T124"/>
      <c r="U124"/>
      <c r="V124"/>
      <c r="W124"/>
      <c r="X124" s="64"/>
      <c r="Y124"/>
      <c r="Z124"/>
      <c r="AA124"/>
      <c r="AB124"/>
      <c r="AC124"/>
      <c r="AD124"/>
      <c r="AE124"/>
      <c r="AF124"/>
      <c r="AG124"/>
      <c r="AH124"/>
      <c r="AI124"/>
      <c r="AO124" s="165"/>
      <c r="AP124" s="164"/>
      <c r="AQ124" s="38"/>
      <c r="AR124" s="38"/>
      <c r="AS124" s="38"/>
      <c r="AT124" s="38"/>
      <c r="AU124" s="38"/>
    </row>
    <row r="125" spans="5:47" x14ac:dyDescent="0.3">
      <c r="E125" s="163"/>
      <c r="F125" s="162"/>
      <c r="G125" s="17"/>
      <c r="H125" s="17"/>
      <c r="I125" s="17"/>
      <c r="J125" s="17"/>
      <c r="L125" s="14"/>
      <c r="M125" s="14"/>
      <c r="O125" s="38"/>
      <c r="P125" s="38"/>
      <c r="Q125" s="38"/>
      <c r="R125" s="38"/>
      <c r="S125" s="38"/>
      <c r="T125"/>
      <c r="U125"/>
      <c r="V125"/>
      <c r="W125"/>
      <c r="X125" s="64"/>
      <c r="Y125"/>
      <c r="Z125"/>
      <c r="AA125"/>
      <c r="AB125"/>
      <c r="AC125"/>
      <c r="AD125"/>
      <c r="AE125"/>
      <c r="AF125"/>
      <c r="AG125"/>
      <c r="AH125"/>
      <c r="AI125"/>
      <c r="AO125" s="165"/>
      <c r="AP125" s="164"/>
      <c r="AQ125" s="38"/>
      <c r="AR125" s="38"/>
      <c r="AS125" s="38"/>
      <c r="AT125" s="38"/>
      <c r="AU125" s="38"/>
    </row>
    <row r="126" spans="5:47" x14ac:dyDescent="0.3">
      <c r="E126" s="163"/>
      <c r="F126" s="162"/>
      <c r="G126" s="17"/>
      <c r="H126" s="17"/>
      <c r="I126" s="17"/>
      <c r="J126" s="17"/>
      <c r="L126" s="14"/>
      <c r="M126" s="14"/>
      <c r="O126" s="38"/>
      <c r="P126" s="38"/>
      <c r="Q126" s="38"/>
      <c r="R126" s="38"/>
      <c r="S126" s="38"/>
      <c r="T126"/>
      <c r="U126"/>
      <c r="V126"/>
      <c r="W126"/>
      <c r="X126" s="64"/>
      <c r="Y126"/>
      <c r="Z126"/>
      <c r="AA126"/>
      <c r="AB126"/>
      <c r="AC126"/>
      <c r="AD126"/>
      <c r="AE126"/>
      <c r="AF126"/>
      <c r="AG126"/>
      <c r="AH126"/>
      <c r="AI126"/>
      <c r="AO126" s="165"/>
      <c r="AP126" s="164"/>
      <c r="AQ126" s="38"/>
      <c r="AR126" s="38"/>
      <c r="AS126" s="38"/>
      <c r="AT126" s="38"/>
      <c r="AU126" s="38"/>
    </row>
    <row r="127" spans="5:47" x14ac:dyDescent="0.3">
      <c r="E127" s="163"/>
      <c r="F127" s="162"/>
      <c r="G127" s="17"/>
      <c r="H127" s="17"/>
      <c r="I127" s="17"/>
      <c r="J127" s="17"/>
      <c r="L127" s="14"/>
      <c r="M127" s="14"/>
      <c r="O127" s="38"/>
      <c r="P127" s="38"/>
      <c r="Q127" s="38"/>
      <c r="R127" s="38"/>
      <c r="S127" s="38"/>
      <c r="T127"/>
      <c r="U127"/>
      <c r="V127"/>
      <c r="W127"/>
      <c r="X127" s="64"/>
      <c r="Y127"/>
      <c r="Z127"/>
      <c r="AA127"/>
      <c r="AB127"/>
      <c r="AC127"/>
      <c r="AD127"/>
      <c r="AE127"/>
      <c r="AF127"/>
      <c r="AG127"/>
      <c r="AH127"/>
      <c r="AI127"/>
      <c r="AO127" s="165"/>
      <c r="AP127" s="164"/>
      <c r="AQ127" s="38"/>
      <c r="AR127" s="38"/>
      <c r="AS127" s="38"/>
      <c r="AT127" s="38"/>
      <c r="AU127" s="38"/>
    </row>
    <row r="128" spans="5:47" x14ac:dyDescent="0.3">
      <c r="E128" s="163"/>
      <c r="F128" s="162"/>
      <c r="G128" s="17"/>
      <c r="H128" s="17"/>
      <c r="I128" s="17"/>
      <c r="J128" s="17"/>
      <c r="L128" s="14"/>
      <c r="M128" s="14"/>
      <c r="O128" s="38"/>
      <c r="P128" s="38"/>
      <c r="Q128" s="38"/>
      <c r="R128" s="38"/>
      <c r="S128" s="38"/>
      <c r="T128"/>
      <c r="U128"/>
      <c r="V128"/>
      <c r="W128"/>
      <c r="X128" s="64"/>
      <c r="Y128"/>
      <c r="Z128"/>
      <c r="AA128"/>
      <c r="AB128"/>
      <c r="AC128"/>
      <c r="AD128"/>
      <c r="AE128"/>
      <c r="AF128"/>
      <c r="AG128"/>
      <c r="AH128"/>
      <c r="AI128"/>
      <c r="AO128" s="165"/>
      <c r="AP128" s="164"/>
      <c r="AQ128" s="38"/>
      <c r="AR128" s="38"/>
      <c r="AS128" s="38"/>
      <c r="AT128" s="38"/>
      <c r="AU128" s="38"/>
    </row>
    <row r="129" spans="5:47" x14ac:dyDescent="0.3">
      <c r="E129" s="163"/>
      <c r="F129" s="162"/>
      <c r="G129" s="17"/>
      <c r="H129" s="17"/>
      <c r="I129" s="17"/>
      <c r="J129" s="17"/>
      <c r="L129" s="14"/>
      <c r="M129" s="14"/>
      <c r="O129" s="38"/>
      <c r="P129" s="38"/>
      <c r="Q129" s="38"/>
      <c r="R129" s="38"/>
      <c r="S129" s="38"/>
      <c r="T129"/>
      <c r="U129"/>
      <c r="V129"/>
      <c r="W129"/>
      <c r="X129" s="64"/>
      <c r="Y129"/>
      <c r="Z129"/>
      <c r="AA129"/>
      <c r="AB129"/>
      <c r="AC129"/>
      <c r="AD129"/>
      <c r="AE129"/>
      <c r="AF129"/>
      <c r="AG129"/>
      <c r="AH129"/>
      <c r="AI129"/>
      <c r="AO129" s="165"/>
      <c r="AP129" s="164"/>
      <c r="AQ129" s="38"/>
      <c r="AR129" s="38"/>
      <c r="AS129" s="38"/>
      <c r="AT129" s="38"/>
      <c r="AU129" s="38"/>
    </row>
    <row r="130" spans="5:47" x14ac:dyDescent="0.3">
      <c r="E130" s="163"/>
      <c r="F130" s="162"/>
      <c r="G130" s="17"/>
      <c r="H130" s="17"/>
      <c r="I130" s="17"/>
      <c r="J130" s="17"/>
      <c r="L130" s="14"/>
      <c r="M130" s="14"/>
      <c r="O130" s="38"/>
      <c r="P130" s="38"/>
      <c r="Q130" s="38"/>
      <c r="R130" s="38"/>
      <c r="S130" s="38"/>
      <c r="T130"/>
      <c r="U130"/>
      <c r="V130"/>
      <c r="W130"/>
      <c r="X130" s="64"/>
      <c r="Y130"/>
      <c r="Z130"/>
      <c r="AA130"/>
      <c r="AB130"/>
      <c r="AC130"/>
      <c r="AD130"/>
      <c r="AE130"/>
      <c r="AF130"/>
      <c r="AG130"/>
      <c r="AH130"/>
      <c r="AI130"/>
      <c r="AO130" s="165"/>
      <c r="AP130" s="164"/>
      <c r="AQ130" s="38"/>
      <c r="AR130" s="38"/>
      <c r="AS130" s="38"/>
      <c r="AT130" s="38"/>
      <c r="AU130" s="38"/>
    </row>
    <row r="131" spans="5:47" x14ac:dyDescent="0.3">
      <c r="E131" s="163"/>
      <c r="F131" s="162"/>
      <c r="G131" s="17"/>
      <c r="H131" s="17"/>
      <c r="I131" s="17"/>
      <c r="J131" s="17"/>
      <c r="L131" s="14"/>
      <c r="M131" s="14"/>
      <c r="O131" s="38"/>
      <c r="P131" s="38"/>
      <c r="Q131" s="38"/>
      <c r="R131" s="38"/>
      <c r="S131" s="38"/>
      <c r="T131"/>
      <c r="U131"/>
      <c r="V131"/>
      <c r="W131"/>
      <c r="X131" s="64"/>
      <c r="Y131"/>
      <c r="Z131"/>
      <c r="AA131"/>
      <c r="AB131"/>
      <c r="AC131"/>
      <c r="AD131"/>
      <c r="AE131"/>
      <c r="AF131"/>
      <c r="AG131"/>
      <c r="AH131"/>
      <c r="AI131"/>
      <c r="AO131" s="165"/>
      <c r="AP131" s="164"/>
      <c r="AQ131" s="38"/>
      <c r="AR131" s="38"/>
      <c r="AS131" s="38"/>
      <c r="AT131" s="38"/>
      <c r="AU131" s="38"/>
    </row>
    <row r="132" spans="5:47" x14ac:dyDescent="0.3">
      <c r="E132" s="163"/>
      <c r="F132" s="162"/>
      <c r="G132" s="17"/>
      <c r="H132" s="17"/>
      <c r="I132" s="17"/>
      <c r="J132" s="17"/>
      <c r="L132" s="14"/>
      <c r="M132" s="14"/>
      <c r="O132" s="38"/>
      <c r="P132" s="38"/>
      <c r="Q132" s="38"/>
      <c r="R132" s="38"/>
      <c r="S132" s="38"/>
      <c r="T132"/>
      <c r="U132"/>
      <c r="V132"/>
      <c r="W132"/>
      <c r="X132" s="64"/>
      <c r="Y132"/>
      <c r="Z132"/>
      <c r="AA132"/>
      <c r="AB132"/>
      <c r="AC132"/>
      <c r="AD132"/>
      <c r="AE132"/>
      <c r="AF132"/>
      <c r="AG132"/>
      <c r="AH132"/>
      <c r="AI132"/>
      <c r="AO132" s="165"/>
      <c r="AP132" s="164"/>
      <c r="AQ132" s="38"/>
      <c r="AR132" s="38"/>
      <c r="AS132" s="38"/>
      <c r="AT132" s="38"/>
      <c r="AU132" s="38"/>
    </row>
    <row r="133" spans="5:47" x14ac:dyDescent="0.3">
      <c r="E133" s="163"/>
      <c r="F133" s="162"/>
      <c r="G133" s="17"/>
      <c r="H133" s="17"/>
      <c r="I133" s="17"/>
      <c r="J133" s="17"/>
      <c r="L133" s="14"/>
      <c r="M133" s="14"/>
      <c r="O133" s="38"/>
      <c r="P133" s="38"/>
      <c r="Q133" s="38"/>
      <c r="R133" s="38"/>
      <c r="S133" s="38"/>
      <c r="T133"/>
      <c r="U133"/>
      <c r="V133"/>
      <c r="W133"/>
      <c r="X133" s="64"/>
      <c r="Y133"/>
      <c r="Z133"/>
      <c r="AA133"/>
      <c r="AB133"/>
      <c r="AC133"/>
      <c r="AD133"/>
      <c r="AE133"/>
      <c r="AF133"/>
      <c r="AG133"/>
      <c r="AH133"/>
      <c r="AI133"/>
      <c r="AO133" s="165"/>
      <c r="AP133" s="164"/>
      <c r="AQ133" s="38"/>
      <c r="AR133" s="38"/>
      <c r="AS133" s="38"/>
      <c r="AT133" s="38"/>
      <c r="AU133" s="38"/>
    </row>
    <row r="134" spans="5:47" x14ac:dyDescent="0.3">
      <c r="E134" s="163"/>
      <c r="F134" s="162"/>
      <c r="G134" s="17"/>
      <c r="H134" s="17"/>
      <c r="I134" s="17"/>
      <c r="J134" s="17"/>
      <c r="L134" s="14"/>
      <c r="M134" s="14"/>
      <c r="O134" s="38"/>
      <c r="P134" s="38"/>
      <c r="Q134" s="38"/>
      <c r="R134" s="38"/>
      <c r="S134" s="38"/>
      <c r="T134"/>
      <c r="U134"/>
      <c r="V134"/>
      <c r="W134"/>
      <c r="X134" s="64"/>
      <c r="Y134"/>
      <c r="Z134"/>
      <c r="AA134"/>
      <c r="AB134"/>
      <c r="AC134"/>
      <c r="AD134"/>
      <c r="AE134"/>
      <c r="AF134"/>
      <c r="AG134"/>
      <c r="AH134"/>
      <c r="AI134"/>
      <c r="AO134" s="165"/>
      <c r="AP134" s="164"/>
      <c r="AQ134" s="38"/>
      <c r="AR134" s="38"/>
      <c r="AS134" s="38"/>
      <c r="AT134" s="38"/>
      <c r="AU134" s="38"/>
    </row>
    <row r="135" spans="5:47" x14ac:dyDescent="0.3">
      <c r="E135" s="163"/>
      <c r="F135" s="162"/>
      <c r="G135" s="17"/>
      <c r="H135" s="17"/>
      <c r="I135" s="17"/>
      <c r="J135" s="17"/>
      <c r="L135" s="14"/>
      <c r="M135" s="14"/>
      <c r="O135" s="2"/>
      <c r="P135" s="2"/>
      <c r="Q135"/>
      <c r="R135"/>
      <c r="S135"/>
      <c r="T135"/>
      <c r="U135"/>
      <c r="V135"/>
      <c r="W135"/>
      <c r="X135" s="64"/>
      <c r="Y135"/>
      <c r="Z135"/>
      <c r="AA135"/>
      <c r="AB135"/>
      <c r="AC135"/>
      <c r="AD135"/>
      <c r="AE135"/>
      <c r="AF135"/>
      <c r="AG135"/>
      <c r="AH135"/>
      <c r="AI135"/>
      <c r="AO135" s="165"/>
      <c r="AP135" s="164"/>
      <c r="AQ135" s="38"/>
      <c r="AR135" s="38"/>
      <c r="AS135" s="38"/>
      <c r="AT135" s="38"/>
      <c r="AU135" s="38"/>
    </row>
    <row r="136" spans="5:47" x14ac:dyDescent="0.3">
      <c r="E136" s="163"/>
      <c r="F136" s="162"/>
      <c r="G136" s="17"/>
      <c r="H136" s="17"/>
      <c r="I136" s="17"/>
      <c r="J136" s="17"/>
      <c r="L136" s="14"/>
      <c r="M136" s="14"/>
      <c r="O136" s="2"/>
      <c r="P136" s="2"/>
      <c r="Q136"/>
      <c r="R136"/>
      <c r="S136"/>
      <c r="T136"/>
      <c r="U136"/>
      <c r="V136"/>
      <c r="W136"/>
      <c r="X136" s="64"/>
      <c r="Y136"/>
      <c r="Z136"/>
      <c r="AA136"/>
      <c r="AB136"/>
      <c r="AC136"/>
      <c r="AD136"/>
      <c r="AE136"/>
      <c r="AF136"/>
      <c r="AG136"/>
      <c r="AH136"/>
      <c r="AI136"/>
      <c r="AO136" s="165"/>
      <c r="AP136" s="164"/>
      <c r="AQ136" s="38"/>
      <c r="AR136" s="38"/>
      <c r="AS136" s="38"/>
      <c r="AT136" s="38"/>
      <c r="AU136" s="38"/>
    </row>
    <row r="137" spans="5:47" x14ac:dyDescent="0.3">
      <c r="E137" s="163"/>
      <c r="F137" s="162"/>
      <c r="G137" s="17"/>
      <c r="H137" s="17"/>
      <c r="I137" s="17"/>
      <c r="J137" s="17"/>
      <c r="L137" s="14"/>
      <c r="M137" s="14"/>
      <c r="O137" s="2"/>
      <c r="P137" s="2"/>
      <c r="Q137"/>
      <c r="R137"/>
      <c r="S137"/>
      <c r="T137"/>
      <c r="U137"/>
      <c r="V137"/>
      <c r="W137"/>
      <c r="X137" s="64"/>
      <c r="Y137"/>
      <c r="Z137"/>
      <c r="AA137"/>
      <c r="AB137"/>
      <c r="AC137"/>
      <c r="AD137"/>
      <c r="AE137"/>
      <c r="AF137"/>
      <c r="AG137"/>
      <c r="AH137"/>
      <c r="AI137"/>
      <c r="AO137" s="165"/>
      <c r="AP137" s="164"/>
      <c r="AQ137" s="38"/>
      <c r="AR137" s="38"/>
      <c r="AS137" s="38"/>
      <c r="AT137" s="38"/>
      <c r="AU137" s="38"/>
    </row>
    <row r="138" spans="5:47" x14ac:dyDescent="0.3">
      <c r="E138" s="163"/>
      <c r="F138" s="162"/>
      <c r="G138" s="17"/>
      <c r="H138" s="17"/>
      <c r="I138" s="17"/>
      <c r="J138" s="17"/>
      <c r="L138" s="14"/>
      <c r="M138" s="14"/>
      <c r="O138" s="2"/>
      <c r="P138" s="2"/>
      <c r="Q138"/>
      <c r="R138"/>
      <c r="S138"/>
      <c r="T138"/>
      <c r="U138"/>
      <c r="V138"/>
      <c r="W138" s="64"/>
      <c r="X138" s="64"/>
      <c r="Y138"/>
      <c r="Z138"/>
      <c r="AA138"/>
      <c r="AB138"/>
      <c r="AC138"/>
      <c r="AD138"/>
      <c r="AE138"/>
      <c r="AF138"/>
      <c r="AG138"/>
      <c r="AH138"/>
      <c r="AI138"/>
      <c r="AO138" s="165"/>
      <c r="AP138" s="164"/>
      <c r="AQ138" s="38"/>
      <c r="AR138" s="38"/>
      <c r="AS138" s="38"/>
      <c r="AT138" s="38"/>
      <c r="AU138" s="38"/>
    </row>
    <row r="139" spans="5:47" x14ac:dyDescent="0.3">
      <c r="E139" s="163"/>
      <c r="F139" s="162"/>
      <c r="G139" s="17"/>
      <c r="H139" s="17"/>
      <c r="I139" s="17"/>
      <c r="J139" s="17"/>
      <c r="L139" s="14"/>
      <c r="M139" s="14"/>
      <c r="O139"/>
      <c r="P139" s="2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O139" s="165"/>
      <c r="AP139" s="164"/>
      <c r="AQ139" s="38"/>
      <c r="AR139" s="38"/>
      <c r="AS139" s="38"/>
      <c r="AT139" s="38"/>
      <c r="AU139" s="38"/>
    </row>
    <row r="140" spans="5:47" x14ac:dyDescent="0.3">
      <c r="E140" s="163"/>
      <c r="F140" s="162"/>
      <c r="G140" s="17"/>
      <c r="H140" s="17"/>
      <c r="I140" s="17"/>
      <c r="J140" s="17"/>
      <c r="L140" s="14"/>
      <c r="M140" s="14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O140" s="165"/>
      <c r="AP140" s="164"/>
      <c r="AQ140" s="38"/>
      <c r="AR140" s="38"/>
      <c r="AS140" s="38"/>
      <c r="AT140" s="38"/>
      <c r="AU140" s="38"/>
    </row>
    <row r="141" spans="5:47" x14ac:dyDescent="0.3">
      <c r="E141" s="163"/>
      <c r="F141" s="162"/>
      <c r="G141" s="17"/>
      <c r="H141" s="17"/>
      <c r="I141" s="17"/>
      <c r="J141" s="17"/>
      <c r="L141" s="14"/>
      <c r="M141" s="14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O141" s="165"/>
      <c r="AP141" s="164"/>
      <c r="AQ141" s="38"/>
      <c r="AR141" s="38"/>
      <c r="AS141" s="38"/>
      <c r="AT141" s="38"/>
      <c r="AU141" s="38"/>
    </row>
    <row r="142" spans="5:47" x14ac:dyDescent="0.3">
      <c r="E142" s="163"/>
      <c r="F142" s="162"/>
      <c r="G142" s="17"/>
      <c r="H142" s="17"/>
      <c r="I142" s="17"/>
      <c r="J142" s="17"/>
      <c r="L142" s="14"/>
      <c r="M142" s="14"/>
      <c r="O142"/>
      <c r="P142"/>
      <c r="Q142"/>
      <c r="R142"/>
      <c r="S142"/>
      <c r="T142"/>
      <c r="U142"/>
      <c r="V142"/>
      <c r="W142" s="64"/>
      <c r="X142" s="51"/>
      <c r="Y142"/>
      <c r="Z142"/>
      <c r="AA142"/>
      <c r="AB142"/>
      <c r="AC142"/>
      <c r="AD142"/>
      <c r="AE142"/>
      <c r="AF142"/>
      <c r="AG142"/>
      <c r="AH142"/>
      <c r="AI142"/>
      <c r="AO142" s="165"/>
      <c r="AP142" s="164"/>
      <c r="AQ142" s="38"/>
      <c r="AR142" s="38"/>
      <c r="AS142" s="38"/>
      <c r="AT142" s="38"/>
      <c r="AU142" s="38"/>
    </row>
    <row r="143" spans="5:47" x14ac:dyDescent="0.3">
      <c r="E143" s="163"/>
      <c r="F143" s="162"/>
      <c r="G143" s="17"/>
      <c r="H143" s="17"/>
      <c r="I143" s="17"/>
      <c r="J143" s="17"/>
      <c r="L143" s="14"/>
      <c r="M143" s="14"/>
      <c r="O143"/>
      <c r="P143"/>
      <c r="Q143"/>
      <c r="R143"/>
      <c r="S143"/>
      <c r="T143"/>
      <c r="U143"/>
      <c r="V143"/>
      <c r="W143" s="64"/>
      <c r="X143" s="51"/>
      <c r="Y143"/>
      <c r="Z143"/>
      <c r="AA143"/>
      <c r="AB143"/>
      <c r="AC143"/>
      <c r="AD143"/>
      <c r="AE143"/>
      <c r="AF143"/>
      <c r="AG143"/>
      <c r="AH143"/>
      <c r="AI143"/>
    </row>
    <row r="144" spans="5:47" x14ac:dyDescent="0.3">
      <c r="E144" s="163"/>
      <c r="F144" s="162"/>
      <c r="G144" s="17"/>
      <c r="H144" s="17"/>
      <c r="I144" s="17"/>
      <c r="J144" s="17"/>
      <c r="L144" s="14"/>
      <c r="M144" s="14"/>
      <c r="O144"/>
      <c r="P144"/>
      <c r="Q144" s="2"/>
      <c r="R144"/>
      <c r="S144"/>
      <c r="T144"/>
      <c r="U144"/>
      <c r="V144"/>
      <c r="W144" s="64"/>
      <c r="X144" s="51"/>
      <c r="Y144"/>
      <c r="Z144"/>
      <c r="AA144"/>
      <c r="AB144"/>
      <c r="AC144"/>
      <c r="AD144"/>
      <c r="AE144"/>
      <c r="AF144"/>
      <c r="AG144"/>
      <c r="AH144"/>
      <c r="AI144"/>
    </row>
    <row r="145" spans="5:35" x14ac:dyDescent="0.3">
      <c r="E145" s="163"/>
      <c r="F145" s="162"/>
      <c r="G145" s="17"/>
      <c r="H145" s="17"/>
      <c r="I145" s="17"/>
      <c r="J145" s="17"/>
      <c r="L145" s="14"/>
      <c r="M145" s="14"/>
      <c r="O145"/>
      <c r="P145"/>
      <c r="Q145"/>
      <c r="R145"/>
      <c r="S145"/>
      <c r="T145"/>
      <c r="U145"/>
      <c r="V145"/>
      <c r="W145" s="64"/>
      <c r="X145" s="51"/>
      <c r="Y145"/>
      <c r="Z145"/>
      <c r="AA145"/>
      <c r="AB145"/>
      <c r="AC145"/>
      <c r="AD145"/>
      <c r="AE145"/>
      <c r="AF145"/>
      <c r="AG145"/>
      <c r="AH145"/>
      <c r="AI145"/>
    </row>
    <row r="146" spans="5:35" x14ac:dyDescent="0.3">
      <c r="E146" s="163"/>
      <c r="F146" s="162"/>
      <c r="G146" s="17"/>
      <c r="H146" s="17"/>
      <c r="I146" s="17"/>
      <c r="J146" s="17"/>
      <c r="L146" s="14"/>
      <c r="M146" s="14"/>
      <c r="O146"/>
      <c r="P146"/>
      <c r="Q146"/>
      <c r="R146"/>
      <c r="S146"/>
      <c r="T146"/>
      <c r="U146"/>
      <c r="V146"/>
      <c r="W146" s="64"/>
      <c r="X146" s="51"/>
      <c r="Y146"/>
      <c r="Z146"/>
      <c r="AA146"/>
      <c r="AB146"/>
      <c r="AC146"/>
      <c r="AD146"/>
      <c r="AE146"/>
      <c r="AF146"/>
      <c r="AG146"/>
      <c r="AH146"/>
      <c r="AI146"/>
    </row>
    <row r="147" spans="5:35" x14ac:dyDescent="0.3">
      <c r="E147" s="38"/>
      <c r="F147" s="38"/>
      <c r="G147" s="38"/>
      <c r="H147" s="38"/>
      <c r="I147" s="38"/>
      <c r="J147" s="38"/>
      <c r="K147" s="38"/>
      <c r="L147" s="161"/>
      <c r="M147"/>
      <c r="N147"/>
      <c r="O147"/>
      <c r="P147"/>
      <c r="Q147"/>
      <c r="R147"/>
      <c r="S147"/>
      <c r="T147"/>
      <c r="U147"/>
      <c r="V147"/>
      <c r="W147" s="64"/>
      <c r="X147" s="51"/>
      <c r="Y147"/>
      <c r="Z147"/>
      <c r="AA147"/>
      <c r="AB147"/>
      <c r="AC147"/>
      <c r="AD147"/>
      <c r="AE147"/>
      <c r="AF147"/>
      <c r="AG147"/>
      <c r="AH147"/>
      <c r="AI147"/>
    </row>
    <row r="148" spans="5:35" x14ac:dyDescent="0.3">
      <c r="E148" s="38"/>
      <c r="F148" s="38"/>
      <c r="G148" s="38"/>
      <c r="H148" s="38"/>
      <c r="I148" s="38"/>
      <c r="J148" s="38"/>
      <c r="K148" s="38"/>
      <c r="L148" s="161"/>
      <c r="M148"/>
      <c r="N148"/>
      <c r="O148"/>
      <c r="P148"/>
      <c r="Q148"/>
      <c r="R148"/>
      <c r="S148"/>
      <c r="T148"/>
      <c r="U148"/>
      <c r="V148"/>
      <c r="W148" s="64"/>
      <c r="X148" s="51"/>
      <c r="Y148"/>
      <c r="Z148"/>
      <c r="AA148"/>
      <c r="AB148"/>
      <c r="AC148"/>
      <c r="AD148"/>
      <c r="AE148"/>
      <c r="AF148"/>
      <c r="AG148"/>
      <c r="AH148"/>
      <c r="AI148"/>
    </row>
  </sheetData>
  <sheetProtection sheet="1" objects="1" scenarios="1"/>
  <protectedRanges>
    <protectedRange sqref="D6:H7" name="Input"/>
  </protectedRanges>
  <mergeCells count="9">
    <mergeCell ref="E83:K83"/>
    <mergeCell ref="AO108:AU108"/>
    <mergeCell ref="AO109:AO110"/>
    <mergeCell ref="AP109:AP110"/>
    <mergeCell ref="AQ109:AQ110"/>
    <mergeCell ref="AR109:AR110"/>
    <mergeCell ref="AS109:AS110"/>
    <mergeCell ref="AT109:AT110"/>
    <mergeCell ref="AU109:AU110"/>
  </mergeCells>
  <conditionalFormatting sqref="A9">
    <cfRule type="expression" dxfId="25" priority="7">
      <formula>A9&lt;0</formula>
    </cfRule>
  </conditionalFormatting>
  <conditionalFormatting sqref="B9">
    <cfRule type="expression" dxfId="24" priority="6">
      <formula>B9&lt;0</formula>
    </cfRule>
  </conditionalFormatting>
  <conditionalFormatting sqref="B10 B12:F12">
    <cfRule type="notContainsBlanks" dxfId="23" priority="4">
      <formula>LEN(TRIM(B10))&gt;0</formula>
    </cfRule>
  </conditionalFormatting>
  <conditionalFormatting sqref="C10">
    <cfRule type="expression" dxfId="22" priority="3">
      <formula>C10&lt;0</formula>
    </cfRule>
  </conditionalFormatting>
  <conditionalFormatting sqref="D10">
    <cfRule type="expression" dxfId="21" priority="2">
      <formula>D10&lt;0</formula>
    </cfRule>
  </conditionalFormatting>
  <conditionalFormatting sqref="E10">
    <cfRule type="expression" dxfId="20" priority="1">
      <formula>E10&lt;0</formula>
    </cfRule>
  </conditionalFormatting>
  <dataValidations count="4">
    <dataValidation type="decimal" allowBlank="1" showInputMessage="1" showErrorMessage="1" promptTitle="Range" prompt="Pick an interest rate between 0.01% and 5.00%" sqref="F7" xr:uid="{AE9B15D9-71D4-4001-B8A9-3EBFF278A1F2}">
      <formula1>0.0001</formula1>
      <formula2>0.05</formula2>
    </dataValidation>
    <dataValidation type="decimal" allowBlank="1" showInputMessage="1" showErrorMessage="1" promptTitle="Range" prompt="Please enter a growth rate between 0% to 20%" sqref="G7" xr:uid="{4B198E26-E6F8-472B-8ABD-4ED4B0E51E7B}">
      <formula1>0</formula1>
      <formula2>0.2</formula2>
    </dataValidation>
    <dataValidation type="date" allowBlank="1" showInputMessage="1" showErrorMessage="1" sqref="A6" xr:uid="{FF213F64-E789-47AB-9C8F-E75765F2CBE7}">
      <formula1>#REF!</formula1>
      <formula2>#REF!</formula2>
    </dataValidation>
    <dataValidation type="whole" allowBlank="1" showInputMessage="1" showErrorMessage="1" promptTitle="Range" prompt="Select a year between 1989 and 2030" sqref="D7" xr:uid="{9CADD5EE-747B-43F2-A7D2-31A3E063C5D2}">
      <formula1>1989</formula1>
      <formula2>2030</formula2>
    </dataValidation>
  </dataValidations>
  <printOptions horizontalCentered="1"/>
  <pageMargins left="0.7" right="0.7" top="0.75" bottom="0.75" header="0.3" footer="0.3"/>
  <pageSetup scale="82" orientation="landscape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9F863A-7A40-4775-8D14-BE1E7FB9CFC7}">
          <x14:formula1>
            <xm:f>'Hongbao demand'!$V$20:$V$31</xm:f>
          </x14:formula1>
          <xm:sqref>E7</xm:sqref>
        </x14:dataValidation>
        <x14:dataValidation type="date" allowBlank="1" showInputMessage="1" showErrorMessage="1" xr:uid="{0E9A75DA-75E8-4F7E-B735-6FCE22D7E2AE}">
          <x14:formula1>
            <xm:f>'Model-Data'!A7</xm:f>
          </x14:formula1>
          <x14:formula2>
            <xm:f>'Model-Data'!A510</xm:f>
          </x14:formula2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71192-FCAB-488F-BD02-33218B7C9C5E}">
  <sheetPr codeName="Sheet15">
    <tabColor theme="7"/>
    <pageSetUpPr fitToPage="1"/>
  </sheetPr>
  <dimension ref="A2:X42"/>
  <sheetViews>
    <sheetView showGridLines="0" showRowColHeaders="0" zoomScale="70" zoomScaleNormal="70" workbookViewId="0"/>
  </sheetViews>
  <sheetFormatPr defaultColWidth="8.6640625" defaultRowHeight="15.6" x14ac:dyDescent="0.3"/>
  <cols>
    <col min="1" max="1" width="2.6640625" style="112" customWidth="1"/>
    <col min="2" max="2" width="3.109375" style="112" customWidth="1"/>
    <col min="3" max="3" width="9" style="112" customWidth="1"/>
    <col min="4" max="5" width="20.6640625" style="112" customWidth="1"/>
    <col min="6" max="6" width="27.6640625" style="112" customWidth="1"/>
    <col min="7" max="7" width="20.6640625" style="112" customWidth="1"/>
    <col min="8" max="8" width="22.6640625" style="112" customWidth="1"/>
    <col min="9" max="9" width="8.109375" style="112" customWidth="1"/>
    <col min="10" max="10" width="2.109375" style="112" customWidth="1"/>
    <col min="11" max="11" width="5.6640625" style="112" customWidth="1"/>
    <col min="12" max="12" width="19.109375" style="112" bestFit="1" customWidth="1"/>
    <col min="13" max="15" width="20.44140625" style="112" customWidth="1"/>
    <col min="16" max="16" width="11.44140625" style="112" bestFit="1" customWidth="1"/>
    <col min="17" max="17" width="6.109375" style="112" customWidth="1"/>
    <col min="18" max="22" width="10.44140625" style="112" customWidth="1"/>
    <col min="23" max="16384" width="8.6640625" style="112"/>
  </cols>
  <sheetData>
    <row r="2" spans="1:24" ht="34.799999999999997" x14ac:dyDescent="0.3">
      <c r="B2" s="114" t="s">
        <v>8</v>
      </c>
      <c r="F2" s="213">
        <f>LOOKUP(DATE(D7, MONTH(E7), 1), 'Model-Data'!A7:A510, 'Model-Data'!M7:M510)</f>
        <v>1E-4</v>
      </c>
      <c r="G2" s="183"/>
      <c r="H2" s="214">
        <f>LOOKUP(DATE(D7, MONTH(E7), 1), 'Model-Data'!A7:A510, 'Model-Data'!E7:E510)</f>
        <v>886.1416234515425</v>
      </c>
      <c r="I2" s="183"/>
    </row>
    <row r="3" spans="1:24" ht="10.35" customHeight="1" x14ac:dyDescent="0.3">
      <c r="A3" s="113"/>
      <c r="C3" s="115"/>
      <c r="E3" s="115"/>
      <c r="F3" s="116"/>
    </row>
    <row r="4" spans="1:24" x14ac:dyDescent="0.3">
      <c r="C4" s="125"/>
      <c r="D4" s="125"/>
      <c r="E4" s="125"/>
      <c r="F4" s="125"/>
      <c r="G4" s="125"/>
      <c r="H4" s="125"/>
      <c r="I4" s="125"/>
    </row>
    <row r="5" spans="1:24" x14ac:dyDescent="0.3">
      <c r="C5" s="130"/>
      <c r="D5" s="125"/>
      <c r="E5" s="125"/>
      <c r="F5" s="134" t="s">
        <v>1</v>
      </c>
      <c r="G5" s="134" t="s">
        <v>1</v>
      </c>
      <c r="H5" s="134" t="s">
        <v>2</v>
      </c>
      <c r="I5" s="125"/>
    </row>
    <row r="6" spans="1:24" s="117" customFormat="1" ht="17.399999999999999" x14ac:dyDescent="0.3">
      <c r="C6" s="126"/>
      <c r="D6" s="152" t="s">
        <v>3</v>
      </c>
      <c r="E6" s="152" t="s">
        <v>4</v>
      </c>
      <c r="F6" s="152" t="s">
        <v>5</v>
      </c>
      <c r="G6" s="152" t="s">
        <v>6</v>
      </c>
      <c r="H6" s="132" t="s">
        <v>7</v>
      </c>
      <c r="I6" s="126"/>
      <c r="L6" s="112"/>
    </row>
    <row r="7" spans="1:24" ht="23.4" customHeight="1" x14ac:dyDescent="0.3">
      <c r="A7" s="118"/>
      <c r="B7" s="119"/>
      <c r="C7" s="127"/>
      <c r="D7" s="154">
        <v>2022</v>
      </c>
      <c r="E7" s="155">
        <v>7366</v>
      </c>
      <c r="F7" s="143">
        <v>1E-4</v>
      </c>
      <c r="G7" s="143">
        <v>0.05</v>
      </c>
      <c r="H7" s="157">
        <v>886.1416234515425</v>
      </c>
      <c r="I7" s="125"/>
    </row>
    <row r="8" spans="1:24" ht="17.399999999999999" x14ac:dyDescent="0.3">
      <c r="A8" s="118"/>
      <c r="B8" s="119"/>
      <c r="C8" s="127"/>
      <c r="D8" s="146"/>
      <c r="E8" s="125"/>
      <c r="F8" s="269"/>
      <c r="G8" s="148"/>
      <c r="H8" s="149"/>
      <c r="I8" s="125"/>
    </row>
    <row r="9" spans="1:24" x14ac:dyDescent="0.3">
      <c r="A9" s="120"/>
      <c r="B9" s="121"/>
      <c r="C9" s="128"/>
      <c r="D9" s="150"/>
      <c r="E9" s="151"/>
      <c r="F9" s="147"/>
      <c r="G9" s="125"/>
      <c r="H9" s="125"/>
      <c r="I9" s="125"/>
    </row>
    <row r="10" spans="1:24" x14ac:dyDescent="0.3">
      <c r="A10" s="120"/>
      <c r="B10" s="122"/>
      <c r="C10" s="129"/>
      <c r="D10" s="145"/>
      <c r="E10" s="145"/>
      <c r="F10" s="125"/>
      <c r="G10" s="125"/>
      <c r="H10" s="125"/>
      <c r="I10" s="125"/>
    </row>
    <row r="11" spans="1:24" x14ac:dyDescent="0.3">
      <c r="B11" s="123"/>
      <c r="C11" s="123"/>
      <c r="D11" s="123"/>
      <c r="E11" s="123"/>
    </row>
    <row r="12" spans="1:24" ht="22.8" x14ac:dyDescent="0.4">
      <c r="A12" s="111"/>
    </row>
    <row r="13" spans="1:24" ht="24.6" x14ac:dyDescent="0.3">
      <c r="A13" s="124"/>
      <c r="B13" s="123" t="s">
        <v>9</v>
      </c>
      <c r="C13" s="123"/>
      <c r="D13" s="123"/>
      <c r="E13" s="123"/>
      <c r="F13" s="123"/>
    </row>
    <row r="14" spans="1:24" x14ac:dyDescent="0.3">
      <c r="C14" s="125"/>
      <c r="D14" s="125"/>
      <c r="E14" s="125"/>
      <c r="F14" s="125"/>
      <c r="G14" s="125"/>
      <c r="H14" s="125"/>
      <c r="I14" s="125"/>
      <c r="K14" s="125"/>
      <c r="L14" s="125"/>
      <c r="M14" s="125"/>
      <c r="N14" s="125"/>
      <c r="O14" s="125"/>
      <c r="P14" s="125"/>
      <c r="Q14" s="125"/>
    </row>
    <row r="15" spans="1:24" ht="25.8" x14ac:dyDescent="0.4">
      <c r="C15" s="125"/>
      <c r="D15" s="125"/>
      <c r="E15" s="125"/>
      <c r="F15" s="192" t="s">
        <v>178</v>
      </c>
      <c r="G15" s="125"/>
      <c r="H15" s="125"/>
      <c r="I15" s="125"/>
      <c r="K15" s="125"/>
      <c r="L15" s="125"/>
      <c r="M15" s="125"/>
      <c r="N15" s="204" t="s">
        <v>10</v>
      </c>
      <c r="O15" s="125"/>
      <c r="P15" s="125"/>
      <c r="Q15" s="125"/>
      <c r="R15" s="219"/>
      <c r="S15" s="219"/>
      <c r="T15" s="219"/>
      <c r="U15" s="219"/>
    </row>
    <row r="16" spans="1:24" ht="23.1" customHeight="1" x14ac:dyDescent="0.3">
      <c r="C16" s="125"/>
      <c r="D16" s="125"/>
      <c r="E16" s="125"/>
      <c r="F16" s="125"/>
      <c r="G16" s="125"/>
      <c r="H16" s="125"/>
      <c r="I16" s="125"/>
      <c r="K16" s="125"/>
      <c r="L16" s="125"/>
      <c r="M16" s="216"/>
      <c r="N16" s="216"/>
      <c r="O16" s="125"/>
      <c r="P16" s="125"/>
      <c r="Q16" s="125"/>
      <c r="T16" s="220"/>
      <c r="U16" s="220"/>
      <c r="X16" s="188"/>
    </row>
    <row r="17" spans="3:21" ht="17.850000000000001" customHeight="1" x14ac:dyDescent="0.3">
      <c r="C17" s="125"/>
      <c r="D17" s="125"/>
      <c r="E17" s="125"/>
      <c r="F17" s="125"/>
      <c r="G17" s="125"/>
      <c r="H17" s="125"/>
      <c r="I17" s="125"/>
      <c r="K17" s="125"/>
      <c r="L17" s="125"/>
      <c r="M17" s="125"/>
      <c r="N17" s="189"/>
      <c r="O17" s="125"/>
      <c r="P17" s="125"/>
      <c r="Q17" s="125"/>
      <c r="S17" s="220"/>
      <c r="T17" s="220"/>
      <c r="U17" s="220"/>
    </row>
    <row r="18" spans="3:21" ht="20.85" customHeight="1" x14ac:dyDescent="0.35">
      <c r="C18" s="125"/>
      <c r="D18" s="125"/>
      <c r="E18" s="125"/>
      <c r="F18" s="125"/>
      <c r="G18" s="125"/>
      <c r="H18" s="125"/>
      <c r="I18" s="125"/>
      <c r="K18" s="125"/>
      <c r="L18" s="223"/>
      <c r="M18" s="224"/>
      <c r="N18" s="223"/>
      <c r="O18" s="224"/>
      <c r="P18" s="125"/>
      <c r="Q18" s="125"/>
    </row>
    <row r="19" spans="3:21" ht="15.6" customHeight="1" x14ac:dyDescent="0.3">
      <c r="C19" s="125"/>
      <c r="D19" s="125"/>
      <c r="E19" s="125"/>
      <c r="F19" s="125"/>
      <c r="G19" s="125"/>
      <c r="H19" s="125"/>
      <c r="I19" s="125"/>
      <c r="K19" s="125"/>
      <c r="L19" s="218"/>
      <c r="M19" s="218"/>
      <c r="N19" s="218"/>
      <c r="O19" s="218"/>
      <c r="P19" s="125"/>
      <c r="Q19" s="125"/>
      <c r="T19" s="221"/>
      <c r="U19" s="221"/>
    </row>
    <row r="20" spans="3:21" ht="15.6" customHeight="1" x14ac:dyDescent="0.3">
      <c r="C20" s="125"/>
      <c r="D20" s="125"/>
      <c r="E20" s="125"/>
      <c r="F20" s="125"/>
      <c r="G20" s="125"/>
      <c r="H20" s="125"/>
      <c r="I20" s="125"/>
      <c r="K20" s="125"/>
      <c r="L20" s="218"/>
      <c r="M20" s="218"/>
      <c r="N20" s="218"/>
      <c r="O20" s="125"/>
      <c r="P20" s="125"/>
      <c r="Q20" s="125"/>
      <c r="S20" s="221"/>
      <c r="T20" s="221"/>
      <c r="U20" s="221"/>
    </row>
    <row r="21" spans="3:21" x14ac:dyDescent="0.3">
      <c r="C21" s="125"/>
      <c r="D21" s="125"/>
      <c r="E21" s="125"/>
      <c r="F21" s="125"/>
      <c r="G21" s="125"/>
      <c r="H21" s="125"/>
      <c r="I21" s="187"/>
      <c r="J21" s="186"/>
      <c r="K21" s="125"/>
      <c r="L21" s="125"/>
      <c r="M21" s="125"/>
      <c r="N21" s="125"/>
      <c r="O21" s="125"/>
      <c r="P21" s="125"/>
      <c r="Q21" s="125"/>
    </row>
    <row r="22" spans="3:21" ht="41.1" customHeight="1" x14ac:dyDescent="0.3">
      <c r="C22" s="125"/>
      <c r="D22" s="125"/>
      <c r="E22" s="125"/>
      <c r="F22" s="125"/>
      <c r="G22" s="125"/>
      <c r="H22" s="231" t="s">
        <v>11</v>
      </c>
      <c r="I22" s="187"/>
      <c r="J22" s="186"/>
      <c r="K22" s="125"/>
      <c r="L22" s="125"/>
      <c r="M22" s="125"/>
      <c r="N22" s="125"/>
      <c r="O22" s="228" t="s">
        <v>12</v>
      </c>
      <c r="P22" s="217">
        <f>GETPIVOTDATA("Sum of CNY",'MM Pivot'!$A$3,"Month",MONTH($E$7),"Quarters",ROUNDUP(MONTH($E$7)/3,0),"Years",$D$7)</f>
        <v>0</v>
      </c>
      <c r="Q22" s="125"/>
    </row>
    <row r="23" spans="3:21" ht="41.1" customHeight="1" x14ac:dyDescent="0.35">
      <c r="C23" s="125"/>
      <c r="D23" s="125"/>
      <c r="E23" s="125"/>
      <c r="F23" s="125"/>
      <c r="G23" s="125"/>
      <c r="H23" s="199">
        <f>GETPIVOTDATA("Sum of Money Demand",'MM Pivot'!$A$3,"Month",MONTH($E$7),"Quarters",ROUNDUP(MONTH($E$7)/3, 0),"Years",$D$7)</f>
        <v>703.80205770942257</v>
      </c>
      <c r="I23" s="187"/>
      <c r="J23" s="186"/>
      <c r="K23" s="125"/>
      <c r="L23" s="125"/>
      <c r="M23" s="125"/>
      <c r="N23" s="125"/>
      <c r="O23" s="229" t="s">
        <v>13</v>
      </c>
      <c r="P23" s="217">
        <f>GETPIVOTDATA("Sum of Currency Notes in Circulation",'MM Pivot'!$A$3,"Month",MONTH($E$7),"Quarters",ROUNDUP(MONTH($E$7)/3,0),"Years",$D$7)</f>
        <v>675.49583533921634</v>
      </c>
      <c r="Q23" s="125"/>
    </row>
    <row r="24" spans="3:21" ht="41.1" customHeight="1" x14ac:dyDescent="0.35">
      <c r="C24" s="125"/>
      <c r="D24" s="125"/>
      <c r="E24" s="125"/>
      <c r="F24" s="125"/>
      <c r="G24" s="125"/>
      <c r="H24" s="185"/>
      <c r="I24" s="187"/>
      <c r="J24" s="186"/>
      <c r="K24" s="125"/>
      <c r="L24" s="125"/>
      <c r="M24" s="125"/>
      <c r="N24" s="125"/>
      <c r="O24" s="277" t="s">
        <v>15</v>
      </c>
      <c r="P24" s="217">
        <f>GETPIVOTDATA("Sum of Currency Notes in Storage2",'MM Pivot'!$A$3,"Month",MONTH($E$7),"Quarters",ROUNDUP(MONTH($E$7)/3,0),"Years", $D$7)</f>
        <v>14.233678810953373</v>
      </c>
      <c r="Q24" s="125"/>
    </row>
    <row r="25" spans="3:21" ht="41.1" customHeight="1" x14ac:dyDescent="0.3">
      <c r="C25" s="125"/>
      <c r="D25" s="125"/>
      <c r="E25" s="125"/>
      <c r="F25" s="125"/>
      <c r="G25" s="125"/>
      <c r="H25" s="194"/>
      <c r="I25" s="187"/>
      <c r="J25" s="186"/>
      <c r="K25" s="125"/>
      <c r="L25" s="125"/>
      <c r="M25" s="125"/>
      <c r="N25" s="125"/>
      <c r="O25" s="272" t="s">
        <v>14</v>
      </c>
      <c r="P25" s="217">
        <f>MAX(0,GETPIVOTDATA("Sum of New Money Demand",'MM Pivot'!$A$3,"Month",MONTH($E$7),"Quarters",ROUNDUP(MONTH($E$7)/3,0),"Years",$D$7))</f>
        <v>14.072543559252802</v>
      </c>
      <c r="Q25" s="125"/>
    </row>
    <row r="26" spans="3:21" ht="41.1" customHeight="1" x14ac:dyDescent="0.3">
      <c r="C26" s="125"/>
      <c r="D26" s="125"/>
      <c r="E26" s="125"/>
      <c r="F26" s="125"/>
      <c r="G26" s="125"/>
      <c r="H26" s="230" t="s">
        <v>16</v>
      </c>
      <c r="I26" s="187"/>
      <c r="J26" s="186"/>
      <c r="K26" s="125"/>
      <c r="L26" s="125"/>
      <c r="M26" s="125"/>
      <c r="N26" s="125"/>
      <c r="O26" s="125"/>
      <c r="P26" s="125"/>
      <c r="Q26" s="125"/>
    </row>
    <row r="27" spans="3:21" ht="41.1" customHeight="1" x14ac:dyDescent="0.3">
      <c r="C27" s="125"/>
      <c r="D27" s="125"/>
      <c r="E27" s="125"/>
      <c r="F27" s="125"/>
      <c r="G27" s="125"/>
      <c r="H27" s="199">
        <f>GETPIVOTDATA("Sum of Money Printed (Change in MS)",'MM Pivot'!$A$3,"Month",MONTH($E$7),"Quarters",ROUNDUP(MONTH($E$7)/3,0),"Years",$D$7)</f>
        <v>886.1416234515425</v>
      </c>
      <c r="I27" s="187"/>
      <c r="J27" s="186"/>
      <c r="K27" s="125"/>
      <c r="L27" s="125"/>
      <c r="M27" s="125"/>
      <c r="N27" s="125"/>
      <c r="O27" s="125"/>
      <c r="P27" s="125"/>
      <c r="Q27" s="125"/>
    </row>
    <row r="28" spans="3:21" ht="20.399999999999999" x14ac:dyDescent="0.3">
      <c r="C28" s="125"/>
      <c r="D28" s="125"/>
      <c r="E28" s="125"/>
      <c r="F28" s="125"/>
      <c r="G28" s="125"/>
      <c r="H28" s="193"/>
      <c r="I28" s="187"/>
      <c r="J28" s="186"/>
      <c r="K28" s="125"/>
      <c r="L28" s="125"/>
      <c r="M28" s="125"/>
      <c r="N28" s="125"/>
      <c r="O28" s="125"/>
      <c r="P28" s="125"/>
      <c r="Q28" s="125"/>
    </row>
    <row r="29" spans="3:21" ht="15.75" customHeight="1" x14ac:dyDescent="0.3">
      <c r="C29" s="125"/>
      <c r="D29" s="125"/>
      <c r="E29" s="125"/>
      <c r="F29" s="125"/>
      <c r="G29" s="125"/>
      <c r="H29" s="125"/>
      <c r="I29" s="185"/>
      <c r="J29" s="184"/>
      <c r="K29" s="125"/>
      <c r="L29" s="125"/>
      <c r="M29" s="125"/>
      <c r="N29" s="125"/>
      <c r="O29" s="125"/>
      <c r="P29" s="125"/>
      <c r="Q29" s="125"/>
    </row>
    <row r="30" spans="3:21" ht="16.350000000000001" customHeight="1" x14ac:dyDescent="0.3">
      <c r="C30" s="125"/>
      <c r="D30" s="125"/>
      <c r="E30" s="125"/>
      <c r="F30" s="125"/>
      <c r="G30" s="125"/>
      <c r="H30" s="125"/>
      <c r="I30" s="185"/>
      <c r="J30" s="184"/>
      <c r="K30" s="125"/>
      <c r="L30" s="125"/>
      <c r="M30" s="125"/>
      <c r="N30" s="125"/>
      <c r="O30" s="125"/>
      <c r="P30" s="125"/>
      <c r="Q30" s="125"/>
    </row>
    <row r="31" spans="3:21" ht="15.6" customHeight="1" x14ac:dyDescent="0.3">
      <c r="C31" s="125"/>
      <c r="D31" s="125"/>
      <c r="E31" s="125"/>
      <c r="F31" s="125"/>
      <c r="G31" s="125"/>
      <c r="H31" s="125"/>
      <c r="I31" s="125"/>
      <c r="K31" s="125"/>
      <c r="L31" s="125"/>
      <c r="M31" s="125"/>
      <c r="N31" s="125"/>
      <c r="O31" s="125"/>
      <c r="P31" s="125"/>
      <c r="Q31" s="125"/>
    </row>
    <row r="32" spans="3:21" ht="31.35" customHeight="1" x14ac:dyDescent="0.4">
      <c r="M32" s="222"/>
      <c r="N32" s="222"/>
      <c r="T32" s="222"/>
      <c r="U32" s="222"/>
    </row>
    <row r="33" spans="11:21" ht="15.6" customHeight="1" x14ac:dyDescent="0.4">
      <c r="L33" s="222"/>
      <c r="M33" s="222"/>
      <c r="N33" s="222"/>
      <c r="S33" s="222"/>
      <c r="T33" s="222"/>
      <c r="U33" s="222"/>
    </row>
    <row r="34" spans="11:21" ht="15.6" customHeight="1" x14ac:dyDescent="0.3"/>
    <row r="35" spans="11:21" ht="15.6" customHeight="1" x14ac:dyDescent="0.3">
      <c r="M35" s="221"/>
      <c r="N35" s="221"/>
      <c r="R35" s="116"/>
      <c r="T35" s="221"/>
      <c r="U35" s="221"/>
    </row>
    <row r="36" spans="11:21" ht="20.25" customHeight="1" x14ac:dyDescent="0.3">
      <c r="K36" s="225"/>
      <c r="L36" s="221"/>
      <c r="M36" s="221"/>
      <c r="N36" s="221"/>
      <c r="O36" s="226"/>
      <c r="P36" s="226"/>
      <c r="Q36" s="226"/>
      <c r="R36" s="116"/>
      <c r="S36" s="221"/>
      <c r="T36" s="221"/>
      <c r="U36" s="221"/>
    </row>
    <row r="37" spans="11:21" ht="15.75" customHeight="1" x14ac:dyDescent="0.3">
      <c r="K37" s="225"/>
      <c r="L37" s="226"/>
      <c r="M37" s="227"/>
      <c r="N37" s="226"/>
      <c r="O37" s="226"/>
      <c r="P37" s="226"/>
      <c r="Q37" s="226"/>
    </row>
    <row r="41" spans="11:21" x14ac:dyDescent="0.3">
      <c r="L41" s="183"/>
      <c r="M41" s="183"/>
      <c r="N41" s="183"/>
      <c r="O41" s="183"/>
    </row>
    <row r="42" spans="11:21" x14ac:dyDescent="0.3">
      <c r="L42" s="183"/>
      <c r="M42" s="183"/>
      <c r="N42" s="183"/>
      <c r="O42" s="183"/>
    </row>
  </sheetData>
  <sheetProtection sheet="1" objects="1" scenarios="1"/>
  <protectedRanges>
    <protectedRange sqref="D6:H7" name="Range1"/>
  </protectedRanges>
  <conditionalFormatting sqref="B10">
    <cfRule type="expression" dxfId="19" priority="8">
      <formula>B10&lt;0</formula>
    </cfRule>
  </conditionalFormatting>
  <conditionalFormatting sqref="B11:E11 B13:F13">
    <cfRule type="notContainsBlanks" dxfId="18" priority="4">
      <formula>LEN(TRIM(B11))&gt;0</formula>
    </cfRule>
  </conditionalFormatting>
  <conditionalFormatting sqref="C10">
    <cfRule type="expression" dxfId="17" priority="3">
      <formula>C10&lt;0</formula>
    </cfRule>
  </conditionalFormatting>
  <conditionalFormatting sqref="D10">
    <cfRule type="expression" dxfId="16" priority="2">
      <formula>D10&lt;0</formula>
    </cfRule>
  </conditionalFormatting>
  <conditionalFormatting sqref="E10">
    <cfRule type="expression" dxfId="15" priority="1">
      <formula>E10&lt;0</formula>
    </cfRule>
  </conditionalFormatting>
  <dataValidations xWindow="185" yWindow="438" count="4">
    <dataValidation type="decimal" allowBlank="1" showInputMessage="1" showErrorMessage="1" promptTitle="Range" prompt="Pick an interest rate between 0.01% and 5.00%" sqref="F7" xr:uid="{1799FCA2-DE1A-4CE9-AC07-16F70686F920}">
      <formula1>0.0000001</formula1>
      <formula2>0.05</formula2>
    </dataValidation>
    <dataValidation type="decimal" allowBlank="1" showInputMessage="1" showErrorMessage="1" promptTitle="Range" prompt="Please enter a growth rate between 0% to 20%" sqref="G7" xr:uid="{8CFE457E-C74B-42FC-9F5F-3EF5494DED05}">
      <formula1>0</formula1>
      <formula2>0.2</formula2>
    </dataValidation>
    <dataValidation type="whole" allowBlank="1" showInputMessage="1" showErrorMessage="1" promptTitle="Range" prompt="Select a year between 1989 and 2030" sqref="D7" xr:uid="{9B79D69F-0A2E-4D40-B0FB-3E360C69DCB9}">
      <formula1>1989</formula1>
      <formula2>2030</formula2>
    </dataValidation>
    <dataValidation allowBlank="1" showErrorMessage="1" sqref="D8:H8" xr:uid="{0AD1352B-6680-42C8-B1CB-F5D6416C5096}"/>
  </dataValidations>
  <printOptions horizontalCentered="1"/>
  <pageMargins left="0.7" right="0.7" top="0.75" bottom="0.75" header="0.3" footer="0.3"/>
  <pageSetup scale="82" orientation="landscape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85" yWindow="438" count="1">
        <x14:dataValidation type="list" allowBlank="1" showInputMessage="1" showErrorMessage="1" xr:uid="{BBE59F3A-5990-415D-8A36-E908BEB2F6ED}">
          <x14:formula1>
            <xm:f>'Hongbao demand'!$V$20:$V$31</xm:f>
          </x14:formula1>
          <xm:sqref>E7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95237-10C2-461C-8235-F5CB172DAAAA}">
  <sheetPr codeName="Sheet11">
    <tabColor theme="4"/>
    <pageSetUpPr fitToPage="1"/>
  </sheetPr>
  <dimension ref="A2:P40"/>
  <sheetViews>
    <sheetView showGridLines="0" showRowColHeaders="0" topLeftCell="A4" zoomScale="85" zoomScaleNormal="85" workbookViewId="0"/>
  </sheetViews>
  <sheetFormatPr defaultColWidth="8.6640625" defaultRowHeight="15.6" x14ac:dyDescent="0.3"/>
  <cols>
    <col min="1" max="1" width="2.6640625" style="112" customWidth="1"/>
    <col min="2" max="2" width="3.109375" style="112" customWidth="1"/>
    <col min="3" max="3" width="9" style="112" customWidth="1"/>
    <col min="4" max="8" width="20.6640625" style="112" customWidth="1"/>
    <col min="9" max="9" width="8.109375" style="112" customWidth="1"/>
    <col min="10" max="10" width="4" style="112" customWidth="1"/>
    <col min="11" max="11" width="2.6640625" style="112" customWidth="1"/>
    <col min="12" max="13" width="19.109375" style="112" customWidth="1"/>
    <col min="14" max="14" width="20.109375" style="112" customWidth="1"/>
    <col min="15" max="15" width="3.44140625" style="112" customWidth="1"/>
    <col min="16" max="16384" width="8.6640625" style="112"/>
  </cols>
  <sheetData>
    <row r="2" spans="1:16" ht="34.799999999999997" x14ac:dyDescent="0.3">
      <c r="B2" s="114" t="s">
        <v>17</v>
      </c>
      <c r="F2" s="213">
        <f>LOOKUP(DATE(D7, MONTH(E7), 1), 'Model-Data'!A7:A510, 'Model-Data'!M7:M510)</f>
        <v>1E-4</v>
      </c>
      <c r="G2" s="183"/>
      <c r="H2" s="214">
        <f>LOOKUP(DATE(D7, MONTH(E7), 1), 'Model-Data'!A7:A510, 'Model-Data'!E7:E510)</f>
        <v>886.1416234515425</v>
      </c>
    </row>
    <row r="3" spans="1:16" ht="10.35" customHeight="1" x14ac:dyDescent="0.3">
      <c r="A3" s="113"/>
      <c r="C3" s="115"/>
      <c r="E3" s="115"/>
      <c r="F3" s="215"/>
      <c r="G3" s="183"/>
      <c r="H3" s="183"/>
    </row>
    <row r="4" spans="1:16" x14ac:dyDescent="0.3">
      <c r="C4" s="125"/>
      <c r="D4" s="125"/>
      <c r="E4" s="125"/>
      <c r="F4" s="125"/>
      <c r="G4" s="125"/>
      <c r="H4" s="125"/>
      <c r="I4" s="125"/>
    </row>
    <row r="5" spans="1:16" x14ac:dyDescent="0.3">
      <c r="C5" s="130"/>
      <c r="D5" s="125"/>
      <c r="E5" s="125"/>
      <c r="F5" s="134" t="s">
        <v>1</v>
      </c>
      <c r="G5" s="134" t="s">
        <v>1</v>
      </c>
      <c r="H5" s="134" t="s">
        <v>2</v>
      </c>
      <c r="I5" s="125"/>
    </row>
    <row r="6" spans="1:16" s="117" customFormat="1" ht="17.399999999999999" x14ac:dyDescent="0.3">
      <c r="C6" s="126"/>
      <c r="D6" s="152" t="s">
        <v>3</v>
      </c>
      <c r="E6" s="152" t="s">
        <v>4</v>
      </c>
      <c r="F6" s="152" t="s">
        <v>5</v>
      </c>
      <c r="G6" s="152" t="s">
        <v>6</v>
      </c>
      <c r="H6" s="132" t="s">
        <v>7</v>
      </c>
      <c r="I6" s="126"/>
      <c r="L6" s="112"/>
    </row>
    <row r="7" spans="1:16" ht="21" customHeight="1" x14ac:dyDescent="0.3">
      <c r="A7" s="118"/>
      <c r="B7" s="119"/>
      <c r="C7" s="127"/>
      <c r="D7" s="234">
        <v>2022</v>
      </c>
      <c r="E7" s="235">
        <v>7366</v>
      </c>
      <c r="F7" s="143">
        <v>1E-4</v>
      </c>
      <c r="G7" s="236">
        <v>0.05</v>
      </c>
      <c r="H7" s="233">
        <v>886.1416234515425</v>
      </c>
      <c r="I7" s="125"/>
    </row>
    <row r="8" spans="1:16" x14ac:dyDescent="0.3">
      <c r="A8" s="118"/>
      <c r="B8" s="119"/>
      <c r="C8" s="127"/>
      <c r="D8" s="150"/>
      <c r="E8" s="151"/>
      <c r="F8" s="147"/>
      <c r="G8" s="125"/>
      <c r="H8" s="125"/>
      <c r="I8" s="125"/>
    </row>
    <row r="9" spans="1:16" x14ac:dyDescent="0.3">
      <c r="A9" s="120"/>
      <c r="B9" s="121"/>
      <c r="C9" s="128"/>
      <c r="D9" s="145"/>
      <c r="E9" s="145"/>
      <c r="F9" s="125"/>
      <c r="G9" s="125"/>
      <c r="H9" s="125"/>
      <c r="I9" s="125"/>
    </row>
    <row r="10" spans="1:16" x14ac:dyDescent="0.3">
      <c r="A10" s="120"/>
      <c r="B10" s="122"/>
      <c r="C10" s="129"/>
      <c r="D10" s="237"/>
      <c r="E10" s="237"/>
      <c r="F10" s="125"/>
      <c r="G10" s="125"/>
      <c r="H10" s="125"/>
      <c r="I10" s="125"/>
    </row>
    <row r="11" spans="1:16" x14ac:dyDescent="0.3">
      <c r="B11" s="123"/>
      <c r="C11" s="123"/>
    </row>
    <row r="12" spans="1:16" ht="22.8" x14ac:dyDescent="0.4">
      <c r="A12" s="111"/>
      <c r="D12" s="123"/>
      <c r="E12" s="123"/>
      <c r="F12" s="123"/>
    </row>
    <row r="13" spans="1:16" ht="24.6" x14ac:dyDescent="0.3">
      <c r="A13" s="124"/>
      <c r="B13" s="123"/>
      <c r="C13" s="123"/>
      <c r="D13" s="160"/>
      <c r="E13" s="160"/>
      <c r="F13" s="160"/>
      <c r="G13" s="160"/>
      <c r="H13" s="160"/>
    </row>
    <row r="14" spans="1:16" x14ac:dyDescent="0.3">
      <c r="C14" s="130"/>
      <c r="D14" s="202"/>
      <c r="E14" s="202"/>
      <c r="F14" s="125"/>
      <c r="G14" s="202"/>
      <c r="H14" s="202"/>
      <c r="I14" s="130"/>
      <c r="K14" s="130"/>
      <c r="L14" s="130"/>
      <c r="M14" s="130"/>
      <c r="N14" s="130"/>
      <c r="O14" s="130"/>
      <c r="P14" s="160"/>
    </row>
    <row r="15" spans="1:16" ht="18.600000000000001" customHeight="1" x14ac:dyDescent="0.3">
      <c r="C15" s="130"/>
      <c r="D15" s="125"/>
      <c r="E15" s="125"/>
      <c r="F15" s="204" t="s">
        <v>18</v>
      </c>
      <c r="G15" s="125"/>
      <c r="H15" s="125"/>
      <c r="I15" s="130"/>
      <c r="K15" s="130"/>
      <c r="L15" s="125"/>
      <c r="M15" s="204" t="s">
        <v>19</v>
      </c>
      <c r="N15" s="125"/>
      <c r="O15" s="125"/>
      <c r="P15" s="160"/>
    </row>
    <row r="16" spans="1:16" ht="23.1" customHeight="1" x14ac:dyDescent="0.3">
      <c r="C16" s="130"/>
      <c r="D16" s="125"/>
      <c r="E16" s="125"/>
      <c r="F16" s="125"/>
      <c r="G16" s="187"/>
      <c r="H16" s="125"/>
      <c r="I16" s="130"/>
      <c r="K16" s="130"/>
      <c r="L16" s="125"/>
      <c r="M16" s="125"/>
      <c r="N16" s="125"/>
      <c r="O16" s="125"/>
      <c r="P16" s="160"/>
    </row>
    <row r="17" spans="3:16" ht="17.399999999999999" x14ac:dyDescent="0.3">
      <c r="C17" s="130"/>
      <c r="D17" s="125"/>
      <c r="E17" s="125"/>
      <c r="F17" s="125"/>
      <c r="G17" s="205"/>
      <c r="H17" s="125"/>
      <c r="I17" s="130"/>
      <c r="K17" s="130"/>
      <c r="L17" s="203" t="s">
        <v>20</v>
      </c>
      <c r="M17" s="200" t="s">
        <v>21</v>
      </c>
      <c r="N17" s="274" t="s">
        <v>22</v>
      </c>
      <c r="O17" s="125"/>
      <c r="P17" s="160"/>
    </row>
    <row r="18" spans="3:16" x14ac:dyDescent="0.3">
      <c r="C18" s="130"/>
      <c r="D18" s="196"/>
      <c r="E18" s="195"/>
      <c r="F18" s="196"/>
      <c r="G18" s="196"/>
      <c r="H18" s="196"/>
      <c r="I18" s="130"/>
      <c r="K18" s="130"/>
      <c r="L18" s="270">
        <f>GETPIVOTDATA("Sum of Cost of printing",'CO Pivot_Month'!A3,"Month",MONTH(E7),"Quarters",ROUNDUP(MONTH(E7)/3,0),"Years",D7)</f>
        <v>0</v>
      </c>
      <c r="M18" s="270">
        <f>GETPIVOTDATA("Sum of Cost of storing",'CO Pivot_Month'!A3,"Month",MONTH(E7),"Quarters",ROUNDUP(MONTH(E7)/3,0),"Years",D7)</f>
        <v>3.2202024999123027</v>
      </c>
      <c r="N18" s="270">
        <f>GETPIVOTDATA("Sum of Cost of destroying",'CO Pivot_Month'!A3,"Month",MONTH(E7),"Quarters",ROUNDUP(MONTH(E7)/3,0),"Years",D7)</f>
        <v>0</v>
      </c>
      <c r="O18" s="125"/>
      <c r="P18" s="160"/>
    </row>
    <row r="19" spans="3:16" x14ac:dyDescent="0.3">
      <c r="C19" s="130"/>
      <c r="D19" s="130"/>
      <c r="E19" s="130"/>
      <c r="F19" s="130"/>
      <c r="G19" s="130"/>
      <c r="H19" s="130"/>
      <c r="I19" s="130"/>
      <c r="K19" s="130"/>
      <c r="L19" s="125"/>
      <c r="M19" s="125"/>
      <c r="N19" s="125"/>
      <c r="O19" s="130"/>
      <c r="P19" s="160"/>
    </row>
    <row r="20" spans="3:16" x14ac:dyDescent="0.3">
      <c r="C20" s="130"/>
      <c r="D20" s="130"/>
      <c r="E20" s="130"/>
      <c r="F20" s="130"/>
      <c r="G20" s="130"/>
      <c r="H20" s="130"/>
      <c r="I20" s="130"/>
      <c r="K20" s="130"/>
      <c r="L20" s="130"/>
      <c r="M20" s="130"/>
      <c r="N20" s="130"/>
      <c r="O20" s="130"/>
      <c r="P20" s="160"/>
    </row>
    <row r="21" spans="3:16" x14ac:dyDescent="0.3">
      <c r="C21" s="130"/>
      <c r="D21" s="130"/>
      <c r="E21" s="130"/>
      <c r="F21" s="130"/>
      <c r="G21" s="130"/>
      <c r="H21" s="130"/>
      <c r="I21" s="130"/>
      <c r="K21" s="130"/>
      <c r="L21" s="130"/>
      <c r="M21" s="130"/>
      <c r="N21" s="130"/>
      <c r="O21" s="130"/>
      <c r="P21" s="160"/>
    </row>
    <row r="22" spans="3:16" x14ac:dyDescent="0.3">
      <c r="C22" s="130"/>
      <c r="D22" s="130"/>
      <c r="E22" s="130"/>
      <c r="F22" s="130"/>
      <c r="G22" s="130"/>
      <c r="H22" s="130"/>
      <c r="I22" s="130"/>
      <c r="K22" s="130"/>
      <c r="L22" s="130"/>
      <c r="M22" s="130"/>
      <c r="N22" s="130"/>
      <c r="O22" s="130"/>
      <c r="P22" s="160"/>
    </row>
    <row r="23" spans="3:16" x14ac:dyDescent="0.3">
      <c r="C23" s="130"/>
      <c r="D23" s="130"/>
      <c r="E23" s="130"/>
      <c r="F23" s="130"/>
      <c r="G23" s="130"/>
      <c r="H23" s="130"/>
      <c r="I23" s="130"/>
      <c r="K23" s="130"/>
      <c r="L23" s="130"/>
      <c r="M23" s="130"/>
      <c r="N23" s="130"/>
      <c r="O23" s="130"/>
      <c r="P23" s="160"/>
    </row>
    <row r="24" spans="3:16" x14ac:dyDescent="0.3">
      <c r="C24" s="130"/>
      <c r="D24" s="130"/>
      <c r="E24" s="130"/>
      <c r="F24" s="130"/>
      <c r="G24" s="130"/>
      <c r="H24" s="130"/>
      <c r="I24" s="130"/>
      <c r="K24" s="130"/>
      <c r="L24" s="130"/>
      <c r="M24" s="130"/>
      <c r="N24" s="130"/>
      <c r="O24" s="130"/>
      <c r="P24" s="160"/>
    </row>
    <row r="25" spans="3:16" x14ac:dyDescent="0.3">
      <c r="C25" s="130"/>
      <c r="D25" s="130"/>
      <c r="E25" s="130"/>
      <c r="F25" s="130"/>
      <c r="G25" s="130"/>
      <c r="H25" s="130"/>
      <c r="I25" s="130"/>
      <c r="K25" s="130"/>
      <c r="L25" s="130"/>
      <c r="M25" s="130"/>
      <c r="N25" s="130"/>
      <c r="O25" s="130"/>
      <c r="P25" s="160"/>
    </row>
    <row r="26" spans="3:16" x14ac:dyDescent="0.3">
      <c r="C26" s="130"/>
      <c r="D26" s="130"/>
      <c r="E26" s="130"/>
      <c r="F26" s="130"/>
      <c r="G26" s="130"/>
      <c r="H26" s="130"/>
      <c r="I26" s="130"/>
      <c r="K26" s="130"/>
      <c r="L26" s="130"/>
      <c r="M26" s="130"/>
      <c r="N26" s="130"/>
      <c r="O26" s="125"/>
      <c r="P26" s="160"/>
    </row>
    <row r="27" spans="3:16" x14ac:dyDescent="0.3">
      <c r="C27" s="130"/>
      <c r="D27" s="130"/>
      <c r="E27" s="130"/>
      <c r="F27" s="130"/>
      <c r="G27" s="130"/>
      <c r="H27" s="130"/>
      <c r="I27" s="130"/>
      <c r="K27" s="130"/>
      <c r="L27" s="130"/>
      <c r="M27" s="130"/>
      <c r="N27" s="130"/>
      <c r="O27" s="125"/>
      <c r="P27" s="160"/>
    </row>
    <row r="28" spans="3:16" x14ac:dyDescent="0.3">
      <c r="C28" s="130"/>
      <c r="D28" s="130"/>
      <c r="E28" s="130"/>
      <c r="F28" s="130"/>
      <c r="G28" s="130"/>
      <c r="H28" s="130"/>
      <c r="I28" s="130"/>
      <c r="K28" s="130"/>
      <c r="L28" s="130"/>
      <c r="M28" s="130"/>
      <c r="N28" s="130"/>
      <c r="O28" s="130"/>
      <c r="P28" s="160"/>
    </row>
    <row r="29" spans="3:16" x14ac:dyDescent="0.3">
      <c r="C29" s="130"/>
      <c r="D29" s="130"/>
      <c r="E29" s="130"/>
      <c r="F29" s="130"/>
      <c r="G29" s="130"/>
      <c r="H29" s="130"/>
      <c r="I29" s="130"/>
      <c r="K29" s="130"/>
      <c r="L29" s="130"/>
      <c r="M29" s="130"/>
      <c r="N29" s="130"/>
      <c r="O29" s="130"/>
      <c r="P29" s="160"/>
    </row>
    <row r="30" spans="3:16" x14ac:dyDescent="0.3">
      <c r="C30" s="130"/>
      <c r="D30" s="130"/>
      <c r="E30" s="130"/>
      <c r="F30" s="130"/>
      <c r="G30" s="130"/>
      <c r="H30" s="130"/>
      <c r="I30" s="130"/>
      <c r="K30" s="130"/>
      <c r="L30" s="130"/>
      <c r="M30" s="130"/>
      <c r="N30" s="130"/>
      <c r="O30" s="130"/>
      <c r="P30" s="160"/>
    </row>
    <row r="31" spans="3:16" x14ac:dyDescent="0.3">
      <c r="C31" s="130"/>
      <c r="D31" s="130"/>
      <c r="E31" s="130"/>
      <c r="F31" s="130"/>
      <c r="G31" s="130"/>
      <c r="H31" s="130"/>
      <c r="I31" s="130"/>
      <c r="K31" s="130"/>
      <c r="L31" s="130"/>
      <c r="M31" s="130"/>
      <c r="N31" s="130"/>
      <c r="O31" s="130"/>
      <c r="P31" s="160"/>
    </row>
    <row r="32" spans="3:16" x14ac:dyDescent="0.3">
      <c r="C32" s="130"/>
      <c r="D32" s="130"/>
      <c r="E32" s="130"/>
      <c r="F32" s="130"/>
      <c r="G32" s="130"/>
      <c r="H32" s="130"/>
      <c r="I32" s="130"/>
      <c r="K32" s="130"/>
      <c r="L32" s="130"/>
      <c r="M32" s="130"/>
      <c r="N32" s="130"/>
      <c r="O32" s="130"/>
      <c r="P32" s="160"/>
    </row>
    <row r="33" spans="3:16" x14ac:dyDescent="0.3">
      <c r="C33" s="130"/>
      <c r="D33" s="130"/>
      <c r="E33" s="130"/>
      <c r="F33" s="130"/>
      <c r="G33" s="130"/>
      <c r="H33" s="130"/>
      <c r="I33" s="130"/>
      <c r="K33" s="130"/>
      <c r="L33" s="130"/>
      <c r="M33" s="130"/>
      <c r="N33" s="130"/>
      <c r="O33" s="130"/>
      <c r="P33" s="160"/>
    </row>
    <row r="34" spans="3:16" x14ac:dyDescent="0.3">
      <c r="C34" s="130"/>
      <c r="D34" s="130"/>
      <c r="E34" s="130"/>
      <c r="F34" s="130"/>
      <c r="G34" s="130"/>
      <c r="H34" s="130"/>
      <c r="I34" s="130"/>
      <c r="K34" s="130"/>
      <c r="L34" s="130"/>
      <c r="M34" s="130"/>
      <c r="N34" s="130"/>
      <c r="O34" s="130"/>
      <c r="P34" s="160"/>
    </row>
    <row r="35" spans="3:16" x14ac:dyDescent="0.3">
      <c r="C35" s="130"/>
      <c r="D35" s="130"/>
      <c r="E35" s="130"/>
      <c r="F35" s="125"/>
      <c r="G35" s="130"/>
      <c r="H35" s="130"/>
      <c r="I35" s="130"/>
      <c r="K35" s="130"/>
      <c r="L35" s="130"/>
      <c r="M35" s="130"/>
      <c r="N35" s="130"/>
      <c r="O35" s="130"/>
      <c r="P35" s="160"/>
    </row>
    <row r="36" spans="3:16" x14ac:dyDescent="0.3">
      <c r="C36" s="130"/>
      <c r="D36" s="130"/>
      <c r="E36" s="130"/>
      <c r="F36" s="130"/>
      <c r="G36" s="130"/>
      <c r="H36" s="130"/>
      <c r="I36" s="130"/>
      <c r="K36" s="130"/>
      <c r="L36" s="130"/>
      <c r="M36" s="130"/>
      <c r="N36" s="130"/>
      <c r="O36" s="130"/>
      <c r="P36" s="160"/>
    </row>
    <row r="37" spans="3:16" ht="17.399999999999999" x14ac:dyDescent="0.3">
      <c r="C37" s="130"/>
      <c r="D37" s="130"/>
      <c r="E37" s="130"/>
      <c r="F37" s="195"/>
      <c r="G37" s="130"/>
      <c r="H37" s="130"/>
      <c r="I37" s="130"/>
      <c r="K37" s="130"/>
      <c r="L37" s="130"/>
      <c r="M37" s="201" t="s">
        <v>23</v>
      </c>
      <c r="N37" s="130"/>
      <c r="O37" s="130"/>
      <c r="P37" s="160"/>
    </row>
    <row r="38" spans="3:16" ht="17.399999999999999" x14ac:dyDescent="0.3">
      <c r="C38" s="130"/>
      <c r="D38" s="130"/>
      <c r="E38" s="130"/>
      <c r="F38" s="195"/>
      <c r="G38" s="130"/>
      <c r="H38" s="130"/>
      <c r="I38" s="130"/>
      <c r="K38" s="130"/>
      <c r="L38" s="130"/>
      <c r="M38" s="271">
        <f>SUM(L18:N18)</f>
        <v>3.2202024999123027</v>
      </c>
      <c r="N38" s="130"/>
      <c r="O38" s="130"/>
      <c r="P38" s="160"/>
    </row>
    <row r="39" spans="3:16" x14ac:dyDescent="0.3">
      <c r="C39" s="130"/>
      <c r="D39" s="130"/>
      <c r="E39" s="130"/>
      <c r="F39" s="130"/>
      <c r="G39" s="130"/>
      <c r="H39" s="130"/>
      <c r="I39" s="130"/>
      <c r="K39" s="130"/>
      <c r="L39" s="130"/>
      <c r="M39" s="130"/>
      <c r="N39" s="130"/>
      <c r="O39" s="130"/>
      <c r="P39" s="160"/>
    </row>
    <row r="40" spans="3:16" x14ac:dyDescent="0.3">
      <c r="C40" s="130"/>
      <c r="D40" s="125"/>
      <c r="E40" s="125"/>
      <c r="F40" s="125"/>
      <c r="G40" s="125"/>
      <c r="H40" s="125"/>
      <c r="I40" s="130"/>
      <c r="K40" s="130"/>
      <c r="L40" s="130"/>
      <c r="M40" s="130"/>
      <c r="N40" s="130"/>
      <c r="O40" s="130"/>
      <c r="P40" s="160"/>
    </row>
  </sheetData>
  <sheetProtection sheet="1" objects="1" scenarios="1"/>
  <protectedRanges>
    <protectedRange sqref="D6:H6 D7:E7 G7:H7" name="Range1"/>
    <protectedRange sqref="F7" name="Range1_1"/>
  </protectedRanges>
  <conditionalFormatting sqref="B10">
    <cfRule type="expression" dxfId="14" priority="8">
      <formula>B10&lt;0</formula>
    </cfRule>
  </conditionalFormatting>
  <conditionalFormatting sqref="B11:C11 D10:E10 B13:C13 D12:F12">
    <cfRule type="notContainsBlanks" dxfId="13" priority="4">
      <formula>LEN(TRIM(B10))&gt;0</formula>
    </cfRule>
  </conditionalFormatting>
  <conditionalFormatting sqref="C10">
    <cfRule type="expression" dxfId="12" priority="3">
      <formula>C10&lt;0</formula>
    </cfRule>
  </conditionalFormatting>
  <conditionalFormatting sqref="D9">
    <cfRule type="expression" dxfId="11" priority="2">
      <formula>D9&lt;0</formula>
    </cfRule>
  </conditionalFormatting>
  <conditionalFormatting sqref="E9">
    <cfRule type="expression" dxfId="10" priority="1">
      <formula>E9&lt;0</formula>
    </cfRule>
  </conditionalFormatting>
  <dataValidations count="3">
    <dataValidation type="decimal" allowBlank="1" showInputMessage="1" showErrorMessage="1" promptTitle="Range" prompt="Please enter a growth rate between 0% to 20%" sqref="G7" xr:uid="{BA6A84C4-08A3-45CC-9AD4-AFBC4EC58109}">
      <formula1>0</formula1>
      <formula2>0.2</formula2>
    </dataValidation>
    <dataValidation type="whole" allowBlank="1" showInputMessage="1" showErrorMessage="1" promptTitle="Range" prompt="Select a year between 1989 and 2030" sqref="D7" xr:uid="{7F9B39AA-568C-46E0-9F24-037983A39FCB}">
      <formula1>1989</formula1>
      <formula2>2030</formula2>
    </dataValidation>
    <dataValidation type="decimal" allowBlank="1" showInputMessage="1" showErrorMessage="1" promptTitle="Range" prompt="Pick an interest rate between 0.01% and 5.00%" sqref="F7" xr:uid="{1221E6C8-2729-42AF-A296-532F5F9A188E}">
      <formula1>0.0000001</formula1>
      <formula2>0.05</formula2>
    </dataValidation>
  </dataValidations>
  <printOptions horizontalCentered="1"/>
  <pageMargins left="0.7" right="0.7" top="0.75" bottom="0.75" header="0.3" footer="0.3"/>
  <pageSetup scale="82" orientation="landscape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C35C38-3E16-4001-8BFA-6B033BF373C9}">
          <x14:formula1>
            <xm:f>'Hongbao demand'!$V$20:$V$31</xm:f>
          </x14:formula1>
          <xm:sqref>E7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49ED-1765-4BD1-9099-2233C384A4D0}">
  <sheetPr codeName="Sheet1">
    <tabColor theme="6"/>
    <pageSetUpPr fitToPage="1"/>
  </sheetPr>
  <dimension ref="A2:P35"/>
  <sheetViews>
    <sheetView showGridLines="0" zoomScale="85" zoomScaleNormal="85" workbookViewId="0"/>
  </sheetViews>
  <sheetFormatPr defaultColWidth="8.6640625" defaultRowHeight="15.6" x14ac:dyDescent="0.3"/>
  <cols>
    <col min="1" max="1" width="2.6640625" style="112" customWidth="1"/>
    <col min="2" max="2" width="3.109375" style="112" customWidth="1"/>
    <col min="3" max="3" width="20.109375" style="112" customWidth="1"/>
    <col min="4" max="4" width="26.6640625" style="112" customWidth="1"/>
    <col min="5" max="5" width="35.33203125" style="112" bestFit="1" customWidth="1"/>
    <col min="6" max="6" width="23.6640625" style="112" customWidth="1"/>
    <col min="7" max="7" width="21.109375" style="112" bestFit="1" customWidth="1"/>
    <col min="8" max="8" width="21" style="112" bestFit="1" customWidth="1"/>
    <col min="9" max="9" width="18.44140625" style="112" customWidth="1"/>
    <col min="10" max="16384" width="8.6640625" style="112"/>
  </cols>
  <sheetData>
    <row r="2" spans="1:16" ht="34.799999999999997" x14ac:dyDescent="0.3">
      <c r="B2" s="114" t="s">
        <v>24</v>
      </c>
      <c r="F2" s="213">
        <f>LOOKUP(DATE(D7, MONTH(E7), 1), 'Model-Data'!A7:A510, 'Model-Data'!M7:M510)</f>
        <v>1E-4</v>
      </c>
      <c r="G2" s="183"/>
      <c r="H2" s="214">
        <f>LOOKUP(DATE(D7, MONTH(E7), 1), 'Model-Data'!A7:A510, 'Model-Data'!E7:E510)</f>
        <v>886.1416234515425</v>
      </c>
    </row>
    <row r="3" spans="1:16" ht="10.35" customHeight="1" x14ac:dyDescent="0.3">
      <c r="A3" s="113"/>
      <c r="C3" s="115"/>
      <c r="E3" s="115"/>
      <c r="F3" s="116"/>
    </row>
    <row r="4" spans="1:16" x14ac:dyDescent="0.3">
      <c r="C4" s="125"/>
      <c r="D4" s="125"/>
      <c r="E4" s="125"/>
      <c r="F4" s="125"/>
      <c r="G4" s="125"/>
      <c r="H4" s="125"/>
      <c r="I4" s="125"/>
    </row>
    <row r="5" spans="1:16" x14ac:dyDescent="0.3">
      <c r="C5" s="130"/>
      <c r="D5" s="125"/>
      <c r="E5" s="125"/>
      <c r="F5" s="134" t="s">
        <v>1</v>
      </c>
      <c r="G5" s="134" t="s">
        <v>1</v>
      </c>
      <c r="H5" s="134" t="s">
        <v>2</v>
      </c>
      <c r="I5" s="125"/>
    </row>
    <row r="6" spans="1:16" s="117" customFormat="1" ht="17.399999999999999" x14ac:dyDescent="0.3">
      <c r="C6" s="126"/>
      <c r="D6" s="152" t="s">
        <v>3</v>
      </c>
      <c r="E6" s="152" t="s">
        <v>4</v>
      </c>
      <c r="F6" s="152" t="s">
        <v>5</v>
      </c>
      <c r="G6" s="152" t="s">
        <v>6</v>
      </c>
      <c r="H6" s="132" t="s">
        <v>7</v>
      </c>
      <c r="I6" s="126"/>
      <c r="L6" s="112"/>
    </row>
    <row r="7" spans="1:16" ht="19.2" customHeight="1" x14ac:dyDescent="0.3">
      <c r="A7" s="118"/>
      <c r="B7" s="119"/>
      <c r="C7" s="127"/>
      <c r="D7" s="154">
        <v>2022</v>
      </c>
      <c r="E7" s="155">
        <v>7366</v>
      </c>
      <c r="F7" s="268">
        <v>1E-4</v>
      </c>
      <c r="G7" s="143">
        <v>0.05</v>
      </c>
      <c r="H7" s="157">
        <v>886.1416234515425</v>
      </c>
      <c r="I7" s="125"/>
    </row>
    <row r="8" spans="1:16" ht="15.6" customHeight="1" x14ac:dyDescent="0.3">
      <c r="A8" s="118"/>
      <c r="B8" s="119"/>
      <c r="C8" s="127"/>
      <c r="D8" s="146"/>
      <c r="E8" s="125"/>
      <c r="F8" s="148"/>
      <c r="G8" s="148"/>
      <c r="H8" s="149"/>
      <c r="I8" s="125"/>
    </row>
    <row r="9" spans="1:16" x14ac:dyDescent="0.3">
      <c r="A9" s="120"/>
      <c r="B9" s="121"/>
      <c r="C9" s="128"/>
      <c r="D9" s="150"/>
      <c r="E9" s="151"/>
      <c r="F9" s="147"/>
      <c r="G9" s="125"/>
      <c r="H9" s="125"/>
      <c r="I9" s="125"/>
    </row>
    <row r="10" spans="1:16" x14ac:dyDescent="0.3">
      <c r="A10" s="120"/>
      <c r="B10" s="122"/>
      <c r="C10" s="129"/>
      <c r="D10" s="145"/>
      <c r="E10" s="145"/>
      <c r="F10" s="125"/>
      <c r="G10" s="125"/>
      <c r="H10" s="125"/>
      <c r="I10" s="125"/>
    </row>
    <row r="11" spans="1:16" x14ac:dyDescent="0.3">
      <c r="B11" s="123"/>
      <c r="C11" s="123"/>
      <c r="D11" s="123"/>
      <c r="E11" s="123"/>
    </row>
    <row r="12" spans="1:16" ht="22.8" x14ac:dyDescent="0.4">
      <c r="A12" s="111"/>
      <c r="L12" s="136"/>
    </row>
    <row r="13" spans="1:16" ht="24.6" x14ac:dyDescent="0.3">
      <c r="A13" s="124"/>
      <c r="B13" s="123"/>
      <c r="C13" s="123"/>
      <c r="D13" s="123"/>
      <c r="E13" s="123"/>
      <c r="F13" s="123"/>
    </row>
    <row r="14" spans="1:16" ht="23.1" customHeight="1" x14ac:dyDescent="0.4">
      <c r="C14" s="125"/>
      <c r="D14" s="140"/>
      <c r="E14" s="144" t="s">
        <v>25</v>
      </c>
      <c r="F14" s="141"/>
      <c r="G14" s="125"/>
      <c r="H14" s="125"/>
      <c r="P14" s="156"/>
    </row>
    <row r="15" spans="1:16" x14ac:dyDescent="0.3">
      <c r="C15" s="125"/>
      <c r="D15" s="125"/>
      <c r="E15" s="125"/>
      <c r="F15" s="125"/>
      <c r="G15" s="125"/>
      <c r="H15" s="125"/>
    </row>
    <row r="16" spans="1:16" ht="17.399999999999999" x14ac:dyDescent="0.3">
      <c r="C16" s="125"/>
      <c r="D16" s="252" t="s">
        <v>26</v>
      </c>
      <c r="E16" s="254" t="s">
        <v>27</v>
      </c>
      <c r="F16" s="253" t="s">
        <v>28</v>
      </c>
      <c r="G16" s="273" t="s">
        <v>29</v>
      </c>
      <c r="H16" s="125"/>
    </row>
    <row r="17" spans="3:8" ht="22.35" customHeight="1" x14ac:dyDescent="0.3">
      <c r="C17" s="125"/>
      <c r="D17" s="251">
        <f>GETPIVOTDATA("Excess Notes",Excess_Notes_Table!$A$4,"Month",MONTH(E7),"Quarters",ROUNDUP(MONTH(E7)/3,0),"Years",D7)</f>
        <v>182.33956574211993</v>
      </c>
      <c r="E17" s="250">
        <f>IFERROR(CNY_Notes_Saved_Pivot!F18, "-")</f>
        <v>32.202024999123026</v>
      </c>
      <c r="F17" s="232">
        <f>IFERROR(CNY_Notes_Saved_Pivot!E18, "-")</f>
        <v>0</v>
      </c>
      <c r="G17" s="232">
        <f>MAX(D17-SUM(E17:F17), 0)</f>
        <v>150.13754074299692</v>
      </c>
      <c r="H17" s="125"/>
    </row>
    <row r="18" spans="3:8" x14ac:dyDescent="0.3">
      <c r="C18" s="125"/>
      <c r="D18" s="153"/>
      <c r="E18" s="153"/>
      <c r="F18" s="153"/>
      <c r="G18" s="125"/>
      <c r="H18" s="125"/>
    </row>
    <row r="19" spans="3:8" x14ac:dyDescent="0.3">
      <c r="C19" s="125"/>
      <c r="D19" s="125"/>
      <c r="E19" s="125"/>
      <c r="F19" s="125"/>
      <c r="G19" s="125"/>
      <c r="H19" s="125"/>
    </row>
    <row r="20" spans="3:8" x14ac:dyDescent="0.3">
      <c r="H20" s="125"/>
    </row>
    <row r="21" spans="3:8" x14ac:dyDescent="0.3">
      <c r="H21" s="125"/>
    </row>
    <row r="22" spans="3:8" x14ac:dyDescent="0.3">
      <c r="H22" s="125"/>
    </row>
    <row r="23" spans="3:8" x14ac:dyDescent="0.3">
      <c r="H23" s="125"/>
    </row>
    <row r="24" spans="3:8" x14ac:dyDescent="0.3">
      <c r="H24" s="125"/>
    </row>
    <row r="25" spans="3:8" x14ac:dyDescent="0.3">
      <c r="H25" s="125"/>
    </row>
    <row r="26" spans="3:8" x14ac:dyDescent="0.3">
      <c r="H26" s="125"/>
    </row>
    <row r="27" spans="3:8" x14ac:dyDescent="0.3">
      <c r="H27" s="125"/>
    </row>
    <row r="28" spans="3:8" x14ac:dyDescent="0.3">
      <c r="H28" s="125"/>
    </row>
    <row r="29" spans="3:8" x14ac:dyDescent="0.3">
      <c r="H29" s="125"/>
    </row>
    <row r="30" spans="3:8" x14ac:dyDescent="0.3">
      <c r="H30" s="125"/>
    </row>
    <row r="31" spans="3:8" x14ac:dyDescent="0.3">
      <c r="H31" s="125"/>
    </row>
    <row r="32" spans="3:8" x14ac:dyDescent="0.3">
      <c r="H32" s="125"/>
    </row>
    <row r="33" spans="8:8" x14ac:dyDescent="0.3">
      <c r="H33" s="125"/>
    </row>
    <row r="34" spans="8:8" x14ac:dyDescent="0.3">
      <c r="H34" s="125"/>
    </row>
    <row r="35" spans="8:8" x14ac:dyDescent="0.3">
      <c r="H35" s="125"/>
    </row>
  </sheetData>
  <sheetProtection sheet="1" objects="1" scenarios="1"/>
  <protectedRanges>
    <protectedRange sqref="D6:H7" name="Range1"/>
  </protectedRanges>
  <conditionalFormatting sqref="B10">
    <cfRule type="expression" dxfId="9" priority="5">
      <formula>B10&lt;0</formula>
    </cfRule>
  </conditionalFormatting>
  <conditionalFormatting sqref="C10">
    <cfRule type="expression" dxfId="8" priority="4">
      <formula>C10&lt;0</formula>
    </cfRule>
  </conditionalFormatting>
  <conditionalFormatting sqref="D10">
    <cfRule type="expression" dxfId="7" priority="3">
      <formula>D10&lt;0</formula>
    </cfRule>
  </conditionalFormatting>
  <conditionalFormatting sqref="E10">
    <cfRule type="expression" dxfId="6" priority="2">
      <formula>E10&lt;0</formula>
    </cfRule>
  </conditionalFormatting>
  <conditionalFormatting sqref="B11:E11 B13:F13">
    <cfRule type="notContainsBlanks" dxfId="5" priority="1">
      <formula>LEN(TRIM(B11))&gt;0</formula>
    </cfRule>
  </conditionalFormatting>
  <dataValidations xWindow="261" yWindow="533" count="6">
    <dataValidation type="decimal" allowBlank="1" showInputMessage="1" showErrorMessage="1" promptTitle="Range" prompt="Pick an interest rate between 0.01% and 5.00%" sqref="F7" xr:uid="{F1ED4A95-AAC4-4A48-87DD-DEED1C21F962}">
      <formula1>0.0001</formula1>
      <formula2>0.05</formula2>
    </dataValidation>
    <dataValidation type="decimal" allowBlank="1" showInputMessage="1" showErrorMessage="1" promptTitle="Range" prompt="Please enter a growth rate between 0% to 20%" sqref="G7" xr:uid="{E1739D59-BDE3-49D0-A70D-87F36E19ACC6}">
      <formula1>0</formula1>
      <formula2>0.2</formula2>
    </dataValidation>
    <dataValidation type="whole" allowBlank="1" showInputMessage="1" showErrorMessage="1" promptTitle="Range" prompt="Select a year between 1989 and 2030" sqref="D7" xr:uid="{A82F65BD-5310-4138-8CDF-ABB9BBD530B0}">
      <formula1>1989</formula1>
      <formula2>2030</formula2>
    </dataValidation>
    <dataValidation type="whole" allowBlank="1" showErrorMessage="1" promptTitle="Range" prompt="Select a year between 1989 and 2030" sqref="D8" xr:uid="{7976EF52-A769-42CE-84B1-96D2467E083E}">
      <formula1>1989</formula1>
      <formula2>2030</formula2>
    </dataValidation>
    <dataValidation type="decimal" allowBlank="1" showErrorMessage="1" promptTitle="Range" prompt="Please enter a growth rate between 0% to 20%" sqref="G8:H8" xr:uid="{CA6C850A-F37D-492D-B6D3-09372985570E}">
      <formula1>0</formula1>
      <formula2>0.2</formula2>
    </dataValidation>
    <dataValidation type="decimal" allowBlank="1" showErrorMessage="1" promptTitle="Range" prompt="Pick an interest rate between 0.01% and 5.00%" sqref="F8" xr:uid="{6600212F-1B08-4343-9F3C-CAB75DDB1B6C}">
      <formula1>0.0001</formula1>
      <formula2>0.05</formula2>
    </dataValidation>
  </dataValidations>
  <printOptions horizontalCentered="1"/>
  <pageMargins left="0.7" right="0.7" top="0.75" bottom="0.75" header="0.3" footer="0.3"/>
  <pageSetup scale="82" orientation="landscape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261" yWindow="533" count="3">
        <x14:dataValidation type="list" allowBlank="1" showInputMessage="1" showErrorMessage="1" xr:uid="{B2444D5C-AA69-4BF1-BE1B-80BBEB239381}">
          <x14:formula1>
            <xm:f>'Hongbao demand'!$V$20:$V$31</xm:f>
          </x14:formula1>
          <xm:sqref>E7</xm:sqref>
        </x14:dataValidation>
        <x14:dataValidation type="list" allowBlank="1" showDropDown="1" showErrorMessage="1" xr:uid="{381F87FD-83B1-4DF2-9316-7C96C3F7E39A}">
          <x14:formula1>
            <xm:f>'Hongbao demand'!$V$20:$V$31</xm:f>
          </x14:formula1>
          <xm:sqref>F9</xm:sqref>
        </x14:dataValidation>
        <x14:dataValidation type="date" allowBlank="1" showInputMessage="1" showErrorMessage="1" xr:uid="{481EE9E1-AE4C-4282-9193-7E8E6159F615}">
          <x14:formula1>
            <xm:f>'Model-Data'!A7</xm:f>
          </x14:formula1>
          <x14:formula2>
            <xm:f>'Model-Data'!A510</xm:f>
          </x14:formula2>
          <xm:sqref>C6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BD80E-2512-4118-92E7-705CEBE1D3A2}">
  <sheetPr codeName="Sheet17" filterMode="1"/>
  <dimension ref="A3:I67"/>
  <sheetViews>
    <sheetView zoomScaleNormal="100" workbookViewId="0">
      <selection activeCell="E14" sqref="E14"/>
    </sheetView>
  </sheetViews>
  <sheetFormatPr defaultColWidth="8.6640625" defaultRowHeight="14.4" x14ac:dyDescent="0.3"/>
  <cols>
    <col min="1" max="1" width="10.77734375" bestFit="1" customWidth="1"/>
    <col min="2" max="2" width="21.33203125" bestFit="1" customWidth="1"/>
    <col min="3" max="3" width="18.77734375" bestFit="1" customWidth="1"/>
    <col min="4" max="4" width="18.21875" bestFit="1" customWidth="1"/>
    <col min="5" max="6" width="18.109375" bestFit="1" customWidth="1"/>
  </cols>
  <sheetData>
    <row r="3" spans="1:9" x14ac:dyDescent="0.3">
      <c r="A3" s="100" t="s">
        <v>3</v>
      </c>
      <c r="B3" t="s">
        <v>30</v>
      </c>
      <c r="C3" t="s">
        <v>31</v>
      </c>
      <c r="D3" t="s">
        <v>32</v>
      </c>
    </row>
    <row r="4" spans="1:9" x14ac:dyDescent="0.3">
      <c r="A4" s="7" t="s">
        <v>66</v>
      </c>
      <c r="B4" s="255">
        <v>0</v>
      </c>
      <c r="C4" s="255">
        <v>0</v>
      </c>
      <c r="D4" s="255">
        <v>34.26815964994924</v>
      </c>
    </row>
    <row r="5" spans="1:9" x14ac:dyDescent="0.3">
      <c r="A5" s="7" t="s">
        <v>67</v>
      </c>
      <c r="B5" s="255">
        <v>161.7001573957663</v>
      </c>
      <c r="C5" s="255">
        <v>215.60020986102171</v>
      </c>
      <c r="D5" s="255">
        <v>38.064757115128344</v>
      </c>
      <c r="H5" s="2"/>
      <c r="I5" s="2"/>
    </row>
    <row r="6" spans="1:9" x14ac:dyDescent="0.3">
      <c r="A6" s="7" t="s">
        <v>68</v>
      </c>
      <c r="B6" s="255">
        <v>251.73366744949777</v>
      </c>
      <c r="C6" s="255">
        <v>335.64488993266366</v>
      </c>
      <c r="D6" s="255">
        <v>36.344505620903639</v>
      </c>
      <c r="H6" s="2"/>
      <c r="I6" s="2"/>
    </row>
    <row r="7" spans="1:9" x14ac:dyDescent="0.3">
      <c r="A7" s="7" t="s">
        <v>69</v>
      </c>
      <c r="B7" s="255">
        <v>245.76864810361411</v>
      </c>
      <c r="C7" s="255">
        <v>327.69153080481885</v>
      </c>
      <c r="D7" s="255">
        <v>35.153885335580604</v>
      </c>
      <c r="H7" s="2"/>
      <c r="I7" s="2"/>
    </row>
    <row r="8" spans="1:9" x14ac:dyDescent="0.3">
      <c r="A8" s="7" t="s">
        <v>70</v>
      </c>
      <c r="B8" s="255">
        <v>240.33474910352606</v>
      </c>
      <c r="C8" s="255">
        <v>320.44633213803479</v>
      </c>
      <c r="D8" s="255">
        <v>34.226589433586817</v>
      </c>
      <c r="H8" s="2"/>
      <c r="I8" s="2"/>
    </row>
    <row r="9" spans="1:9" x14ac:dyDescent="0.3">
      <c r="A9" s="7" t="s">
        <v>71</v>
      </c>
      <c r="B9" s="255">
        <v>235.27921179839342</v>
      </c>
      <c r="C9" s="255">
        <v>313.70561573119119</v>
      </c>
      <c r="D9" s="255">
        <v>33.401225032564284</v>
      </c>
      <c r="H9" s="2"/>
      <c r="I9" s="2"/>
    </row>
    <row r="10" spans="1:9" x14ac:dyDescent="0.3">
      <c r="A10" s="7" t="s">
        <v>72</v>
      </c>
      <c r="B10" s="255">
        <v>230.52178457211375</v>
      </c>
      <c r="C10" s="255">
        <v>307.36237942948503</v>
      </c>
      <c r="D10" s="255">
        <v>32.638266823853485</v>
      </c>
      <c r="H10" s="2"/>
      <c r="I10" s="2"/>
    </row>
    <row r="11" spans="1:9" x14ac:dyDescent="0.3">
      <c r="A11" s="7" t="s">
        <v>73</v>
      </c>
      <c r="B11" s="255">
        <v>226.00505639489663</v>
      </c>
      <c r="C11" s="255">
        <v>301.3400751931955</v>
      </c>
      <c r="D11" s="255">
        <v>31.922273503494033</v>
      </c>
      <c r="H11" s="2"/>
      <c r="I11" s="2"/>
    </row>
    <row r="12" spans="1:9" x14ac:dyDescent="0.3">
      <c r="A12" s="7" t="s">
        <v>74</v>
      </c>
      <c r="B12" s="255">
        <v>221.6836381613339</v>
      </c>
      <c r="C12" s="255">
        <v>295.57818421511183</v>
      </c>
      <c r="D12" s="255">
        <v>31.243711525059965</v>
      </c>
      <c r="H12" s="2"/>
      <c r="I12" s="2"/>
    </row>
    <row r="13" spans="1:9" x14ac:dyDescent="0.3">
      <c r="A13" s="7" t="s">
        <v>75</v>
      </c>
      <c r="B13" s="255">
        <v>1813.026912979142</v>
      </c>
      <c r="C13" s="255">
        <v>2417.3692173055224</v>
      </c>
      <c r="D13" s="255">
        <v>307.26337404012037</v>
      </c>
      <c r="H13" s="2"/>
      <c r="I13" s="2"/>
    </row>
    <row r="14" spans="1:9" x14ac:dyDescent="0.3">
      <c r="H14" s="2"/>
      <c r="I14" s="2"/>
    </row>
    <row r="15" spans="1:9" x14ac:dyDescent="0.3">
      <c r="H15" s="2"/>
      <c r="I15" s="2"/>
    </row>
    <row r="16" spans="1:9" x14ac:dyDescent="0.3">
      <c r="H16" s="2"/>
      <c r="I16" s="2"/>
    </row>
    <row r="17" spans="8:9" x14ac:dyDescent="0.3">
      <c r="H17" s="2"/>
      <c r="I17" s="2"/>
    </row>
    <row r="18" spans="8:9" x14ac:dyDescent="0.3">
      <c r="H18" s="2"/>
      <c r="I18" s="2"/>
    </row>
    <row r="19" spans="8:9" x14ac:dyDescent="0.3">
      <c r="H19" s="2"/>
      <c r="I19" s="2"/>
    </row>
    <row r="20" spans="8:9" x14ac:dyDescent="0.3">
      <c r="H20" s="2"/>
      <c r="I20" s="2"/>
    </row>
    <row r="21" spans="8:9" x14ac:dyDescent="0.3">
      <c r="H21" s="2"/>
      <c r="I21" s="2"/>
    </row>
    <row r="22" spans="8:9" x14ac:dyDescent="0.3">
      <c r="H22" s="2"/>
      <c r="I22" s="2"/>
    </row>
    <row r="23" spans="8:9" x14ac:dyDescent="0.3">
      <c r="H23" s="2"/>
      <c r="I23" s="2"/>
    </row>
    <row r="24" spans="8:9" x14ac:dyDescent="0.3">
      <c r="H24" s="2"/>
      <c r="I24" s="2"/>
    </row>
    <row r="25" spans="8:9" x14ac:dyDescent="0.3">
      <c r="H25" s="2"/>
      <c r="I25" s="2"/>
    </row>
    <row r="26" spans="8:9" x14ac:dyDescent="0.3">
      <c r="H26" s="2"/>
      <c r="I26" s="2"/>
    </row>
    <row r="27" spans="8:9" x14ac:dyDescent="0.3">
      <c r="H27" s="2"/>
      <c r="I27" s="2"/>
    </row>
    <row r="28" spans="8:9" x14ac:dyDescent="0.3">
      <c r="H28" s="2"/>
      <c r="I28" s="2"/>
    </row>
    <row r="29" spans="8:9" x14ac:dyDescent="0.3">
      <c r="H29" s="2"/>
      <c r="I29" s="2"/>
    </row>
    <row r="30" spans="8:9" x14ac:dyDescent="0.3">
      <c r="H30" s="2"/>
      <c r="I30" s="2"/>
    </row>
    <row r="31" spans="8:9" x14ac:dyDescent="0.3">
      <c r="H31" s="2"/>
      <c r="I31" s="2"/>
    </row>
    <row r="32" spans="8:9" x14ac:dyDescent="0.3">
      <c r="H32" s="2"/>
      <c r="I32" s="2"/>
    </row>
    <row r="33" spans="8:9" x14ac:dyDescent="0.3">
      <c r="H33" s="2"/>
      <c r="I33" s="2"/>
    </row>
    <row r="34" spans="8:9" x14ac:dyDescent="0.3">
      <c r="H34" s="2"/>
      <c r="I34" s="2"/>
    </row>
    <row r="35" spans="8:9" x14ac:dyDescent="0.3">
      <c r="H35" s="2"/>
      <c r="I35" s="2"/>
    </row>
    <row r="36" spans="8:9" x14ac:dyDescent="0.3">
      <c r="H36" s="2"/>
      <c r="I36" s="2"/>
    </row>
    <row r="37" spans="8:9" x14ac:dyDescent="0.3">
      <c r="H37" s="2"/>
      <c r="I37" s="2"/>
    </row>
    <row r="38" spans="8:9" x14ac:dyDescent="0.3">
      <c r="H38" s="2"/>
      <c r="I38" s="2"/>
    </row>
    <row r="39" spans="8:9" x14ac:dyDescent="0.3">
      <c r="H39" s="2"/>
      <c r="I39" s="2"/>
    </row>
    <row r="40" spans="8:9" x14ac:dyDescent="0.3">
      <c r="H40" s="2"/>
      <c r="I40" s="2"/>
    </row>
    <row r="41" spans="8:9" x14ac:dyDescent="0.3">
      <c r="H41" s="2"/>
      <c r="I41" s="2"/>
    </row>
    <row r="42" spans="8:9" x14ac:dyDescent="0.3">
      <c r="H42" s="2"/>
      <c r="I42" s="2"/>
    </row>
    <row r="43" spans="8:9" x14ac:dyDescent="0.3">
      <c r="H43" s="2"/>
      <c r="I43" s="2"/>
    </row>
    <row r="44" spans="8:9" x14ac:dyDescent="0.3">
      <c r="H44" s="2"/>
      <c r="I44" s="2"/>
    </row>
    <row r="45" spans="8:9" x14ac:dyDescent="0.3">
      <c r="H45" s="2"/>
      <c r="I45" s="2"/>
    </row>
    <row r="46" spans="8:9" x14ac:dyDescent="0.3">
      <c r="H46" s="2"/>
      <c r="I46" s="2"/>
    </row>
    <row r="53" spans="6:9" x14ac:dyDescent="0.3">
      <c r="G53" s="142"/>
    </row>
    <row r="56" spans="6:9" x14ac:dyDescent="0.3">
      <c r="F56" s="2"/>
      <c r="G56" s="2"/>
      <c r="H56" s="2"/>
      <c r="I56" s="2"/>
    </row>
    <row r="57" spans="6:9" hidden="1" x14ac:dyDescent="0.3">
      <c r="F57">
        <v>1989</v>
      </c>
      <c r="G57" t="e">
        <f>GETPIVOTDATA("Sum of Cost of storing",$A$3,"Years",$F57)</f>
        <v>#REF!</v>
      </c>
      <c r="H57" t="e">
        <f>GETPIVOTDATA("Sum of Cost of destroying",$A$3,"Years",F57)</f>
        <v>#REF!</v>
      </c>
      <c r="I57" t="e">
        <f>GETPIVOTDATA("Sum of Cost of printing",$A$3,"Years",F57)</f>
        <v>#REF!</v>
      </c>
    </row>
    <row r="58" spans="6:9" hidden="1" x14ac:dyDescent="0.3">
      <c r="F58">
        <v>1990</v>
      </c>
      <c r="G58" t="e">
        <f t="shared" ref="G58:G67" si="0">GETPIVOTDATA("Sum of Cost of storing",$A$3,"Years",$F58)</f>
        <v>#REF!</v>
      </c>
      <c r="H58" t="e">
        <f t="shared" ref="H58:H67" si="1">GETPIVOTDATA("Sum of Cost of destroying",$A$3,"Years",F58)</f>
        <v>#REF!</v>
      </c>
      <c r="I58" t="e">
        <f t="shared" ref="I58:I67" si="2">GETPIVOTDATA("Sum of Cost of printing",$A$3,"Years",F58)</f>
        <v>#REF!</v>
      </c>
    </row>
    <row r="59" spans="6:9" hidden="1" x14ac:dyDescent="0.3">
      <c r="F59">
        <v>1991</v>
      </c>
      <c r="G59" t="e">
        <f t="shared" si="0"/>
        <v>#REF!</v>
      </c>
      <c r="H59" t="e">
        <f t="shared" si="1"/>
        <v>#REF!</v>
      </c>
      <c r="I59" t="e">
        <f t="shared" si="2"/>
        <v>#REF!</v>
      </c>
    </row>
    <row r="60" spans="6:9" hidden="1" x14ac:dyDescent="0.3">
      <c r="F60">
        <v>1992</v>
      </c>
      <c r="G60" t="e">
        <f t="shared" si="0"/>
        <v>#REF!</v>
      </c>
      <c r="H60" t="e">
        <f t="shared" si="1"/>
        <v>#REF!</v>
      </c>
      <c r="I60" t="e">
        <f t="shared" si="2"/>
        <v>#REF!</v>
      </c>
    </row>
    <row r="61" spans="6:9" hidden="1" x14ac:dyDescent="0.3">
      <c r="F61">
        <v>1993</v>
      </c>
      <c r="G61" t="e">
        <f t="shared" si="0"/>
        <v>#REF!</v>
      </c>
      <c r="H61" t="e">
        <f t="shared" si="1"/>
        <v>#REF!</v>
      </c>
      <c r="I61" t="e">
        <f t="shared" si="2"/>
        <v>#REF!</v>
      </c>
    </row>
    <row r="62" spans="6:9" hidden="1" x14ac:dyDescent="0.3">
      <c r="F62">
        <v>1994</v>
      </c>
      <c r="G62" t="e">
        <f t="shared" si="0"/>
        <v>#REF!</v>
      </c>
      <c r="H62" t="e">
        <f t="shared" si="1"/>
        <v>#REF!</v>
      </c>
      <c r="I62" t="e">
        <f t="shared" si="2"/>
        <v>#REF!</v>
      </c>
    </row>
    <row r="63" spans="6:9" hidden="1" x14ac:dyDescent="0.3">
      <c r="F63">
        <v>1995</v>
      </c>
      <c r="G63" t="e">
        <f t="shared" si="0"/>
        <v>#REF!</v>
      </c>
      <c r="H63" t="e">
        <f t="shared" si="1"/>
        <v>#REF!</v>
      </c>
      <c r="I63" t="e">
        <f t="shared" si="2"/>
        <v>#REF!</v>
      </c>
    </row>
    <row r="64" spans="6:9" hidden="1" x14ac:dyDescent="0.3">
      <c r="F64">
        <v>1996</v>
      </c>
      <c r="G64" t="e">
        <f t="shared" si="0"/>
        <v>#REF!</v>
      </c>
      <c r="H64" t="e">
        <f t="shared" si="1"/>
        <v>#REF!</v>
      </c>
      <c r="I64" t="e">
        <f t="shared" si="2"/>
        <v>#REF!</v>
      </c>
    </row>
    <row r="65" spans="6:9" hidden="1" x14ac:dyDescent="0.3">
      <c r="F65">
        <v>1997</v>
      </c>
      <c r="G65" t="e">
        <f t="shared" si="0"/>
        <v>#REF!</v>
      </c>
      <c r="H65" t="e">
        <f t="shared" si="1"/>
        <v>#REF!</v>
      </c>
      <c r="I65" t="e">
        <f t="shared" si="2"/>
        <v>#REF!</v>
      </c>
    </row>
    <row r="66" spans="6:9" hidden="1" x14ac:dyDescent="0.3">
      <c r="F66">
        <v>1998</v>
      </c>
      <c r="G66" t="e">
        <f t="shared" si="0"/>
        <v>#REF!</v>
      </c>
      <c r="H66" t="e">
        <f t="shared" si="1"/>
        <v>#REF!</v>
      </c>
      <c r="I66" t="e">
        <f t="shared" si="2"/>
        <v>#REF!</v>
      </c>
    </row>
    <row r="67" spans="6:9" hidden="1" x14ac:dyDescent="0.3">
      <c r="F67">
        <v>1999</v>
      </c>
      <c r="G67" t="e">
        <f t="shared" si="0"/>
        <v>#REF!</v>
      </c>
      <c r="H67" t="e">
        <f t="shared" si="1"/>
        <v>#REF!</v>
      </c>
      <c r="I67" t="e">
        <f t="shared" si="2"/>
        <v>#REF!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298BA-BDA6-448C-8055-D0B4F768F865}">
  <sheetPr codeName="Sheet12"/>
  <dimension ref="A3:I718"/>
  <sheetViews>
    <sheetView zoomScaleNormal="100" workbookViewId="0">
      <selection activeCell="G53" sqref="G53"/>
    </sheetView>
  </sheetViews>
  <sheetFormatPr defaultColWidth="8.6640625" defaultRowHeight="14.4" x14ac:dyDescent="0.3"/>
  <cols>
    <col min="1" max="1" width="10.77734375" bestFit="1" customWidth="1"/>
    <col min="2" max="2" width="23" bestFit="1" customWidth="1"/>
    <col min="3" max="3" width="20.5546875" bestFit="1" customWidth="1"/>
    <col min="4" max="4" width="19.77734375" bestFit="1" customWidth="1"/>
    <col min="5" max="6" width="18.109375" bestFit="1" customWidth="1"/>
  </cols>
  <sheetData>
    <row r="3" spans="1:9" x14ac:dyDescent="0.3">
      <c r="A3" s="100" t="s">
        <v>3</v>
      </c>
      <c r="B3" t="s">
        <v>76</v>
      </c>
      <c r="C3" t="s">
        <v>77</v>
      </c>
      <c r="D3" t="s">
        <v>78</v>
      </c>
    </row>
    <row r="4" spans="1:9" x14ac:dyDescent="0.3">
      <c r="A4" s="7" t="s">
        <v>33</v>
      </c>
      <c r="B4" s="255">
        <v>0</v>
      </c>
      <c r="C4" s="255">
        <v>0</v>
      </c>
      <c r="D4" s="255">
        <v>0</v>
      </c>
    </row>
    <row r="5" spans="1:9" x14ac:dyDescent="0.3">
      <c r="A5" s="138" t="s">
        <v>79</v>
      </c>
      <c r="B5" s="255">
        <v>0</v>
      </c>
      <c r="C5" s="255">
        <v>0</v>
      </c>
      <c r="D5" s="255">
        <v>0</v>
      </c>
      <c r="H5" s="2"/>
      <c r="I5" s="2"/>
    </row>
    <row r="6" spans="1:9" x14ac:dyDescent="0.3">
      <c r="A6" s="139" t="s">
        <v>80</v>
      </c>
      <c r="B6" s="255"/>
      <c r="C6" s="255"/>
      <c r="D6" s="255"/>
      <c r="H6" s="2"/>
      <c r="I6" s="2"/>
    </row>
    <row r="7" spans="1:9" x14ac:dyDescent="0.3">
      <c r="A7" s="139" t="s">
        <v>81</v>
      </c>
      <c r="B7" s="255">
        <v>0</v>
      </c>
      <c r="C7" s="255">
        <v>0</v>
      </c>
      <c r="D7" s="255">
        <v>0</v>
      </c>
      <c r="H7" s="2"/>
      <c r="I7" s="2"/>
    </row>
    <row r="8" spans="1:9" x14ac:dyDescent="0.3">
      <c r="A8" s="139" t="s">
        <v>82</v>
      </c>
      <c r="B8" s="255">
        <v>0</v>
      </c>
      <c r="C8" s="255">
        <v>0</v>
      </c>
      <c r="D8" s="255">
        <v>0</v>
      </c>
      <c r="H8" s="2"/>
      <c r="I8" s="2"/>
    </row>
    <row r="9" spans="1:9" x14ac:dyDescent="0.3">
      <c r="A9" s="138" t="s">
        <v>83</v>
      </c>
      <c r="B9" s="255">
        <v>0</v>
      </c>
      <c r="C9" s="255">
        <v>0</v>
      </c>
      <c r="D9" s="255">
        <v>0</v>
      </c>
      <c r="H9" s="2"/>
      <c r="I9" s="2"/>
    </row>
    <row r="10" spans="1:9" x14ac:dyDescent="0.3">
      <c r="A10" s="139" t="s">
        <v>84</v>
      </c>
      <c r="B10" s="255">
        <v>0</v>
      </c>
      <c r="C10" s="255">
        <v>0</v>
      </c>
      <c r="D10" s="255">
        <v>0</v>
      </c>
      <c r="H10" s="2"/>
      <c r="I10" s="2"/>
    </row>
    <row r="11" spans="1:9" x14ac:dyDescent="0.3">
      <c r="A11" s="139" t="s">
        <v>85</v>
      </c>
      <c r="B11" s="255">
        <v>0</v>
      </c>
      <c r="C11" s="255">
        <v>0</v>
      </c>
      <c r="D11" s="255">
        <v>0</v>
      </c>
      <c r="H11" s="2"/>
      <c r="I11" s="2"/>
    </row>
    <row r="12" spans="1:9" x14ac:dyDescent="0.3">
      <c r="A12" s="139" t="s">
        <v>86</v>
      </c>
      <c r="B12" s="255">
        <v>0</v>
      </c>
      <c r="C12" s="255">
        <v>0</v>
      </c>
      <c r="D12" s="255">
        <v>0</v>
      </c>
      <c r="H12" s="2"/>
      <c r="I12" s="2"/>
    </row>
    <row r="13" spans="1:9" x14ac:dyDescent="0.3">
      <c r="A13" s="138" t="s">
        <v>87</v>
      </c>
      <c r="B13" s="255">
        <v>0</v>
      </c>
      <c r="C13" s="255">
        <v>0</v>
      </c>
      <c r="D13" s="255">
        <v>0</v>
      </c>
      <c r="H13" s="2"/>
      <c r="I13" s="2"/>
    </row>
    <row r="14" spans="1:9" x14ac:dyDescent="0.3">
      <c r="A14" s="139" t="s">
        <v>88</v>
      </c>
      <c r="B14" s="255">
        <v>0</v>
      </c>
      <c r="C14" s="255">
        <v>0</v>
      </c>
      <c r="D14" s="255">
        <v>0</v>
      </c>
      <c r="H14" s="2"/>
      <c r="I14" s="2"/>
    </row>
    <row r="15" spans="1:9" x14ac:dyDescent="0.3">
      <c r="A15" s="139" t="s">
        <v>89</v>
      </c>
      <c r="B15" s="255">
        <v>0</v>
      </c>
      <c r="C15" s="255">
        <v>0</v>
      </c>
      <c r="D15" s="255">
        <v>0</v>
      </c>
      <c r="H15" s="2"/>
      <c r="I15" s="2"/>
    </row>
    <row r="16" spans="1:9" x14ac:dyDescent="0.3">
      <c r="A16" s="139" t="s">
        <v>169</v>
      </c>
      <c r="B16" s="255">
        <v>0</v>
      </c>
      <c r="C16" s="255">
        <v>0</v>
      </c>
      <c r="D16" s="255">
        <v>0</v>
      </c>
      <c r="H16" s="2"/>
      <c r="I16" s="2"/>
    </row>
    <row r="17" spans="1:9" x14ac:dyDescent="0.3">
      <c r="A17" s="138" t="s">
        <v>90</v>
      </c>
      <c r="B17" s="255">
        <v>0</v>
      </c>
      <c r="C17" s="255">
        <v>0</v>
      </c>
      <c r="D17" s="255">
        <v>0</v>
      </c>
      <c r="H17" s="2"/>
      <c r="I17" s="2"/>
    </row>
    <row r="18" spans="1:9" x14ac:dyDescent="0.3">
      <c r="A18" s="139" t="s">
        <v>91</v>
      </c>
      <c r="B18" s="255">
        <v>0</v>
      </c>
      <c r="C18" s="255">
        <v>0</v>
      </c>
      <c r="D18" s="255">
        <v>0</v>
      </c>
      <c r="H18" s="2"/>
      <c r="I18" s="2"/>
    </row>
    <row r="19" spans="1:9" x14ac:dyDescent="0.3">
      <c r="A19" s="139" t="s">
        <v>92</v>
      </c>
      <c r="B19" s="255">
        <v>0</v>
      </c>
      <c r="C19" s="255">
        <v>0</v>
      </c>
      <c r="D19" s="255">
        <v>0</v>
      </c>
      <c r="H19" s="2"/>
      <c r="I19" s="2"/>
    </row>
    <row r="20" spans="1:9" x14ac:dyDescent="0.3">
      <c r="A20" s="139" t="s">
        <v>93</v>
      </c>
      <c r="B20" s="255">
        <v>0</v>
      </c>
      <c r="C20" s="255">
        <v>0</v>
      </c>
      <c r="D20" s="255">
        <v>0</v>
      </c>
      <c r="H20" s="2"/>
      <c r="I20" s="2"/>
    </row>
    <row r="21" spans="1:9" x14ac:dyDescent="0.3">
      <c r="A21" s="7" t="s">
        <v>34</v>
      </c>
      <c r="B21" s="255">
        <v>7.0469112532720377</v>
      </c>
      <c r="C21" s="255">
        <v>9.3958816710293824</v>
      </c>
      <c r="D21" s="255">
        <v>64.146887180883184</v>
      </c>
      <c r="H21" s="2"/>
      <c r="I21" s="2"/>
    </row>
    <row r="22" spans="1:9" x14ac:dyDescent="0.3">
      <c r="A22" s="138" t="s">
        <v>79</v>
      </c>
      <c r="B22" s="255">
        <v>5.6694067282082869</v>
      </c>
      <c r="C22" s="255">
        <v>7.5592089709443826</v>
      </c>
      <c r="D22" s="255">
        <v>16.645575711973812</v>
      </c>
      <c r="H22" s="2"/>
      <c r="I22" s="2"/>
    </row>
    <row r="23" spans="1:9" x14ac:dyDescent="0.3">
      <c r="A23" s="139" t="s">
        <v>80</v>
      </c>
      <c r="B23" s="255">
        <v>5.6694067282082869</v>
      </c>
      <c r="C23" s="255">
        <v>7.5592089709443826</v>
      </c>
      <c r="D23" s="255">
        <v>5.5950208970944395</v>
      </c>
      <c r="H23" s="2"/>
      <c r="I23" s="2"/>
    </row>
    <row r="24" spans="1:9" x14ac:dyDescent="0.3">
      <c r="A24" s="139" t="s">
        <v>81</v>
      </c>
      <c r="B24" s="255">
        <v>0</v>
      </c>
      <c r="C24" s="255">
        <v>0</v>
      </c>
      <c r="D24" s="255">
        <v>5.5483957229519865</v>
      </c>
      <c r="H24" s="2"/>
      <c r="I24" s="2"/>
    </row>
    <row r="25" spans="1:9" x14ac:dyDescent="0.3">
      <c r="A25" s="139" t="s">
        <v>82</v>
      </c>
      <c r="B25" s="255">
        <v>0</v>
      </c>
      <c r="C25" s="255">
        <v>0</v>
      </c>
      <c r="D25" s="255">
        <v>5.5021590919273864</v>
      </c>
      <c r="H25" s="2"/>
      <c r="I25" s="2"/>
    </row>
    <row r="26" spans="1:9" x14ac:dyDescent="0.3">
      <c r="A26" s="138" t="s">
        <v>83</v>
      </c>
      <c r="B26" s="255">
        <v>0</v>
      </c>
      <c r="C26" s="255">
        <v>0</v>
      </c>
      <c r="D26" s="255">
        <v>16.232894514591479</v>
      </c>
      <c r="H26" s="2"/>
      <c r="I26" s="2"/>
    </row>
    <row r="27" spans="1:9" x14ac:dyDescent="0.3">
      <c r="A27" s="139" t="s">
        <v>84</v>
      </c>
      <c r="B27" s="255">
        <v>0</v>
      </c>
      <c r="C27" s="255">
        <v>0</v>
      </c>
      <c r="D27" s="255">
        <v>5.4563077661613244</v>
      </c>
      <c r="H27" s="2"/>
      <c r="I27" s="2"/>
    </row>
    <row r="28" spans="1:9" x14ac:dyDescent="0.3">
      <c r="A28" s="139" t="s">
        <v>85</v>
      </c>
      <c r="B28" s="255">
        <v>0</v>
      </c>
      <c r="C28" s="255">
        <v>0</v>
      </c>
      <c r="D28" s="255">
        <v>5.410838534776647</v>
      </c>
      <c r="H28" s="2"/>
      <c r="I28" s="2"/>
    </row>
    <row r="29" spans="1:9" x14ac:dyDescent="0.3">
      <c r="A29" s="139" t="s">
        <v>86</v>
      </c>
      <c r="B29" s="255">
        <v>0</v>
      </c>
      <c r="C29" s="255">
        <v>0</v>
      </c>
      <c r="D29" s="255">
        <v>5.3657482136535082</v>
      </c>
      <c r="H29" s="2"/>
      <c r="I29" s="2"/>
    </row>
    <row r="30" spans="1:9" x14ac:dyDescent="0.3">
      <c r="A30" s="138" t="s">
        <v>87</v>
      </c>
      <c r="B30" s="255">
        <v>0</v>
      </c>
      <c r="C30" s="255">
        <v>0</v>
      </c>
      <c r="D30" s="255">
        <v>15.830444610714389</v>
      </c>
      <c r="H30" s="2"/>
      <c r="I30" s="2"/>
    </row>
    <row r="31" spans="1:9" x14ac:dyDescent="0.3">
      <c r="A31" s="139" t="s">
        <v>88</v>
      </c>
      <c r="B31" s="255">
        <v>0</v>
      </c>
      <c r="C31" s="255">
        <v>0</v>
      </c>
      <c r="D31" s="255">
        <v>5.3210336452063958</v>
      </c>
      <c r="H31" s="2"/>
      <c r="I31" s="2"/>
    </row>
    <row r="32" spans="1:9" x14ac:dyDescent="0.3">
      <c r="A32" s="139" t="s">
        <v>89</v>
      </c>
      <c r="B32" s="255">
        <v>0</v>
      </c>
      <c r="C32" s="255">
        <v>0</v>
      </c>
      <c r="D32" s="255">
        <v>5.2766916981630096</v>
      </c>
      <c r="H32" s="2"/>
      <c r="I32" s="2"/>
    </row>
    <row r="33" spans="1:9" x14ac:dyDescent="0.3">
      <c r="A33" s="139" t="s">
        <v>169</v>
      </c>
      <c r="B33" s="255">
        <v>0</v>
      </c>
      <c r="C33" s="255">
        <v>0</v>
      </c>
      <c r="D33" s="255">
        <v>5.2327192673449847</v>
      </c>
      <c r="H33" s="2"/>
      <c r="I33" s="2"/>
    </row>
    <row r="34" spans="1:9" x14ac:dyDescent="0.3">
      <c r="A34" s="138" t="s">
        <v>90</v>
      </c>
      <c r="B34" s="255">
        <v>1.3775045250637503</v>
      </c>
      <c r="C34" s="255">
        <v>1.8366727000850007</v>
      </c>
      <c r="D34" s="255">
        <v>15.437972343603505</v>
      </c>
      <c r="H34" s="2"/>
      <c r="I34" s="2"/>
    </row>
    <row r="35" spans="1:9" x14ac:dyDescent="0.3">
      <c r="A35" s="139" t="s">
        <v>91</v>
      </c>
      <c r="B35" s="255">
        <v>0</v>
      </c>
      <c r="C35" s="255">
        <v>0</v>
      </c>
      <c r="D35" s="255">
        <v>5.1891132734504435</v>
      </c>
      <c r="H35" s="2"/>
      <c r="I35" s="2"/>
    </row>
    <row r="36" spans="1:9" x14ac:dyDescent="0.3">
      <c r="A36" s="139" t="s">
        <v>92</v>
      </c>
      <c r="B36" s="255">
        <v>0</v>
      </c>
      <c r="C36" s="255">
        <v>0</v>
      </c>
      <c r="D36" s="255">
        <v>5.1458706628383561</v>
      </c>
      <c r="H36" s="2"/>
      <c r="I36" s="2"/>
    </row>
    <row r="37" spans="1:9" x14ac:dyDescent="0.3">
      <c r="A37" s="139" t="s">
        <v>93</v>
      </c>
      <c r="B37" s="255">
        <v>1.3775045250637503</v>
      </c>
      <c r="C37" s="255">
        <v>1.8366727000850007</v>
      </c>
      <c r="D37" s="255">
        <v>5.1029884073147036</v>
      </c>
      <c r="H37" s="2"/>
      <c r="I37" s="2"/>
    </row>
    <row r="38" spans="1:9" x14ac:dyDescent="0.3">
      <c r="A38" s="7" t="s">
        <v>35</v>
      </c>
      <c r="B38" s="255">
        <v>0</v>
      </c>
      <c r="C38" s="255">
        <v>0</v>
      </c>
      <c r="D38" s="255">
        <v>26.643594715932249</v>
      </c>
      <c r="H38" s="2"/>
      <c r="I38" s="2"/>
    </row>
    <row r="39" spans="1:9" x14ac:dyDescent="0.3">
      <c r="A39" s="138" t="s">
        <v>79</v>
      </c>
      <c r="B39" s="255">
        <v>0</v>
      </c>
      <c r="C39" s="255">
        <v>0</v>
      </c>
      <c r="D39" s="255">
        <v>9.1338703767104903</v>
      </c>
      <c r="H39" s="2"/>
      <c r="I39" s="2"/>
    </row>
    <row r="40" spans="1:9" x14ac:dyDescent="0.3">
      <c r="A40" s="139" t="s">
        <v>80</v>
      </c>
      <c r="B40" s="255">
        <v>0</v>
      </c>
      <c r="C40" s="255">
        <v>0</v>
      </c>
      <c r="D40" s="255">
        <v>5.0604635039204142</v>
      </c>
      <c r="H40" s="2"/>
      <c r="I40" s="2"/>
    </row>
    <row r="41" spans="1:9" x14ac:dyDescent="0.3">
      <c r="A41" s="139" t="s">
        <v>81</v>
      </c>
      <c r="B41" s="255">
        <v>0</v>
      </c>
      <c r="C41" s="255">
        <v>0</v>
      </c>
      <c r="D41" s="255">
        <v>2.0452252080954358</v>
      </c>
      <c r="H41" s="2"/>
      <c r="I41" s="2"/>
    </row>
    <row r="42" spans="1:9" x14ac:dyDescent="0.3">
      <c r="A42" s="139" t="s">
        <v>82</v>
      </c>
      <c r="B42" s="255">
        <v>0</v>
      </c>
      <c r="C42" s="255">
        <v>0</v>
      </c>
      <c r="D42" s="255">
        <v>2.0281816646946407</v>
      </c>
      <c r="H42" s="2"/>
      <c r="I42" s="2"/>
    </row>
    <row r="43" spans="1:9" x14ac:dyDescent="0.3">
      <c r="A43" s="138" t="s">
        <v>83</v>
      </c>
      <c r="B43" s="255">
        <v>0</v>
      </c>
      <c r="C43" s="255">
        <v>0</v>
      </c>
      <c r="D43" s="255">
        <v>5.9836981209286968</v>
      </c>
      <c r="H43" s="2"/>
      <c r="I43" s="2"/>
    </row>
    <row r="44" spans="1:9" x14ac:dyDescent="0.3">
      <c r="A44" s="139" t="s">
        <v>84</v>
      </c>
      <c r="B44" s="255">
        <v>0</v>
      </c>
      <c r="C44" s="255">
        <v>0</v>
      </c>
      <c r="D44" s="255">
        <v>2.0112801508221856</v>
      </c>
      <c r="H44" s="2"/>
      <c r="I44" s="2"/>
    </row>
    <row r="45" spans="1:9" x14ac:dyDescent="0.3">
      <c r="A45" s="139" t="s">
        <v>85</v>
      </c>
      <c r="B45" s="255">
        <v>0</v>
      </c>
      <c r="C45" s="255">
        <v>0</v>
      </c>
      <c r="D45" s="255">
        <v>1.994519482898667</v>
      </c>
      <c r="H45" s="2"/>
      <c r="I45" s="2"/>
    </row>
    <row r="46" spans="1:9" x14ac:dyDescent="0.3">
      <c r="A46" s="139" t="s">
        <v>86</v>
      </c>
      <c r="B46" s="255">
        <v>0</v>
      </c>
      <c r="C46" s="255">
        <v>0</v>
      </c>
      <c r="D46" s="255">
        <v>1.9778984872078447</v>
      </c>
      <c r="H46" s="2"/>
      <c r="I46" s="2"/>
    </row>
    <row r="47" spans="1:9" x14ac:dyDescent="0.3">
      <c r="A47" s="138" t="s">
        <v>87</v>
      </c>
      <c r="B47" s="255">
        <v>0</v>
      </c>
      <c r="C47" s="255">
        <v>0</v>
      </c>
      <c r="D47" s="255">
        <v>5.8353488088924088</v>
      </c>
    </row>
    <row r="48" spans="1:9" x14ac:dyDescent="0.3">
      <c r="A48" s="139" t="s">
        <v>88</v>
      </c>
      <c r="B48" s="255">
        <v>0</v>
      </c>
      <c r="C48" s="255">
        <v>0</v>
      </c>
      <c r="D48" s="255">
        <v>1.9614159998144463</v>
      </c>
    </row>
    <row r="49" spans="1:4" x14ac:dyDescent="0.3">
      <c r="A49" s="139" t="s">
        <v>89</v>
      </c>
      <c r="B49" s="255">
        <v>0</v>
      </c>
      <c r="C49" s="255">
        <v>0</v>
      </c>
      <c r="D49" s="255">
        <v>1.9450708664826593</v>
      </c>
    </row>
    <row r="50" spans="1:4" x14ac:dyDescent="0.3">
      <c r="A50" s="139" t="s">
        <v>169</v>
      </c>
      <c r="B50" s="255">
        <v>0</v>
      </c>
      <c r="C50" s="255">
        <v>0</v>
      </c>
      <c r="D50" s="255">
        <v>1.9288619425953037</v>
      </c>
    </row>
    <row r="51" spans="1:4" x14ac:dyDescent="0.3">
      <c r="A51" s="138" t="s">
        <v>90</v>
      </c>
      <c r="B51" s="255">
        <v>0</v>
      </c>
      <c r="C51" s="255">
        <v>0</v>
      </c>
      <c r="D51" s="255">
        <v>5.6906774094006503</v>
      </c>
    </row>
    <row r="52" spans="1:4" x14ac:dyDescent="0.3">
      <c r="A52" s="139" t="s">
        <v>91</v>
      </c>
      <c r="B52" s="255">
        <v>0</v>
      </c>
      <c r="C52" s="255">
        <v>0</v>
      </c>
      <c r="D52" s="255">
        <v>1.9127880930736763</v>
      </c>
    </row>
    <row r="53" spans="1:4" x14ac:dyDescent="0.3">
      <c r="A53" s="139" t="s">
        <v>92</v>
      </c>
      <c r="B53" s="255">
        <v>0</v>
      </c>
      <c r="C53" s="255">
        <v>0</v>
      </c>
      <c r="D53" s="255">
        <v>1.8968481922980622</v>
      </c>
    </row>
    <row r="54" spans="1:4" x14ac:dyDescent="0.3">
      <c r="A54" s="139" t="s">
        <v>93</v>
      </c>
      <c r="B54" s="255">
        <v>0</v>
      </c>
      <c r="C54" s="255">
        <v>0</v>
      </c>
      <c r="D54" s="255">
        <v>1.8810411240289118</v>
      </c>
    </row>
    <row r="55" spans="1:4" x14ac:dyDescent="0.3">
      <c r="A55" s="7" t="s">
        <v>36</v>
      </c>
      <c r="B55" s="255">
        <v>0</v>
      </c>
      <c r="C55" s="255">
        <v>0</v>
      </c>
      <c r="D55" s="255">
        <v>1.8653657813286708</v>
      </c>
    </row>
    <row r="56" spans="1:4" x14ac:dyDescent="0.3">
      <c r="A56" s="138" t="s">
        <v>79</v>
      </c>
      <c r="B56" s="255">
        <v>0</v>
      </c>
      <c r="C56" s="255">
        <v>0</v>
      </c>
      <c r="D56" s="255">
        <v>1.8653657813286708</v>
      </c>
    </row>
    <row r="57" spans="1:4" x14ac:dyDescent="0.3">
      <c r="A57" s="139" t="s">
        <v>80</v>
      </c>
      <c r="B57" s="255">
        <v>0</v>
      </c>
      <c r="C57" s="255">
        <v>0</v>
      </c>
      <c r="D57" s="255">
        <v>1.8653657813286708</v>
      </c>
    </row>
    <row r="58" spans="1:4" x14ac:dyDescent="0.3">
      <c r="A58" s="139" t="s">
        <v>81</v>
      </c>
      <c r="B58" s="255">
        <v>0</v>
      </c>
      <c r="C58" s="255">
        <v>0</v>
      </c>
      <c r="D58" s="255">
        <v>0</v>
      </c>
    </row>
    <row r="59" spans="1:4" x14ac:dyDescent="0.3">
      <c r="A59" s="139" t="s">
        <v>82</v>
      </c>
      <c r="B59" s="255">
        <v>0</v>
      </c>
      <c r="C59" s="255">
        <v>0</v>
      </c>
      <c r="D59" s="255">
        <v>0</v>
      </c>
    </row>
    <row r="60" spans="1:4" x14ac:dyDescent="0.3">
      <c r="A60" s="138" t="s">
        <v>83</v>
      </c>
      <c r="B60" s="255">
        <v>0</v>
      </c>
      <c r="C60" s="255">
        <v>0</v>
      </c>
      <c r="D60" s="255">
        <v>0</v>
      </c>
    </row>
    <row r="61" spans="1:4" x14ac:dyDescent="0.3">
      <c r="A61" s="139" t="s">
        <v>84</v>
      </c>
      <c r="B61" s="255">
        <v>0</v>
      </c>
      <c r="C61" s="255">
        <v>0</v>
      </c>
      <c r="D61" s="255">
        <v>0</v>
      </c>
    </row>
    <row r="62" spans="1:4" x14ac:dyDescent="0.3">
      <c r="A62" s="139" t="s">
        <v>85</v>
      </c>
      <c r="B62" s="255">
        <v>0</v>
      </c>
      <c r="C62" s="255">
        <v>0</v>
      </c>
      <c r="D62" s="255">
        <v>0</v>
      </c>
    </row>
    <row r="63" spans="1:4" x14ac:dyDescent="0.3">
      <c r="A63" s="139" t="s">
        <v>86</v>
      </c>
      <c r="B63" s="255">
        <v>0</v>
      </c>
      <c r="C63" s="255">
        <v>0</v>
      </c>
      <c r="D63" s="255">
        <v>0</v>
      </c>
    </row>
    <row r="64" spans="1:4" x14ac:dyDescent="0.3">
      <c r="A64" s="138" t="s">
        <v>87</v>
      </c>
      <c r="B64" s="255">
        <v>0</v>
      </c>
      <c r="C64" s="255">
        <v>0</v>
      </c>
      <c r="D64" s="255">
        <v>0</v>
      </c>
    </row>
    <row r="65" spans="1:4" x14ac:dyDescent="0.3">
      <c r="A65" s="139" t="s">
        <v>88</v>
      </c>
      <c r="B65" s="255">
        <v>0</v>
      </c>
      <c r="C65" s="255">
        <v>0</v>
      </c>
      <c r="D65" s="255">
        <v>0</v>
      </c>
    </row>
    <row r="66" spans="1:4" x14ac:dyDescent="0.3">
      <c r="A66" s="139" t="s">
        <v>89</v>
      </c>
      <c r="B66" s="255">
        <v>0</v>
      </c>
      <c r="C66" s="255">
        <v>0</v>
      </c>
      <c r="D66" s="255">
        <v>0</v>
      </c>
    </row>
    <row r="67" spans="1:4" x14ac:dyDescent="0.3">
      <c r="A67" s="139" t="s">
        <v>169</v>
      </c>
      <c r="B67" s="255">
        <v>0</v>
      </c>
      <c r="C67" s="255">
        <v>0</v>
      </c>
      <c r="D67" s="255">
        <v>0</v>
      </c>
    </row>
    <row r="68" spans="1:4" x14ac:dyDescent="0.3">
      <c r="A68" s="138" t="s">
        <v>90</v>
      </c>
      <c r="B68" s="255">
        <v>0</v>
      </c>
      <c r="C68" s="255">
        <v>0</v>
      </c>
      <c r="D68" s="255">
        <v>0</v>
      </c>
    </row>
    <row r="69" spans="1:4" x14ac:dyDescent="0.3">
      <c r="A69" s="139" t="s">
        <v>91</v>
      </c>
      <c r="B69" s="255">
        <v>0</v>
      </c>
      <c r="C69" s="255">
        <v>0</v>
      </c>
      <c r="D69" s="255">
        <v>0</v>
      </c>
    </row>
    <row r="70" spans="1:4" x14ac:dyDescent="0.3">
      <c r="A70" s="139" t="s">
        <v>92</v>
      </c>
      <c r="B70" s="255">
        <v>0</v>
      </c>
      <c r="C70" s="255">
        <v>0</v>
      </c>
      <c r="D70" s="255">
        <v>0</v>
      </c>
    </row>
    <row r="71" spans="1:4" x14ac:dyDescent="0.3">
      <c r="A71" s="139" t="s">
        <v>93</v>
      </c>
      <c r="B71" s="255">
        <v>0</v>
      </c>
      <c r="C71" s="255">
        <v>0</v>
      </c>
      <c r="D71" s="255">
        <v>0</v>
      </c>
    </row>
    <row r="72" spans="1:4" x14ac:dyDescent="0.3">
      <c r="A72" s="7" t="s">
        <v>37</v>
      </c>
      <c r="B72" s="255">
        <v>0</v>
      </c>
      <c r="C72" s="255">
        <v>0</v>
      </c>
      <c r="D72" s="255">
        <v>54.72840485480701</v>
      </c>
    </row>
    <row r="73" spans="1:4" x14ac:dyDescent="0.3">
      <c r="A73" s="138" t="s">
        <v>79</v>
      </c>
      <c r="B73" s="255">
        <v>0</v>
      </c>
      <c r="C73" s="255">
        <v>0</v>
      </c>
      <c r="D73" s="255">
        <v>14.201559056753945</v>
      </c>
    </row>
    <row r="74" spans="1:4" x14ac:dyDescent="0.3">
      <c r="A74" s="139" t="s">
        <v>80</v>
      </c>
      <c r="B74" s="255">
        <v>0</v>
      </c>
      <c r="C74" s="255">
        <v>0</v>
      </c>
      <c r="D74" s="255">
        <v>4.7735218696402226</v>
      </c>
    </row>
    <row r="75" spans="1:4" x14ac:dyDescent="0.3">
      <c r="A75" s="139" t="s">
        <v>81</v>
      </c>
      <c r="B75" s="255">
        <v>0</v>
      </c>
      <c r="C75" s="255">
        <v>0</v>
      </c>
      <c r="D75" s="255">
        <v>4.7337425207265547</v>
      </c>
    </row>
    <row r="76" spans="1:4" x14ac:dyDescent="0.3">
      <c r="A76" s="139" t="s">
        <v>82</v>
      </c>
      <c r="B76" s="255">
        <v>0</v>
      </c>
      <c r="C76" s="255">
        <v>0</v>
      </c>
      <c r="D76" s="255">
        <v>4.694294666387167</v>
      </c>
    </row>
    <row r="77" spans="1:4" x14ac:dyDescent="0.3">
      <c r="A77" s="138" t="s">
        <v>83</v>
      </c>
      <c r="B77" s="255">
        <v>0</v>
      </c>
      <c r="C77" s="255">
        <v>0</v>
      </c>
      <c r="D77" s="255">
        <v>13.849470519977096</v>
      </c>
    </row>
    <row r="78" spans="1:4" x14ac:dyDescent="0.3">
      <c r="A78" s="139" t="s">
        <v>84</v>
      </c>
      <c r="B78" s="255">
        <v>0</v>
      </c>
      <c r="C78" s="255">
        <v>0</v>
      </c>
      <c r="D78" s="255">
        <v>4.6551755441672737</v>
      </c>
    </row>
    <row r="79" spans="1:4" x14ac:dyDescent="0.3">
      <c r="A79" s="139" t="s">
        <v>85</v>
      </c>
      <c r="B79" s="255">
        <v>0</v>
      </c>
      <c r="C79" s="255">
        <v>0</v>
      </c>
      <c r="D79" s="255">
        <v>4.6163824146325467</v>
      </c>
    </row>
    <row r="80" spans="1:4" x14ac:dyDescent="0.3">
      <c r="A80" s="139" t="s">
        <v>86</v>
      </c>
      <c r="B80" s="255">
        <v>0</v>
      </c>
      <c r="C80" s="255">
        <v>0</v>
      </c>
      <c r="D80" s="255">
        <v>4.5779125611772757</v>
      </c>
    </row>
    <row r="81" spans="1:4" x14ac:dyDescent="0.3">
      <c r="A81" s="138" t="s">
        <v>87</v>
      </c>
      <c r="B81" s="255">
        <v>0</v>
      </c>
      <c r="C81" s="255">
        <v>0</v>
      </c>
      <c r="D81" s="255">
        <v>13.506111048596114</v>
      </c>
    </row>
    <row r="82" spans="1:4" x14ac:dyDescent="0.3">
      <c r="A82" s="139" t="s">
        <v>88</v>
      </c>
      <c r="B82" s="255">
        <v>0</v>
      </c>
      <c r="C82" s="255">
        <v>0</v>
      </c>
      <c r="D82" s="255">
        <v>4.5397632898341316</v>
      </c>
    </row>
    <row r="83" spans="1:4" x14ac:dyDescent="0.3">
      <c r="A83" s="139" t="s">
        <v>89</v>
      </c>
      <c r="B83" s="255">
        <v>0</v>
      </c>
      <c r="C83" s="255">
        <v>0</v>
      </c>
      <c r="D83" s="255">
        <v>4.5019319290855142</v>
      </c>
    </row>
    <row r="84" spans="1:4" x14ac:dyDescent="0.3">
      <c r="A84" s="139" t="s">
        <v>169</v>
      </c>
      <c r="B84" s="255">
        <v>0</v>
      </c>
      <c r="C84" s="255">
        <v>0</v>
      </c>
      <c r="D84" s="255">
        <v>4.4644158296764678</v>
      </c>
    </row>
    <row r="85" spans="1:4" x14ac:dyDescent="0.3">
      <c r="A85" s="138" t="s">
        <v>90</v>
      </c>
      <c r="B85" s="255">
        <v>0</v>
      </c>
      <c r="C85" s="255">
        <v>0</v>
      </c>
      <c r="D85" s="255">
        <v>13.171264229479853</v>
      </c>
    </row>
    <row r="86" spans="1:4" x14ac:dyDescent="0.3">
      <c r="A86" s="139" t="s">
        <v>91</v>
      </c>
      <c r="B86" s="255">
        <v>0</v>
      </c>
      <c r="C86" s="255">
        <v>0</v>
      </c>
      <c r="D86" s="255">
        <v>4.427212364429165</v>
      </c>
    </row>
    <row r="87" spans="1:4" x14ac:dyDescent="0.3">
      <c r="A87" s="139" t="s">
        <v>92</v>
      </c>
      <c r="B87" s="255">
        <v>0</v>
      </c>
      <c r="C87" s="255">
        <v>0</v>
      </c>
      <c r="D87" s="255">
        <v>4.3903189280589219</v>
      </c>
    </row>
    <row r="88" spans="1:4" x14ac:dyDescent="0.3">
      <c r="A88" s="139" t="s">
        <v>93</v>
      </c>
      <c r="B88" s="255">
        <v>0</v>
      </c>
      <c r="C88" s="255">
        <v>0</v>
      </c>
      <c r="D88" s="255">
        <v>4.3537329369917641</v>
      </c>
    </row>
    <row r="89" spans="1:4" x14ac:dyDescent="0.3">
      <c r="A89" s="7" t="s">
        <v>38</v>
      </c>
      <c r="B89" s="255">
        <v>0</v>
      </c>
      <c r="C89" s="255">
        <v>0</v>
      </c>
      <c r="D89" s="255">
        <v>25.60195097347043</v>
      </c>
    </row>
    <row r="90" spans="1:4" x14ac:dyDescent="0.3">
      <c r="A90" s="138" t="s">
        <v>79</v>
      </c>
      <c r="B90" s="255">
        <v>0</v>
      </c>
      <c r="C90" s="255">
        <v>0</v>
      </c>
      <c r="D90" s="255">
        <v>8.3344975602487317</v>
      </c>
    </row>
    <row r="91" spans="1:4" x14ac:dyDescent="0.3">
      <c r="A91" s="139" t="s">
        <v>80</v>
      </c>
      <c r="B91" s="255">
        <v>0</v>
      </c>
      <c r="C91" s="255">
        <v>0</v>
      </c>
      <c r="D91" s="255">
        <v>4.3174518291834998</v>
      </c>
    </row>
    <row r="92" spans="1:4" x14ac:dyDescent="0.3">
      <c r="A92" s="139" t="s">
        <v>81</v>
      </c>
      <c r="B92" s="255">
        <v>0</v>
      </c>
      <c r="C92" s="255">
        <v>0</v>
      </c>
      <c r="D92" s="255">
        <v>2.0169267268946767</v>
      </c>
    </row>
    <row r="93" spans="1:4" x14ac:dyDescent="0.3">
      <c r="A93" s="139" t="s">
        <v>82</v>
      </c>
      <c r="B93" s="255">
        <v>0</v>
      </c>
      <c r="C93" s="255">
        <v>0</v>
      </c>
      <c r="D93" s="255">
        <v>2.0001190041705548</v>
      </c>
    </row>
    <row r="94" spans="1:4" x14ac:dyDescent="0.3">
      <c r="A94" s="138" t="s">
        <v>83</v>
      </c>
      <c r="B94" s="255">
        <v>0</v>
      </c>
      <c r="C94" s="255">
        <v>0</v>
      </c>
      <c r="D94" s="255">
        <v>5.9009054934391303</v>
      </c>
    </row>
    <row r="95" spans="1:4" x14ac:dyDescent="0.3">
      <c r="A95" s="139" t="s">
        <v>84</v>
      </c>
      <c r="B95" s="255">
        <v>0</v>
      </c>
      <c r="C95" s="255">
        <v>0</v>
      </c>
      <c r="D95" s="255">
        <v>1.9834513458024667</v>
      </c>
    </row>
    <row r="96" spans="1:4" x14ac:dyDescent="0.3">
      <c r="A96" s="139" t="s">
        <v>85</v>
      </c>
      <c r="B96" s="255">
        <v>0</v>
      </c>
      <c r="C96" s="255">
        <v>0</v>
      </c>
      <c r="D96" s="255">
        <v>1.9669225845874463</v>
      </c>
    </row>
    <row r="97" spans="1:4" x14ac:dyDescent="0.3">
      <c r="A97" s="139" t="s">
        <v>86</v>
      </c>
      <c r="B97" s="255">
        <v>0</v>
      </c>
      <c r="C97" s="255">
        <v>0</v>
      </c>
      <c r="D97" s="255">
        <v>1.9505315630492175</v>
      </c>
    </row>
    <row r="98" spans="1:4" x14ac:dyDescent="0.3">
      <c r="A98" s="138" t="s">
        <v>87</v>
      </c>
      <c r="B98" s="255">
        <v>0</v>
      </c>
      <c r="C98" s="255">
        <v>0</v>
      </c>
      <c r="D98" s="255">
        <v>5.7546087965384212</v>
      </c>
    </row>
    <row r="99" spans="1:4" x14ac:dyDescent="0.3">
      <c r="A99" s="139" t="s">
        <v>88</v>
      </c>
      <c r="B99" s="255">
        <v>0</v>
      </c>
      <c r="C99" s="255">
        <v>0</v>
      </c>
      <c r="D99" s="255">
        <v>1.9342771333571407</v>
      </c>
    </row>
    <row r="100" spans="1:4" x14ac:dyDescent="0.3">
      <c r="A100" s="139" t="s">
        <v>89</v>
      </c>
      <c r="B100" s="255">
        <v>0</v>
      </c>
      <c r="C100" s="255">
        <v>0</v>
      </c>
      <c r="D100" s="255">
        <v>1.9181581572458311</v>
      </c>
    </row>
    <row r="101" spans="1:4" x14ac:dyDescent="0.3">
      <c r="A101" s="139" t="s">
        <v>169</v>
      </c>
      <c r="B101" s="255">
        <v>0</v>
      </c>
      <c r="C101" s="255">
        <v>0</v>
      </c>
      <c r="D101" s="255">
        <v>1.9021735059354492</v>
      </c>
    </row>
    <row r="102" spans="1:4" x14ac:dyDescent="0.3">
      <c r="A102" s="138" t="s">
        <v>90</v>
      </c>
      <c r="B102" s="255">
        <v>0</v>
      </c>
      <c r="C102" s="255">
        <v>0</v>
      </c>
      <c r="D102" s="255">
        <v>5.6119391232441478</v>
      </c>
    </row>
    <row r="103" spans="1:4" x14ac:dyDescent="0.3">
      <c r="A103" s="139" t="s">
        <v>91</v>
      </c>
      <c r="B103" s="255">
        <v>0</v>
      </c>
      <c r="C103" s="255">
        <v>0</v>
      </c>
      <c r="D103" s="255">
        <v>1.8863220600526536</v>
      </c>
    </row>
    <row r="104" spans="1:4" x14ac:dyDescent="0.3">
      <c r="A104" s="139" t="s">
        <v>92</v>
      </c>
      <c r="B104" s="255">
        <v>0</v>
      </c>
      <c r="C104" s="255">
        <v>0</v>
      </c>
      <c r="D104" s="255">
        <v>1.8706027095522146</v>
      </c>
    </row>
    <row r="105" spans="1:4" x14ac:dyDescent="0.3">
      <c r="A105" s="139" t="s">
        <v>93</v>
      </c>
      <c r="B105" s="255">
        <v>0</v>
      </c>
      <c r="C105" s="255">
        <v>0</v>
      </c>
      <c r="D105" s="255">
        <v>1.8550143536392796</v>
      </c>
    </row>
    <row r="106" spans="1:4" x14ac:dyDescent="0.3">
      <c r="A106" s="7" t="s">
        <v>39</v>
      </c>
      <c r="B106" s="255">
        <v>27.492628131949179</v>
      </c>
      <c r="C106" s="255">
        <v>36.656837509265578</v>
      </c>
      <c r="D106" s="255">
        <v>149.74847143006497</v>
      </c>
    </row>
    <row r="107" spans="1:4" x14ac:dyDescent="0.3">
      <c r="A107" s="138" t="s">
        <v>79</v>
      </c>
      <c r="B107" s="255">
        <v>27.492628131949179</v>
      </c>
      <c r="C107" s="255">
        <v>36.656837509265578</v>
      </c>
      <c r="D107" s="255">
        <v>38.858464198155886</v>
      </c>
    </row>
    <row r="108" spans="1:4" x14ac:dyDescent="0.3">
      <c r="A108" s="139" t="s">
        <v>80</v>
      </c>
      <c r="B108" s="255">
        <v>27.492628131949179</v>
      </c>
      <c r="C108" s="255">
        <v>36.656837509265578</v>
      </c>
      <c r="D108" s="255">
        <v>13.061363750926558</v>
      </c>
    </row>
    <row r="109" spans="1:4" x14ac:dyDescent="0.3">
      <c r="A109" s="139" t="s">
        <v>81</v>
      </c>
      <c r="B109" s="255">
        <v>0</v>
      </c>
      <c r="C109" s="255">
        <v>0</v>
      </c>
      <c r="D109" s="255">
        <v>12.95251905300217</v>
      </c>
    </row>
    <row r="110" spans="1:4" x14ac:dyDescent="0.3">
      <c r="A110" s="139" t="s">
        <v>82</v>
      </c>
      <c r="B110" s="255">
        <v>0</v>
      </c>
      <c r="C110" s="255">
        <v>0</v>
      </c>
      <c r="D110" s="255">
        <v>12.844581394227152</v>
      </c>
    </row>
    <row r="111" spans="1:4" x14ac:dyDescent="0.3">
      <c r="A111" s="138" t="s">
        <v>83</v>
      </c>
      <c r="B111" s="255">
        <v>0</v>
      </c>
      <c r="C111" s="255">
        <v>0</v>
      </c>
      <c r="D111" s="255">
        <v>37.895075619039453</v>
      </c>
    </row>
    <row r="112" spans="1:4" x14ac:dyDescent="0.3">
      <c r="A112" s="139" t="s">
        <v>84</v>
      </c>
      <c r="B112" s="255">
        <v>0</v>
      </c>
      <c r="C112" s="255">
        <v>0</v>
      </c>
      <c r="D112" s="255">
        <v>12.737543215941926</v>
      </c>
    </row>
    <row r="113" spans="1:4" x14ac:dyDescent="0.3">
      <c r="A113" s="139" t="s">
        <v>85</v>
      </c>
      <c r="B113" s="255">
        <v>0</v>
      </c>
      <c r="C113" s="255">
        <v>0</v>
      </c>
      <c r="D113" s="255">
        <v>12.631397022475744</v>
      </c>
    </row>
    <row r="114" spans="1:4" x14ac:dyDescent="0.3">
      <c r="A114" s="139" t="s">
        <v>86</v>
      </c>
      <c r="B114" s="255">
        <v>0</v>
      </c>
      <c r="C114" s="255">
        <v>0</v>
      </c>
      <c r="D114" s="255">
        <v>12.526135380621779</v>
      </c>
    </row>
    <row r="115" spans="1:4" x14ac:dyDescent="0.3">
      <c r="A115" s="138" t="s">
        <v>87</v>
      </c>
      <c r="B115" s="255">
        <v>0</v>
      </c>
      <c r="C115" s="255">
        <v>0</v>
      </c>
      <c r="D115" s="255">
        <v>36.955571605963485</v>
      </c>
    </row>
    <row r="116" spans="1:4" x14ac:dyDescent="0.3">
      <c r="A116" s="139" t="s">
        <v>88</v>
      </c>
      <c r="B116" s="255">
        <v>0</v>
      </c>
      <c r="C116" s="255">
        <v>0</v>
      </c>
      <c r="D116" s="255">
        <v>12.421750919116597</v>
      </c>
    </row>
    <row r="117" spans="1:4" x14ac:dyDescent="0.3">
      <c r="A117" s="139" t="s">
        <v>89</v>
      </c>
      <c r="B117" s="255">
        <v>0</v>
      </c>
      <c r="C117" s="255">
        <v>0</v>
      </c>
      <c r="D117" s="255">
        <v>12.318236328123959</v>
      </c>
    </row>
    <row r="118" spans="1:4" x14ac:dyDescent="0.3">
      <c r="A118" s="139" t="s">
        <v>169</v>
      </c>
      <c r="B118" s="255">
        <v>0</v>
      </c>
      <c r="C118" s="255">
        <v>0</v>
      </c>
      <c r="D118" s="255">
        <v>12.215584358722928</v>
      </c>
    </row>
    <row r="119" spans="1:4" x14ac:dyDescent="0.3">
      <c r="A119" s="138" t="s">
        <v>90</v>
      </c>
      <c r="B119" s="255">
        <v>0</v>
      </c>
      <c r="C119" s="255">
        <v>0</v>
      </c>
      <c r="D119" s="255">
        <v>36.039360006906151</v>
      </c>
    </row>
    <row r="120" spans="1:4" x14ac:dyDescent="0.3">
      <c r="A120" s="139" t="s">
        <v>91</v>
      </c>
      <c r="B120" s="255">
        <v>0</v>
      </c>
      <c r="C120" s="255">
        <v>0</v>
      </c>
      <c r="D120" s="255">
        <v>12.113787822400237</v>
      </c>
    </row>
    <row r="121" spans="1:4" x14ac:dyDescent="0.3">
      <c r="A121" s="139" t="s">
        <v>92</v>
      </c>
      <c r="B121" s="255">
        <v>0</v>
      </c>
      <c r="C121" s="255">
        <v>0</v>
      </c>
      <c r="D121" s="255">
        <v>12.012839590546902</v>
      </c>
    </row>
    <row r="122" spans="1:4" x14ac:dyDescent="0.3">
      <c r="A122" s="139" t="s">
        <v>93</v>
      </c>
      <c r="B122" s="255">
        <v>0</v>
      </c>
      <c r="C122" s="255">
        <v>0</v>
      </c>
      <c r="D122" s="255">
        <v>11.91273259395901</v>
      </c>
    </row>
    <row r="123" spans="1:4" x14ac:dyDescent="0.3">
      <c r="A123" s="7" t="s">
        <v>40</v>
      </c>
      <c r="B123" s="255">
        <v>0</v>
      </c>
      <c r="C123" s="255">
        <v>0</v>
      </c>
      <c r="D123" s="255">
        <v>112.67098577289737</v>
      </c>
    </row>
    <row r="124" spans="1:4" x14ac:dyDescent="0.3">
      <c r="A124" s="138" t="s">
        <v>79</v>
      </c>
      <c r="B124" s="255">
        <v>0</v>
      </c>
      <c r="C124" s="255">
        <v>0</v>
      </c>
      <c r="D124" s="255">
        <v>30.848405926499638</v>
      </c>
    </row>
    <row r="125" spans="1:4" x14ac:dyDescent="0.3">
      <c r="A125" s="139" t="s">
        <v>80</v>
      </c>
      <c r="B125" s="255">
        <v>0</v>
      </c>
      <c r="C125" s="255">
        <v>0</v>
      </c>
      <c r="D125" s="255">
        <v>11.813459822342685</v>
      </c>
    </row>
    <row r="126" spans="1:4" x14ac:dyDescent="0.3">
      <c r="A126" s="139" t="s">
        <v>81</v>
      </c>
      <c r="B126" s="255">
        <v>0</v>
      </c>
      <c r="C126" s="255">
        <v>0</v>
      </c>
      <c r="D126" s="255">
        <v>9.5572951150578866</v>
      </c>
    </row>
    <row r="127" spans="1:4" x14ac:dyDescent="0.3">
      <c r="A127" s="139" t="s">
        <v>82</v>
      </c>
      <c r="B127" s="255">
        <v>0</v>
      </c>
      <c r="C127" s="255">
        <v>0</v>
      </c>
      <c r="D127" s="255">
        <v>9.4776509890990699</v>
      </c>
    </row>
    <row r="128" spans="1:4" x14ac:dyDescent="0.3">
      <c r="A128" s="138" t="s">
        <v>83</v>
      </c>
      <c r="B128" s="255">
        <v>0</v>
      </c>
      <c r="C128" s="255">
        <v>0</v>
      </c>
      <c r="D128" s="255">
        <v>27.961697613920833</v>
      </c>
    </row>
    <row r="129" spans="1:4" x14ac:dyDescent="0.3">
      <c r="A129" s="139" t="s">
        <v>84</v>
      </c>
      <c r="B129" s="255">
        <v>0</v>
      </c>
      <c r="C129" s="255">
        <v>0</v>
      </c>
      <c r="D129" s="255">
        <v>9.3986705641899118</v>
      </c>
    </row>
    <row r="130" spans="1:4" x14ac:dyDescent="0.3">
      <c r="A130" s="139" t="s">
        <v>85</v>
      </c>
      <c r="B130" s="255">
        <v>0</v>
      </c>
      <c r="C130" s="255">
        <v>0</v>
      </c>
      <c r="D130" s="255">
        <v>9.3203483094883293</v>
      </c>
    </row>
    <row r="131" spans="1:4" x14ac:dyDescent="0.3">
      <c r="A131" s="139" t="s">
        <v>86</v>
      </c>
      <c r="B131" s="255">
        <v>0</v>
      </c>
      <c r="C131" s="255">
        <v>0</v>
      </c>
      <c r="D131" s="255">
        <v>9.2426787402425923</v>
      </c>
    </row>
    <row r="132" spans="1:4" x14ac:dyDescent="0.3">
      <c r="A132" s="138" t="s">
        <v>87</v>
      </c>
      <c r="B132" s="255">
        <v>0</v>
      </c>
      <c r="C132" s="255">
        <v>0</v>
      </c>
      <c r="D132" s="255">
        <v>27.268464345704409</v>
      </c>
    </row>
    <row r="133" spans="1:4" x14ac:dyDescent="0.3">
      <c r="A133" s="139" t="s">
        <v>88</v>
      </c>
      <c r="B133" s="255">
        <v>0</v>
      </c>
      <c r="C133" s="255">
        <v>0</v>
      </c>
      <c r="D133" s="255">
        <v>9.1656564174072379</v>
      </c>
    </row>
    <row r="134" spans="1:4" x14ac:dyDescent="0.3">
      <c r="A134" s="139" t="s">
        <v>89</v>
      </c>
      <c r="B134" s="255">
        <v>0</v>
      </c>
      <c r="C134" s="255">
        <v>0</v>
      </c>
      <c r="D134" s="255">
        <v>9.0892759472621769</v>
      </c>
    </row>
    <row r="135" spans="1:4" x14ac:dyDescent="0.3">
      <c r="A135" s="139" t="s">
        <v>169</v>
      </c>
      <c r="B135" s="255">
        <v>0</v>
      </c>
      <c r="C135" s="255">
        <v>0</v>
      </c>
      <c r="D135" s="255">
        <v>9.0135319810349923</v>
      </c>
    </row>
    <row r="136" spans="1:4" x14ac:dyDescent="0.3">
      <c r="A136" s="138" t="s">
        <v>90</v>
      </c>
      <c r="B136" s="255">
        <v>0</v>
      </c>
      <c r="C136" s="255">
        <v>0</v>
      </c>
      <c r="D136" s="255">
        <v>26.592417886772502</v>
      </c>
    </row>
    <row r="137" spans="1:4" x14ac:dyDescent="0.3">
      <c r="A137" s="139" t="s">
        <v>91</v>
      </c>
      <c r="B137" s="255">
        <v>0</v>
      </c>
      <c r="C137" s="255">
        <v>0</v>
      </c>
      <c r="D137" s="255">
        <v>8.9384192145263661</v>
      </c>
    </row>
    <row r="138" spans="1:4" x14ac:dyDescent="0.3">
      <c r="A138" s="139" t="s">
        <v>92</v>
      </c>
      <c r="B138" s="255">
        <v>0</v>
      </c>
      <c r="C138" s="255">
        <v>0</v>
      </c>
      <c r="D138" s="255">
        <v>8.8639323877386467</v>
      </c>
    </row>
    <row r="139" spans="1:4" x14ac:dyDescent="0.3">
      <c r="A139" s="139" t="s">
        <v>93</v>
      </c>
      <c r="B139" s="255">
        <v>0</v>
      </c>
      <c r="C139" s="255">
        <v>0</v>
      </c>
      <c r="D139" s="255">
        <v>8.7900662845074908</v>
      </c>
    </row>
    <row r="140" spans="1:4" x14ac:dyDescent="0.3">
      <c r="A140" s="7" t="s">
        <v>41</v>
      </c>
      <c r="B140" s="255">
        <v>0</v>
      </c>
      <c r="C140" s="255">
        <v>0</v>
      </c>
      <c r="D140" s="255">
        <v>8.7168157321365936</v>
      </c>
    </row>
    <row r="141" spans="1:4" x14ac:dyDescent="0.3">
      <c r="A141" s="138" t="s">
        <v>79</v>
      </c>
      <c r="B141" s="255">
        <v>0</v>
      </c>
      <c r="C141" s="255">
        <v>0</v>
      </c>
      <c r="D141" s="255">
        <v>8.7168157321365936</v>
      </c>
    </row>
    <row r="142" spans="1:4" x14ac:dyDescent="0.3">
      <c r="A142" s="139" t="s">
        <v>80</v>
      </c>
      <c r="B142" s="255">
        <v>0</v>
      </c>
      <c r="C142" s="255">
        <v>0</v>
      </c>
      <c r="D142" s="255">
        <v>8.7168157321365936</v>
      </c>
    </row>
    <row r="143" spans="1:4" x14ac:dyDescent="0.3">
      <c r="A143" s="139" t="s">
        <v>81</v>
      </c>
      <c r="B143" s="255">
        <v>0</v>
      </c>
      <c r="C143" s="255">
        <v>0</v>
      </c>
      <c r="D143" s="255">
        <v>0</v>
      </c>
    </row>
    <row r="144" spans="1:4" x14ac:dyDescent="0.3">
      <c r="A144" s="139" t="s">
        <v>82</v>
      </c>
      <c r="B144" s="255">
        <v>0</v>
      </c>
      <c r="C144" s="255">
        <v>0</v>
      </c>
      <c r="D144" s="255">
        <v>0</v>
      </c>
    </row>
    <row r="145" spans="1:4" x14ac:dyDescent="0.3">
      <c r="A145" s="138" t="s">
        <v>83</v>
      </c>
      <c r="B145" s="255">
        <v>0</v>
      </c>
      <c r="C145" s="255">
        <v>0</v>
      </c>
      <c r="D145" s="255">
        <v>0</v>
      </c>
    </row>
    <row r="146" spans="1:4" x14ac:dyDescent="0.3">
      <c r="A146" s="139" t="s">
        <v>84</v>
      </c>
      <c r="B146" s="255">
        <v>0</v>
      </c>
      <c r="C146" s="255">
        <v>0</v>
      </c>
      <c r="D146" s="255">
        <v>0</v>
      </c>
    </row>
    <row r="147" spans="1:4" x14ac:dyDescent="0.3">
      <c r="A147" s="139" t="s">
        <v>85</v>
      </c>
      <c r="B147" s="255">
        <v>0</v>
      </c>
      <c r="C147" s="255">
        <v>0</v>
      </c>
      <c r="D147" s="255">
        <v>0</v>
      </c>
    </row>
    <row r="148" spans="1:4" x14ac:dyDescent="0.3">
      <c r="A148" s="139" t="s">
        <v>86</v>
      </c>
      <c r="B148" s="255">
        <v>0</v>
      </c>
      <c r="C148" s="255">
        <v>0</v>
      </c>
      <c r="D148" s="255">
        <v>0</v>
      </c>
    </row>
    <row r="149" spans="1:4" x14ac:dyDescent="0.3">
      <c r="A149" s="138" t="s">
        <v>87</v>
      </c>
      <c r="B149" s="255">
        <v>0</v>
      </c>
      <c r="C149" s="255">
        <v>0</v>
      </c>
      <c r="D149" s="255">
        <v>0</v>
      </c>
    </row>
    <row r="150" spans="1:4" x14ac:dyDescent="0.3">
      <c r="A150" s="139" t="s">
        <v>88</v>
      </c>
      <c r="B150" s="255">
        <v>0</v>
      </c>
      <c r="C150" s="255">
        <v>0</v>
      </c>
      <c r="D150" s="255">
        <v>0</v>
      </c>
    </row>
    <row r="151" spans="1:4" x14ac:dyDescent="0.3">
      <c r="A151" s="139" t="s">
        <v>89</v>
      </c>
      <c r="B151" s="255">
        <v>0</v>
      </c>
      <c r="C151" s="255">
        <v>0</v>
      </c>
      <c r="D151" s="255">
        <v>0</v>
      </c>
    </row>
    <row r="152" spans="1:4" x14ac:dyDescent="0.3">
      <c r="A152" s="139" t="s">
        <v>169</v>
      </c>
      <c r="B152" s="255">
        <v>0</v>
      </c>
      <c r="C152" s="255">
        <v>0</v>
      </c>
      <c r="D152" s="255">
        <v>0</v>
      </c>
    </row>
    <row r="153" spans="1:4" x14ac:dyDescent="0.3">
      <c r="A153" s="138" t="s">
        <v>90</v>
      </c>
      <c r="B153" s="255">
        <v>0</v>
      </c>
      <c r="C153" s="255">
        <v>0</v>
      </c>
      <c r="D153" s="255">
        <v>0</v>
      </c>
    </row>
    <row r="154" spans="1:4" x14ac:dyDescent="0.3">
      <c r="A154" s="139" t="s">
        <v>91</v>
      </c>
      <c r="B154" s="255">
        <v>0</v>
      </c>
      <c r="C154" s="255">
        <v>0</v>
      </c>
      <c r="D154" s="255">
        <v>0</v>
      </c>
    </row>
    <row r="155" spans="1:4" x14ac:dyDescent="0.3">
      <c r="A155" s="139" t="s">
        <v>92</v>
      </c>
      <c r="B155" s="255">
        <v>0</v>
      </c>
      <c r="C155" s="255">
        <v>0</v>
      </c>
      <c r="D155" s="255">
        <v>0</v>
      </c>
    </row>
    <row r="156" spans="1:4" x14ac:dyDescent="0.3">
      <c r="A156" s="139" t="s">
        <v>93</v>
      </c>
      <c r="B156" s="255">
        <v>0</v>
      </c>
      <c r="C156" s="255">
        <v>0</v>
      </c>
      <c r="D156" s="255">
        <v>0</v>
      </c>
    </row>
    <row r="157" spans="1:4" x14ac:dyDescent="0.3">
      <c r="A157" s="7" t="s">
        <v>42</v>
      </c>
      <c r="B157" s="255">
        <v>57.408466108535535</v>
      </c>
      <c r="C157" s="255">
        <v>76.544621478047389</v>
      </c>
      <c r="D157" s="255">
        <v>171.23948302690474</v>
      </c>
    </row>
    <row r="158" spans="1:4" x14ac:dyDescent="0.3">
      <c r="A158" s="138" t="s">
        <v>79</v>
      </c>
      <c r="B158" s="255">
        <v>57.408466108535535</v>
      </c>
      <c r="C158" s="255">
        <v>76.544621478047389</v>
      </c>
      <c r="D158" s="255">
        <v>44.58236764722222</v>
      </c>
    </row>
    <row r="159" spans="1:4" x14ac:dyDescent="0.3">
      <c r="A159" s="139" t="s">
        <v>80</v>
      </c>
      <c r="B159" s="255">
        <v>57.408466108535535</v>
      </c>
      <c r="C159" s="255">
        <v>76.544621478047389</v>
      </c>
      <c r="D159" s="255">
        <v>14.985320000000002</v>
      </c>
    </row>
    <row r="160" spans="1:4" x14ac:dyDescent="0.3">
      <c r="A160" s="139" t="s">
        <v>81</v>
      </c>
      <c r="B160" s="255">
        <v>0</v>
      </c>
      <c r="C160" s="255">
        <v>0</v>
      </c>
      <c r="D160" s="255">
        <v>14.860442333333333</v>
      </c>
    </row>
    <row r="161" spans="1:4" x14ac:dyDescent="0.3">
      <c r="A161" s="139" t="s">
        <v>82</v>
      </c>
      <c r="B161" s="255">
        <v>0</v>
      </c>
      <c r="C161" s="255">
        <v>0</v>
      </c>
      <c r="D161" s="255">
        <v>14.736605313888887</v>
      </c>
    </row>
    <row r="162" spans="1:4" x14ac:dyDescent="0.3">
      <c r="A162" s="138" t="s">
        <v>83</v>
      </c>
      <c r="B162" s="255">
        <v>0</v>
      </c>
      <c r="C162" s="255">
        <v>0</v>
      </c>
      <c r="D162" s="255">
        <v>43.477070649320225</v>
      </c>
    </row>
    <row r="163" spans="1:4" x14ac:dyDescent="0.3">
      <c r="A163" s="139" t="s">
        <v>84</v>
      </c>
      <c r="B163" s="255">
        <v>0</v>
      </c>
      <c r="C163" s="255">
        <v>0</v>
      </c>
      <c r="D163" s="255">
        <v>14.613800269606481</v>
      </c>
    </row>
    <row r="164" spans="1:4" x14ac:dyDescent="0.3">
      <c r="A164" s="139" t="s">
        <v>85</v>
      </c>
      <c r="B164" s="255">
        <v>0</v>
      </c>
      <c r="C164" s="255">
        <v>0</v>
      </c>
      <c r="D164" s="255">
        <v>14.492018600693095</v>
      </c>
    </row>
    <row r="165" spans="1:4" x14ac:dyDescent="0.3">
      <c r="A165" s="139" t="s">
        <v>86</v>
      </c>
      <c r="B165" s="255">
        <v>0</v>
      </c>
      <c r="C165" s="255">
        <v>0</v>
      </c>
      <c r="D165" s="255">
        <v>14.371251779020653</v>
      </c>
    </row>
    <row r="166" spans="1:4" x14ac:dyDescent="0.3">
      <c r="A166" s="138" t="s">
        <v>87</v>
      </c>
      <c r="B166" s="255">
        <v>0</v>
      </c>
      <c r="C166" s="255">
        <v>0</v>
      </c>
      <c r="D166" s="255">
        <v>42.112048484722237</v>
      </c>
    </row>
    <row r="167" spans="1:4" x14ac:dyDescent="0.3">
      <c r="A167" s="139" t="s">
        <v>88</v>
      </c>
      <c r="B167" s="255">
        <v>0</v>
      </c>
      <c r="C167" s="255">
        <v>0</v>
      </c>
      <c r="D167" s="255">
        <v>14.154980000000004</v>
      </c>
    </row>
    <row r="168" spans="1:4" x14ac:dyDescent="0.3">
      <c r="A168" s="139" t="s">
        <v>89</v>
      </c>
      <c r="B168" s="255">
        <v>0</v>
      </c>
      <c r="C168" s="255">
        <v>0</v>
      </c>
      <c r="D168" s="255">
        <v>14.037021833333339</v>
      </c>
    </row>
    <row r="169" spans="1:4" x14ac:dyDescent="0.3">
      <c r="A169" s="139" t="s">
        <v>169</v>
      </c>
      <c r="B169" s="255">
        <v>0</v>
      </c>
      <c r="C169" s="255">
        <v>0</v>
      </c>
      <c r="D169" s="255">
        <v>13.920046651388894</v>
      </c>
    </row>
    <row r="170" spans="1:4" x14ac:dyDescent="0.3">
      <c r="A170" s="138" t="s">
        <v>90</v>
      </c>
      <c r="B170" s="255">
        <v>0</v>
      </c>
      <c r="C170" s="255">
        <v>0</v>
      </c>
      <c r="D170" s="255">
        <v>41.067996245640067</v>
      </c>
    </row>
    <row r="171" spans="1:4" x14ac:dyDescent="0.3">
      <c r="A171" s="139" t="s">
        <v>91</v>
      </c>
      <c r="B171" s="255">
        <v>0</v>
      </c>
      <c r="C171" s="255">
        <v>0</v>
      </c>
      <c r="D171" s="255">
        <v>13.804046262627319</v>
      </c>
    </row>
    <row r="172" spans="1:4" x14ac:dyDescent="0.3">
      <c r="A172" s="139" t="s">
        <v>92</v>
      </c>
      <c r="B172" s="255">
        <v>0</v>
      </c>
      <c r="C172" s="255">
        <v>0</v>
      </c>
      <c r="D172" s="255">
        <v>13.689012543772092</v>
      </c>
    </row>
    <row r="173" spans="1:4" x14ac:dyDescent="0.3">
      <c r="A173" s="139" t="s">
        <v>93</v>
      </c>
      <c r="B173" s="255">
        <v>0</v>
      </c>
      <c r="C173" s="255">
        <v>0</v>
      </c>
      <c r="D173" s="255">
        <v>13.574937439240657</v>
      </c>
    </row>
    <row r="174" spans="1:4" x14ac:dyDescent="0.3">
      <c r="A174" s="7" t="s">
        <v>43</v>
      </c>
      <c r="B174" s="255">
        <v>146.3083769544466</v>
      </c>
      <c r="C174" s="255">
        <v>195.07783593926217</v>
      </c>
      <c r="D174" s="255">
        <v>26.580445560853111</v>
      </c>
    </row>
    <row r="175" spans="1:4" x14ac:dyDescent="0.3">
      <c r="A175" s="138" t="s">
        <v>79</v>
      </c>
      <c r="B175" s="255">
        <v>0</v>
      </c>
      <c r="C175" s="255">
        <v>0</v>
      </c>
      <c r="D175" s="255">
        <v>15.937706178790432</v>
      </c>
    </row>
    <row r="176" spans="1:4" x14ac:dyDescent="0.3">
      <c r="A176" s="139" t="s">
        <v>80</v>
      </c>
      <c r="B176" s="255">
        <v>0</v>
      </c>
      <c r="C176" s="255">
        <v>0</v>
      </c>
      <c r="D176" s="255">
        <v>13.461812960580318</v>
      </c>
    </row>
    <row r="177" spans="1:4" x14ac:dyDescent="0.3">
      <c r="A177" s="139" t="s">
        <v>81</v>
      </c>
      <c r="B177" s="255">
        <v>0</v>
      </c>
      <c r="C177" s="255">
        <v>0</v>
      </c>
      <c r="D177" s="255">
        <v>1.2431263020301828</v>
      </c>
    </row>
    <row r="178" spans="1:4" x14ac:dyDescent="0.3">
      <c r="A178" s="139" t="s">
        <v>82</v>
      </c>
      <c r="B178" s="255">
        <v>0</v>
      </c>
      <c r="C178" s="255">
        <v>0</v>
      </c>
      <c r="D178" s="255">
        <v>1.2327669161799313</v>
      </c>
    </row>
    <row r="179" spans="1:4" x14ac:dyDescent="0.3">
      <c r="A179" s="138" t="s">
        <v>83</v>
      </c>
      <c r="B179" s="255">
        <v>0</v>
      </c>
      <c r="C179" s="255">
        <v>0</v>
      </c>
      <c r="D179" s="255">
        <v>3.6370041245785112</v>
      </c>
    </row>
    <row r="180" spans="1:4" x14ac:dyDescent="0.3">
      <c r="A180" s="139" t="s">
        <v>84</v>
      </c>
      <c r="B180" s="255">
        <v>0</v>
      </c>
      <c r="C180" s="255">
        <v>0</v>
      </c>
      <c r="D180" s="255">
        <v>1.2224938585450984</v>
      </c>
    </row>
    <row r="181" spans="1:4" x14ac:dyDescent="0.3">
      <c r="A181" s="139" t="s">
        <v>85</v>
      </c>
      <c r="B181" s="255">
        <v>0</v>
      </c>
      <c r="C181" s="255">
        <v>0</v>
      </c>
      <c r="D181" s="255">
        <v>1.2123064097238894</v>
      </c>
    </row>
    <row r="182" spans="1:4" x14ac:dyDescent="0.3">
      <c r="A182" s="139" t="s">
        <v>86</v>
      </c>
      <c r="B182" s="255">
        <v>0</v>
      </c>
      <c r="C182" s="255">
        <v>0</v>
      </c>
      <c r="D182" s="255">
        <v>1.2022038563095236</v>
      </c>
    </row>
    <row r="183" spans="1:4" x14ac:dyDescent="0.3">
      <c r="A183" s="138" t="s">
        <v>87</v>
      </c>
      <c r="B183" s="255">
        <v>0</v>
      </c>
      <c r="C183" s="255">
        <v>0</v>
      </c>
      <c r="D183" s="255">
        <v>3.5468346259089114</v>
      </c>
    </row>
    <row r="184" spans="1:4" x14ac:dyDescent="0.3">
      <c r="A184" s="139" t="s">
        <v>88</v>
      </c>
      <c r="B184" s="255">
        <v>0</v>
      </c>
      <c r="C184" s="255">
        <v>0</v>
      </c>
      <c r="D184" s="255">
        <v>1.1921854908402774</v>
      </c>
    </row>
    <row r="185" spans="1:4" x14ac:dyDescent="0.3">
      <c r="A185" s="139" t="s">
        <v>89</v>
      </c>
      <c r="B185" s="255">
        <v>0</v>
      </c>
      <c r="C185" s="255">
        <v>0</v>
      </c>
      <c r="D185" s="255">
        <v>1.1822506117499418</v>
      </c>
    </row>
    <row r="186" spans="1:4" x14ac:dyDescent="0.3">
      <c r="A186" s="139" t="s">
        <v>169</v>
      </c>
      <c r="B186" s="255">
        <v>0</v>
      </c>
      <c r="C186" s="255">
        <v>0</v>
      </c>
      <c r="D186" s="255">
        <v>1.1723985233186922</v>
      </c>
    </row>
    <row r="187" spans="1:4" x14ac:dyDescent="0.3">
      <c r="A187" s="138" t="s">
        <v>90</v>
      </c>
      <c r="B187" s="255">
        <v>146.3083769544466</v>
      </c>
      <c r="C187" s="255">
        <v>195.07783593926217</v>
      </c>
      <c r="D187" s="255">
        <v>3.4589006315752515</v>
      </c>
    </row>
    <row r="188" spans="1:4" x14ac:dyDescent="0.3">
      <c r="A188" s="139" t="s">
        <v>91</v>
      </c>
      <c r="B188" s="255">
        <v>0</v>
      </c>
      <c r="C188" s="255">
        <v>0</v>
      </c>
      <c r="D188" s="255">
        <v>1.1626285356243697</v>
      </c>
    </row>
    <row r="189" spans="1:4" x14ac:dyDescent="0.3">
      <c r="A189" s="139" t="s">
        <v>92</v>
      </c>
      <c r="B189" s="255">
        <v>0</v>
      </c>
      <c r="C189" s="255">
        <v>0</v>
      </c>
      <c r="D189" s="255">
        <v>1.1529399644941667</v>
      </c>
    </row>
    <row r="190" spans="1:4" x14ac:dyDescent="0.3">
      <c r="A190" s="139" t="s">
        <v>93</v>
      </c>
      <c r="B190" s="255">
        <v>146.3083769544466</v>
      </c>
      <c r="C190" s="255">
        <v>195.07783593926217</v>
      </c>
      <c r="D190" s="255">
        <v>1.1433321314567151</v>
      </c>
    </row>
    <row r="191" spans="1:4" x14ac:dyDescent="0.3">
      <c r="A191" s="7" t="s">
        <v>44</v>
      </c>
      <c r="B191" s="255">
        <v>26.62053588444919</v>
      </c>
      <c r="C191" s="255">
        <v>35.494047845932258</v>
      </c>
      <c r="D191" s="255">
        <v>1.133804363694576</v>
      </c>
    </row>
    <row r="192" spans="1:4" x14ac:dyDescent="0.3">
      <c r="A192" s="138" t="s">
        <v>79</v>
      </c>
      <c r="B192" s="255">
        <v>26.62053588444919</v>
      </c>
      <c r="C192" s="255">
        <v>35.494047845932258</v>
      </c>
      <c r="D192" s="255">
        <v>1.133804363694576</v>
      </c>
    </row>
    <row r="193" spans="1:4" x14ac:dyDescent="0.3">
      <c r="A193" s="139" t="s">
        <v>80</v>
      </c>
      <c r="B193" s="255">
        <v>26.62053588444919</v>
      </c>
      <c r="C193" s="255">
        <v>35.494047845932258</v>
      </c>
      <c r="D193" s="255">
        <v>1.133804363694576</v>
      </c>
    </row>
    <row r="194" spans="1:4" x14ac:dyDescent="0.3">
      <c r="A194" s="139" t="s">
        <v>81</v>
      </c>
      <c r="B194" s="255">
        <v>0</v>
      </c>
      <c r="C194" s="255">
        <v>0</v>
      </c>
      <c r="D194" s="255">
        <v>0</v>
      </c>
    </row>
    <row r="195" spans="1:4" x14ac:dyDescent="0.3">
      <c r="A195" s="139" t="s">
        <v>82</v>
      </c>
      <c r="B195" s="255">
        <v>0</v>
      </c>
      <c r="C195" s="255">
        <v>0</v>
      </c>
      <c r="D195" s="255">
        <v>0</v>
      </c>
    </row>
    <row r="196" spans="1:4" x14ac:dyDescent="0.3">
      <c r="A196" s="138" t="s">
        <v>83</v>
      </c>
      <c r="B196" s="255">
        <v>0</v>
      </c>
      <c r="C196" s="255">
        <v>0</v>
      </c>
      <c r="D196" s="255">
        <v>0</v>
      </c>
    </row>
    <row r="197" spans="1:4" x14ac:dyDescent="0.3">
      <c r="A197" s="139" t="s">
        <v>84</v>
      </c>
      <c r="B197" s="255">
        <v>0</v>
      </c>
      <c r="C197" s="255">
        <v>0</v>
      </c>
      <c r="D197" s="255">
        <v>0</v>
      </c>
    </row>
    <row r="198" spans="1:4" x14ac:dyDescent="0.3">
      <c r="A198" s="139" t="s">
        <v>85</v>
      </c>
      <c r="B198" s="255">
        <v>0</v>
      </c>
      <c r="C198" s="255">
        <v>0</v>
      </c>
      <c r="D198" s="255">
        <v>0</v>
      </c>
    </row>
    <row r="199" spans="1:4" x14ac:dyDescent="0.3">
      <c r="A199" s="139" t="s">
        <v>86</v>
      </c>
      <c r="B199" s="255">
        <v>0</v>
      </c>
      <c r="C199" s="255">
        <v>0</v>
      </c>
      <c r="D199" s="255">
        <v>0</v>
      </c>
    </row>
    <row r="200" spans="1:4" x14ac:dyDescent="0.3">
      <c r="A200" s="138" t="s">
        <v>87</v>
      </c>
      <c r="B200" s="255">
        <v>0</v>
      </c>
      <c r="C200" s="255">
        <v>0</v>
      </c>
      <c r="D200" s="255">
        <v>0</v>
      </c>
    </row>
    <row r="201" spans="1:4" x14ac:dyDescent="0.3">
      <c r="A201" s="139" t="s">
        <v>88</v>
      </c>
      <c r="B201" s="255">
        <v>0</v>
      </c>
      <c r="C201" s="255">
        <v>0</v>
      </c>
      <c r="D201" s="255">
        <v>0</v>
      </c>
    </row>
    <row r="202" spans="1:4" x14ac:dyDescent="0.3">
      <c r="A202" s="139" t="s">
        <v>89</v>
      </c>
      <c r="B202" s="255">
        <v>0</v>
      </c>
      <c r="C202" s="255">
        <v>0</v>
      </c>
      <c r="D202" s="255">
        <v>0</v>
      </c>
    </row>
    <row r="203" spans="1:4" x14ac:dyDescent="0.3">
      <c r="A203" s="139" t="s">
        <v>169</v>
      </c>
      <c r="B203" s="255">
        <v>0</v>
      </c>
      <c r="C203" s="255">
        <v>0</v>
      </c>
      <c r="D203" s="255">
        <v>0</v>
      </c>
    </row>
    <row r="204" spans="1:4" x14ac:dyDescent="0.3">
      <c r="A204" s="138" t="s">
        <v>90</v>
      </c>
      <c r="B204" s="255">
        <v>0</v>
      </c>
      <c r="C204" s="255">
        <v>0</v>
      </c>
      <c r="D204" s="255">
        <v>0</v>
      </c>
    </row>
    <row r="205" spans="1:4" x14ac:dyDescent="0.3">
      <c r="A205" s="139" t="s">
        <v>91</v>
      </c>
      <c r="B205" s="255">
        <v>0</v>
      </c>
      <c r="C205" s="255">
        <v>0</v>
      </c>
      <c r="D205" s="255">
        <v>0</v>
      </c>
    </row>
    <row r="206" spans="1:4" x14ac:dyDescent="0.3">
      <c r="A206" s="139" t="s">
        <v>92</v>
      </c>
      <c r="B206" s="255">
        <v>0</v>
      </c>
      <c r="C206" s="255">
        <v>0</v>
      </c>
      <c r="D206" s="255">
        <v>0</v>
      </c>
    </row>
    <row r="207" spans="1:4" x14ac:dyDescent="0.3">
      <c r="A207" s="139" t="s">
        <v>93</v>
      </c>
      <c r="B207" s="255">
        <v>0</v>
      </c>
      <c r="C207" s="255">
        <v>0</v>
      </c>
      <c r="D207" s="255">
        <v>0</v>
      </c>
    </row>
    <row r="208" spans="1:4" x14ac:dyDescent="0.3">
      <c r="A208" s="7" t="s">
        <v>45</v>
      </c>
      <c r="B208" s="255">
        <v>35.386590580214296</v>
      </c>
      <c r="C208" s="255">
        <v>47.182120773619069</v>
      </c>
      <c r="D208" s="255">
        <v>7.0857347398450452</v>
      </c>
    </row>
    <row r="209" spans="1:4" x14ac:dyDescent="0.3">
      <c r="A209" s="138" t="s">
        <v>79</v>
      </c>
      <c r="B209" s="255">
        <v>35.386590580214296</v>
      </c>
      <c r="C209" s="255">
        <v>47.182120773619069</v>
      </c>
      <c r="D209" s="255">
        <v>1.8386883490459323</v>
      </c>
    </row>
    <row r="210" spans="1:4" x14ac:dyDescent="0.3">
      <c r="A210" s="139" t="s">
        <v>80</v>
      </c>
      <c r="B210" s="255">
        <v>35.386590580214296</v>
      </c>
      <c r="C210" s="255">
        <v>47.182120773619069</v>
      </c>
      <c r="D210" s="255">
        <v>0.61803207736190624</v>
      </c>
    </row>
    <row r="211" spans="1:4" x14ac:dyDescent="0.3">
      <c r="A211" s="139" t="s">
        <v>81</v>
      </c>
      <c r="B211" s="255">
        <v>0</v>
      </c>
      <c r="C211" s="255">
        <v>0</v>
      </c>
      <c r="D211" s="255">
        <v>0.61288181005055709</v>
      </c>
    </row>
    <row r="212" spans="1:4" x14ac:dyDescent="0.3">
      <c r="A212" s="139" t="s">
        <v>82</v>
      </c>
      <c r="B212" s="255">
        <v>0</v>
      </c>
      <c r="C212" s="255">
        <v>0</v>
      </c>
      <c r="D212" s="255">
        <v>0.60777446163346904</v>
      </c>
    </row>
    <row r="213" spans="1:4" x14ac:dyDescent="0.3">
      <c r="A213" s="138" t="s">
        <v>83</v>
      </c>
      <c r="B213" s="255">
        <v>0</v>
      </c>
      <c r="C213" s="255">
        <v>0</v>
      </c>
      <c r="D213" s="255">
        <v>1.7931031363367445</v>
      </c>
    </row>
    <row r="214" spans="1:4" x14ac:dyDescent="0.3">
      <c r="A214" s="139" t="s">
        <v>84</v>
      </c>
      <c r="B214" s="255">
        <v>0</v>
      </c>
      <c r="C214" s="255">
        <v>0</v>
      </c>
      <c r="D214" s="255">
        <v>0.60270967445319013</v>
      </c>
    </row>
    <row r="215" spans="1:4" x14ac:dyDescent="0.3">
      <c r="A215" s="139" t="s">
        <v>85</v>
      </c>
      <c r="B215" s="255">
        <v>0</v>
      </c>
      <c r="C215" s="255">
        <v>0</v>
      </c>
      <c r="D215" s="255">
        <v>0.59768709383274687</v>
      </c>
    </row>
    <row r="216" spans="1:4" x14ac:dyDescent="0.3">
      <c r="A216" s="139" t="s">
        <v>86</v>
      </c>
      <c r="B216" s="255">
        <v>0</v>
      </c>
      <c r="C216" s="255">
        <v>0</v>
      </c>
      <c r="D216" s="255">
        <v>0.59270636805080734</v>
      </c>
    </row>
    <row r="217" spans="1:4" x14ac:dyDescent="0.3">
      <c r="A217" s="138" t="s">
        <v>87</v>
      </c>
      <c r="B217" s="255">
        <v>0</v>
      </c>
      <c r="C217" s="255">
        <v>0</v>
      </c>
      <c r="D217" s="255">
        <v>1.7486480834063032</v>
      </c>
    </row>
    <row r="218" spans="1:4" x14ac:dyDescent="0.3">
      <c r="A218" s="139" t="s">
        <v>88</v>
      </c>
      <c r="B218" s="255">
        <v>0</v>
      </c>
      <c r="C218" s="255">
        <v>0</v>
      </c>
      <c r="D218" s="255">
        <v>0.58776714831705057</v>
      </c>
    </row>
    <row r="219" spans="1:4" x14ac:dyDescent="0.3">
      <c r="A219" s="139" t="s">
        <v>89</v>
      </c>
      <c r="B219" s="255">
        <v>0</v>
      </c>
      <c r="C219" s="255">
        <v>0</v>
      </c>
      <c r="D219" s="255">
        <v>0.5828690887477419</v>
      </c>
    </row>
    <row r="220" spans="1:4" x14ac:dyDescent="0.3">
      <c r="A220" s="139" t="s">
        <v>169</v>
      </c>
      <c r="B220" s="255">
        <v>0</v>
      </c>
      <c r="C220" s="255">
        <v>0</v>
      </c>
      <c r="D220" s="255">
        <v>0.5780118463415107</v>
      </c>
    </row>
    <row r="221" spans="1:4" x14ac:dyDescent="0.3">
      <c r="A221" s="138" t="s">
        <v>90</v>
      </c>
      <c r="B221" s="255">
        <v>0</v>
      </c>
      <c r="C221" s="255">
        <v>0</v>
      </c>
      <c r="D221" s="255">
        <v>1.7052951710560662</v>
      </c>
    </row>
    <row r="222" spans="1:4" x14ac:dyDescent="0.3">
      <c r="A222" s="139" t="s">
        <v>91</v>
      </c>
      <c r="B222" s="255">
        <v>0</v>
      </c>
      <c r="C222" s="255">
        <v>0</v>
      </c>
      <c r="D222" s="255">
        <v>0.57319508095533145</v>
      </c>
    </row>
    <row r="223" spans="1:4" x14ac:dyDescent="0.3">
      <c r="A223" s="139" t="s">
        <v>92</v>
      </c>
      <c r="B223" s="255">
        <v>0</v>
      </c>
      <c r="C223" s="255">
        <v>0</v>
      </c>
      <c r="D223" s="255">
        <v>0.56841845528070367</v>
      </c>
    </row>
    <row r="224" spans="1:4" x14ac:dyDescent="0.3">
      <c r="A224" s="139" t="s">
        <v>93</v>
      </c>
      <c r="B224" s="255">
        <v>0</v>
      </c>
      <c r="C224" s="255">
        <v>0</v>
      </c>
      <c r="D224" s="255">
        <v>0.5636816348200312</v>
      </c>
    </row>
    <row r="225" spans="1:4" x14ac:dyDescent="0.3">
      <c r="A225" s="7" t="s">
        <v>46</v>
      </c>
      <c r="B225" s="255">
        <v>0</v>
      </c>
      <c r="C225" s="255">
        <v>0</v>
      </c>
      <c r="D225" s="255">
        <v>0.55898428786319754</v>
      </c>
    </row>
    <row r="226" spans="1:4" x14ac:dyDescent="0.3">
      <c r="A226" s="138" t="s">
        <v>79</v>
      </c>
      <c r="B226" s="255">
        <v>0</v>
      </c>
      <c r="C226" s="255">
        <v>0</v>
      </c>
      <c r="D226" s="255">
        <v>0.55898428786319754</v>
      </c>
    </row>
    <row r="227" spans="1:4" x14ac:dyDescent="0.3">
      <c r="A227" s="139" t="s">
        <v>80</v>
      </c>
      <c r="B227" s="255">
        <v>0</v>
      </c>
      <c r="C227" s="255">
        <v>0</v>
      </c>
      <c r="D227" s="255">
        <v>0.55898428786319754</v>
      </c>
    </row>
    <row r="228" spans="1:4" x14ac:dyDescent="0.3">
      <c r="A228" s="139" t="s">
        <v>81</v>
      </c>
      <c r="B228" s="255">
        <v>0</v>
      </c>
      <c r="C228" s="255">
        <v>0</v>
      </c>
      <c r="D228" s="255">
        <v>0</v>
      </c>
    </row>
    <row r="229" spans="1:4" x14ac:dyDescent="0.3">
      <c r="A229" s="139" t="s">
        <v>82</v>
      </c>
      <c r="B229" s="255">
        <v>0</v>
      </c>
      <c r="C229" s="255">
        <v>0</v>
      </c>
      <c r="D229" s="255">
        <v>0</v>
      </c>
    </row>
    <row r="230" spans="1:4" x14ac:dyDescent="0.3">
      <c r="A230" s="138" t="s">
        <v>83</v>
      </c>
      <c r="B230" s="255">
        <v>0</v>
      </c>
      <c r="C230" s="255">
        <v>0</v>
      </c>
      <c r="D230" s="255">
        <v>0</v>
      </c>
    </row>
    <row r="231" spans="1:4" x14ac:dyDescent="0.3">
      <c r="A231" s="139" t="s">
        <v>84</v>
      </c>
      <c r="B231" s="255">
        <v>0</v>
      </c>
      <c r="C231" s="255">
        <v>0</v>
      </c>
      <c r="D231" s="255">
        <v>0</v>
      </c>
    </row>
    <row r="232" spans="1:4" x14ac:dyDescent="0.3">
      <c r="A232" s="139" t="s">
        <v>85</v>
      </c>
      <c r="B232" s="255">
        <v>0</v>
      </c>
      <c r="C232" s="255">
        <v>0</v>
      </c>
      <c r="D232" s="255">
        <v>0</v>
      </c>
    </row>
    <row r="233" spans="1:4" x14ac:dyDescent="0.3">
      <c r="A233" s="139" t="s">
        <v>86</v>
      </c>
      <c r="B233" s="255">
        <v>0</v>
      </c>
      <c r="C233" s="255">
        <v>0</v>
      </c>
      <c r="D233" s="255">
        <v>0</v>
      </c>
    </row>
    <row r="234" spans="1:4" x14ac:dyDescent="0.3">
      <c r="A234" s="138" t="s">
        <v>87</v>
      </c>
      <c r="B234" s="255">
        <v>0</v>
      </c>
      <c r="C234" s="255">
        <v>0</v>
      </c>
      <c r="D234" s="255">
        <v>0</v>
      </c>
    </row>
    <row r="235" spans="1:4" x14ac:dyDescent="0.3">
      <c r="A235" s="139" t="s">
        <v>88</v>
      </c>
      <c r="B235" s="255">
        <v>0</v>
      </c>
      <c r="C235" s="255">
        <v>0</v>
      </c>
      <c r="D235" s="255">
        <v>0</v>
      </c>
    </row>
    <row r="236" spans="1:4" x14ac:dyDescent="0.3">
      <c r="A236" s="139" t="s">
        <v>89</v>
      </c>
      <c r="B236" s="255">
        <v>0</v>
      </c>
      <c r="C236" s="255">
        <v>0</v>
      </c>
      <c r="D236" s="255">
        <v>0</v>
      </c>
    </row>
    <row r="237" spans="1:4" x14ac:dyDescent="0.3">
      <c r="A237" s="139" t="s">
        <v>169</v>
      </c>
      <c r="B237" s="255">
        <v>0</v>
      </c>
      <c r="C237" s="255">
        <v>0</v>
      </c>
      <c r="D237" s="255">
        <v>0</v>
      </c>
    </row>
    <row r="238" spans="1:4" x14ac:dyDescent="0.3">
      <c r="A238" s="138" t="s">
        <v>90</v>
      </c>
      <c r="B238" s="255">
        <v>0</v>
      </c>
      <c r="C238" s="255">
        <v>0</v>
      </c>
      <c r="D238" s="255">
        <v>0</v>
      </c>
    </row>
    <row r="239" spans="1:4" x14ac:dyDescent="0.3">
      <c r="A239" s="139" t="s">
        <v>91</v>
      </c>
      <c r="B239" s="255">
        <v>0</v>
      </c>
      <c r="C239" s="255">
        <v>0</v>
      </c>
      <c r="D239" s="255">
        <v>0</v>
      </c>
    </row>
    <row r="240" spans="1:4" x14ac:dyDescent="0.3">
      <c r="A240" s="139" t="s">
        <v>92</v>
      </c>
      <c r="B240" s="255">
        <v>0</v>
      </c>
      <c r="C240" s="255">
        <v>0</v>
      </c>
      <c r="D240" s="255">
        <v>0</v>
      </c>
    </row>
    <row r="241" spans="1:4" x14ac:dyDescent="0.3">
      <c r="A241" s="139" t="s">
        <v>93</v>
      </c>
      <c r="B241" s="255">
        <v>0</v>
      </c>
      <c r="C241" s="255">
        <v>0</v>
      </c>
      <c r="D241" s="255">
        <v>0</v>
      </c>
    </row>
    <row r="242" spans="1:4" x14ac:dyDescent="0.3">
      <c r="A242" s="7" t="s">
        <v>47</v>
      </c>
      <c r="B242" s="255">
        <v>58.320080312880606</v>
      </c>
      <c r="C242" s="255">
        <v>77.760107083840808</v>
      </c>
      <c r="D242" s="255">
        <v>0</v>
      </c>
    </row>
    <row r="243" spans="1:4" x14ac:dyDescent="0.3">
      <c r="A243" s="138" t="s">
        <v>79</v>
      </c>
      <c r="B243" s="255">
        <v>58.320080312880606</v>
      </c>
      <c r="C243" s="255">
        <v>77.760107083840808</v>
      </c>
      <c r="D243" s="255">
        <v>0</v>
      </c>
    </row>
    <row r="244" spans="1:4" x14ac:dyDescent="0.3">
      <c r="A244" s="139" t="s">
        <v>80</v>
      </c>
      <c r="B244" s="255">
        <v>51.034140359156716</v>
      </c>
      <c r="C244" s="255">
        <v>68.045520478875616</v>
      </c>
      <c r="D244" s="255">
        <v>0</v>
      </c>
    </row>
    <row r="245" spans="1:4" x14ac:dyDescent="0.3">
      <c r="A245" s="139" t="s">
        <v>81</v>
      </c>
      <c r="B245" s="255">
        <v>7.2859399537238909</v>
      </c>
      <c r="C245" s="255">
        <v>9.7145866049651897</v>
      </c>
      <c r="D245" s="255">
        <v>0</v>
      </c>
    </row>
    <row r="246" spans="1:4" x14ac:dyDescent="0.3">
      <c r="A246" s="139" t="s">
        <v>82</v>
      </c>
      <c r="B246" s="255">
        <v>0</v>
      </c>
      <c r="C246" s="255">
        <v>0</v>
      </c>
      <c r="D246" s="255">
        <v>0</v>
      </c>
    </row>
    <row r="247" spans="1:4" x14ac:dyDescent="0.3">
      <c r="A247" s="138" t="s">
        <v>83</v>
      </c>
      <c r="B247" s="255">
        <v>0</v>
      </c>
      <c r="C247" s="255">
        <v>0</v>
      </c>
      <c r="D247" s="255">
        <v>0</v>
      </c>
    </row>
    <row r="248" spans="1:4" x14ac:dyDescent="0.3">
      <c r="A248" s="139" t="s">
        <v>84</v>
      </c>
      <c r="B248" s="255">
        <v>0</v>
      </c>
      <c r="C248" s="255">
        <v>0</v>
      </c>
      <c r="D248" s="255">
        <v>0</v>
      </c>
    </row>
    <row r="249" spans="1:4" x14ac:dyDescent="0.3">
      <c r="A249" s="139" t="s">
        <v>85</v>
      </c>
      <c r="B249" s="255">
        <v>0</v>
      </c>
      <c r="C249" s="255">
        <v>0</v>
      </c>
      <c r="D249" s="255">
        <v>0</v>
      </c>
    </row>
    <row r="250" spans="1:4" x14ac:dyDescent="0.3">
      <c r="A250" s="139" t="s">
        <v>86</v>
      </c>
      <c r="B250" s="255">
        <v>0</v>
      </c>
      <c r="C250" s="255">
        <v>0</v>
      </c>
      <c r="D250" s="255">
        <v>0</v>
      </c>
    </row>
    <row r="251" spans="1:4" x14ac:dyDescent="0.3">
      <c r="A251" s="138" t="s">
        <v>87</v>
      </c>
      <c r="B251" s="255">
        <v>0</v>
      </c>
      <c r="C251" s="255">
        <v>0</v>
      </c>
      <c r="D251" s="255">
        <v>0</v>
      </c>
    </row>
    <row r="252" spans="1:4" x14ac:dyDescent="0.3">
      <c r="A252" s="139" t="s">
        <v>88</v>
      </c>
      <c r="B252" s="255">
        <v>0</v>
      </c>
      <c r="C252" s="255">
        <v>0</v>
      </c>
      <c r="D252" s="255">
        <v>0</v>
      </c>
    </row>
    <row r="253" spans="1:4" x14ac:dyDescent="0.3">
      <c r="A253" s="139" t="s">
        <v>89</v>
      </c>
      <c r="B253" s="255">
        <v>0</v>
      </c>
      <c r="C253" s="255">
        <v>0</v>
      </c>
      <c r="D253" s="255">
        <v>0</v>
      </c>
    </row>
    <row r="254" spans="1:4" x14ac:dyDescent="0.3">
      <c r="A254" s="139" t="s">
        <v>169</v>
      </c>
      <c r="B254" s="255">
        <v>0</v>
      </c>
      <c r="C254" s="255">
        <v>0</v>
      </c>
      <c r="D254" s="255">
        <v>0</v>
      </c>
    </row>
    <row r="255" spans="1:4" x14ac:dyDescent="0.3">
      <c r="A255" s="138" t="s">
        <v>90</v>
      </c>
      <c r="B255" s="255">
        <v>0</v>
      </c>
      <c r="C255" s="255">
        <v>0</v>
      </c>
      <c r="D255" s="255">
        <v>0</v>
      </c>
    </row>
    <row r="256" spans="1:4" x14ac:dyDescent="0.3">
      <c r="A256" s="139" t="s">
        <v>91</v>
      </c>
      <c r="B256" s="255">
        <v>0</v>
      </c>
      <c r="C256" s="255">
        <v>0</v>
      </c>
      <c r="D256" s="255">
        <v>0</v>
      </c>
    </row>
    <row r="257" spans="1:4" x14ac:dyDescent="0.3">
      <c r="A257" s="139" t="s">
        <v>92</v>
      </c>
      <c r="B257" s="255">
        <v>0</v>
      </c>
      <c r="C257" s="255">
        <v>0</v>
      </c>
      <c r="D257" s="255">
        <v>0</v>
      </c>
    </row>
    <row r="258" spans="1:4" x14ac:dyDescent="0.3">
      <c r="A258" s="139" t="s">
        <v>93</v>
      </c>
      <c r="B258" s="255">
        <v>0</v>
      </c>
      <c r="C258" s="255">
        <v>0</v>
      </c>
      <c r="D258" s="255">
        <v>0</v>
      </c>
    </row>
    <row r="259" spans="1:4" x14ac:dyDescent="0.3">
      <c r="A259" s="7" t="s">
        <v>48</v>
      </c>
      <c r="B259" s="255">
        <v>41.255765476597816</v>
      </c>
      <c r="C259" s="255">
        <v>55.007687302130421</v>
      </c>
      <c r="D259" s="255">
        <v>0</v>
      </c>
    </row>
    <row r="260" spans="1:4" x14ac:dyDescent="0.3">
      <c r="A260" s="138" t="s">
        <v>79</v>
      </c>
      <c r="B260" s="255">
        <v>41.255765476597816</v>
      </c>
      <c r="C260" s="255">
        <v>55.007687302130421</v>
      </c>
      <c r="D260" s="255">
        <v>0</v>
      </c>
    </row>
    <row r="261" spans="1:4" x14ac:dyDescent="0.3">
      <c r="A261" s="139" t="s">
        <v>80</v>
      </c>
      <c r="B261" s="255">
        <v>41.255765476597816</v>
      </c>
      <c r="C261" s="255">
        <v>55.007687302130421</v>
      </c>
      <c r="D261" s="255">
        <v>0</v>
      </c>
    </row>
    <row r="262" spans="1:4" x14ac:dyDescent="0.3">
      <c r="A262" s="139" t="s">
        <v>81</v>
      </c>
      <c r="B262" s="255">
        <v>0</v>
      </c>
      <c r="C262" s="255">
        <v>0</v>
      </c>
      <c r="D262" s="255">
        <v>0</v>
      </c>
    </row>
    <row r="263" spans="1:4" x14ac:dyDescent="0.3">
      <c r="A263" s="139" t="s">
        <v>82</v>
      </c>
      <c r="B263" s="255">
        <v>0</v>
      </c>
      <c r="C263" s="255">
        <v>0</v>
      </c>
      <c r="D263" s="255">
        <v>0</v>
      </c>
    </row>
    <row r="264" spans="1:4" x14ac:dyDescent="0.3">
      <c r="A264" s="138" t="s">
        <v>83</v>
      </c>
      <c r="B264" s="255">
        <v>0</v>
      </c>
      <c r="C264" s="255">
        <v>0</v>
      </c>
      <c r="D264" s="255">
        <v>0</v>
      </c>
    </row>
    <row r="265" spans="1:4" x14ac:dyDescent="0.3">
      <c r="A265" s="139" t="s">
        <v>84</v>
      </c>
      <c r="B265" s="255">
        <v>0</v>
      </c>
      <c r="C265" s="255">
        <v>0</v>
      </c>
      <c r="D265" s="255">
        <v>0</v>
      </c>
    </row>
    <row r="266" spans="1:4" x14ac:dyDescent="0.3">
      <c r="A266" s="139" t="s">
        <v>85</v>
      </c>
      <c r="B266" s="255">
        <v>0</v>
      </c>
      <c r="C266" s="255">
        <v>0</v>
      </c>
      <c r="D266" s="255">
        <v>0</v>
      </c>
    </row>
    <row r="267" spans="1:4" x14ac:dyDescent="0.3">
      <c r="A267" s="139" t="s">
        <v>86</v>
      </c>
      <c r="B267" s="255">
        <v>0</v>
      </c>
      <c r="C267" s="255">
        <v>0</v>
      </c>
      <c r="D267" s="255">
        <v>0</v>
      </c>
    </row>
    <row r="268" spans="1:4" x14ac:dyDescent="0.3">
      <c r="A268" s="138" t="s">
        <v>87</v>
      </c>
      <c r="B268" s="255">
        <v>0</v>
      </c>
      <c r="C268" s="255">
        <v>0</v>
      </c>
      <c r="D268" s="255">
        <v>0</v>
      </c>
    </row>
    <row r="269" spans="1:4" x14ac:dyDescent="0.3">
      <c r="A269" s="139" t="s">
        <v>88</v>
      </c>
      <c r="B269" s="255">
        <v>0</v>
      </c>
      <c r="C269" s="255">
        <v>0</v>
      </c>
      <c r="D269" s="255">
        <v>0</v>
      </c>
    </row>
    <row r="270" spans="1:4" x14ac:dyDescent="0.3">
      <c r="A270" s="139" t="s">
        <v>89</v>
      </c>
      <c r="B270" s="255">
        <v>0</v>
      </c>
      <c r="C270" s="255">
        <v>0</v>
      </c>
      <c r="D270" s="255">
        <v>0</v>
      </c>
    </row>
    <row r="271" spans="1:4" x14ac:dyDescent="0.3">
      <c r="A271" s="139" t="s">
        <v>169</v>
      </c>
      <c r="B271" s="255">
        <v>0</v>
      </c>
      <c r="C271" s="255">
        <v>0</v>
      </c>
      <c r="D271" s="255">
        <v>0</v>
      </c>
    </row>
    <row r="272" spans="1:4" x14ac:dyDescent="0.3">
      <c r="A272" s="138" t="s">
        <v>90</v>
      </c>
      <c r="B272" s="255">
        <v>0</v>
      </c>
      <c r="C272" s="255">
        <v>0</v>
      </c>
      <c r="D272" s="255">
        <v>0</v>
      </c>
    </row>
    <row r="273" spans="1:4" x14ac:dyDescent="0.3">
      <c r="A273" s="139" t="s">
        <v>91</v>
      </c>
      <c r="B273" s="255">
        <v>0</v>
      </c>
      <c r="C273" s="255">
        <v>0</v>
      </c>
      <c r="D273" s="255">
        <v>0</v>
      </c>
    </row>
    <row r="274" spans="1:4" x14ac:dyDescent="0.3">
      <c r="A274" s="139" t="s">
        <v>92</v>
      </c>
      <c r="B274" s="255">
        <v>0</v>
      </c>
      <c r="C274" s="255">
        <v>0</v>
      </c>
      <c r="D274" s="255">
        <v>0</v>
      </c>
    </row>
    <row r="275" spans="1:4" x14ac:dyDescent="0.3">
      <c r="A275" s="139" t="s">
        <v>93</v>
      </c>
      <c r="B275" s="255">
        <v>0</v>
      </c>
      <c r="C275" s="255">
        <v>0</v>
      </c>
      <c r="D275" s="255">
        <v>0</v>
      </c>
    </row>
    <row r="276" spans="1:4" x14ac:dyDescent="0.3">
      <c r="A276" s="7" t="s">
        <v>49</v>
      </c>
      <c r="B276" s="255">
        <v>100.23192721810049</v>
      </c>
      <c r="C276" s="255">
        <v>133.64256962413398</v>
      </c>
      <c r="D276" s="255">
        <v>0</v>
      </c>
    </row>
    <row r="277" spans="1:4" x14ac:dyDescent="0.3">
      <c r="A277" s="138" t="s">
        <v>79</v>
      </c>
      <c r="B277" s="255">
        <v>100.23192721810049</v>
      </c>
      <c r="C277" s="255">
        <v>133.64256962413398</v>
      </c>
      <c r="D277" s="255">
        <v>0</v>
      </c>
    </row>
    <row r="278" spans="1:4" x14ac:dyDescent="0.3">
      <c r="A278" s="139" t="s">
        <v>80</v>
      </c>
      <c r="B278" s="255">
        <v>84.458263092238411</v>
      </c>
      <c r="C278" s="255">
        <v>112.61101745631788</v>
      </c>
      <c r="D278" s="255">
        <v>0</v>
      </c>
    </row>
    <row r="279" spans="1:4" x14ac:dyDescent="0.3">
      <c r="A279" s="139" t="s">
        <v>81</v>
      </c>
      <c r="B279" s="255">
        <v>15.77366412586208</v>
      </c>
      <c r="C279" s="255">
        <v>21.031552167816109</v>
      </c>
      <c r="D279" s="255">
        <v>0</v>
      </c>
    </row>
    <row r="280" spans="1:4" x14ac:dyDescent="0.3">
      <c r="A280" s="139" t="s">
        <v>82</v>
      </c>
      <c r="B280" s="255">
        <v>0</v>
      </c>
      <c r="C280" s="255">
        <v>0</v>
      </c>
      <c r="D280" s="255">
        <v>0</v>
      </c>
    </row>
    <row r="281" spans="1:4" x14ac:dyDescent="0.3">
      <c r="A281" s="138" t="s">
        <v>83</v>
      </c>
      <c r="B281" s="255">
        <v>0</v>
      </c>
      <c r="C281" s="255">
        <v>0</v>
      </c>
      <c r="D281" s="255">
        <v>0</v>
      </c>
    </row>
    <row r="282" spans="1:4" x14ac:dyDescent="0.3">
      <c r="A282" s="139" t="s">
        <v>84</v>
      </c>
      <c r="B282" s="255">
        <v>0</v>
      </c>
      <c r="C282" s="255">
        <v>0</v>
      </c>
      <c r="D282" s="255">
        <v>0</v>
      </c>
    </row>
    <row r="283" spans="1:4" x14ac:dyDescent="0.3">
      <c r="A283" s="139" t="s">
        <v>85</v>
      </c>
      <c r="B283" s="255">
        <v>0</v>
      </c>
      <c r="C283" s="255">
        <v>0</v>
      </c>
      <c r="D283" s="255">
        <v>0</v>
      </c>
    </row>
    <row r="284" spans="1:4" x14ac:dyDescent="0.3">
      <c r="A284" s="139" t="s">
        <v>86</v>
      </c>
      <c r="B284" s="255">
        <v>0</v>
      </c>
      <c r="C284" s="255">
        <v>0</v>
      </c>
      <c r="D284" s="255">
        <v>0</v>
      </c>
    </row>
    <row r="285" spans="1:4" x14ac:dyDescent="0.3">
      <c r="A285" s="138" t="s">
        <v>87</v>
      </c>
      <c r="B285" s="255">
        <v>0</v>
      </c>
      <c r="C285" s="255">
        <v>0</v>
      </c>
      <c r="D285" s="255">
        <v>0</v>
      </c>
    </row>
    <row r="286" spans="1:4" x14ac:dyDescent="0.3">
      <c r="A286" s="139" t="s">
        <v>88</v>
      </c>
      <c r="B286" s="255">
        <v>0</v>
      </c>
      <c r="C286" s="255">
        <v>0</v>
      </c>
      <c r="D286" s="255">
        <v>0</v>
      </c>
    </row>
    <row r="287" spans="1:4" x14ac:dyDescent="0.3">
      <c r="A287" s="139" t="s">
        <v>89</v>
      </c>
      <c r="B287" s="255">
        <v>0</v>
      </c>
      <c r="C287" s="255">
        <v>0</v>
      </c>
      <c r="D287" s="255">
        <v>0</v>
      </c>
    </row>
    <row r="288" spans="1:4" x14ac:dyDescent="0.3">
      <c r="A288" s="139" t="s">
        <v>169</v>
      </c>
      <c r="B288" s="255">
        <v>0</v>
      </c>
      <c r="C288" s="255">
        <v>0</v>
      </c>
      <c r="D288" s="255">
        <v>0</v>
      </c>
    </row>
    <row r="289" spans="1:4" x14ac:dyDescent="0.3">
      <c r="A289" s="138" t="s">
        <v>90</v>
      </c>
      <c r="B289" s="255">
        <v>0</v>
      </c>
      <c r="C289" s="255">
        <v>0</v>
      </c>
      <c r="D289" s="255">
        <v>0</v>
      </c>
    </row>
    <row r="290" spans="1:4" x14ac:dyDescent="0.3">
      <c r="A290" s="139" t="s">
        <v>91</v>
      </c>
      <c r="B290" s="255">
        <v>0</v>
      </c>
      <c r="C290" s="255">
        <v>0</v>
      </c>
      <c r="D290" s="255">
        <v>0</v>
      </c>
    </row>
    <row r="291" spans="1:4" x14ac:dyDescent="0.3">
      <c r="A291" s="139" t="s">
        <v>92</v>
      </c>
      <c r="B291" s="255">
        <v>0</v>
      </c>
      <c r="C291" s="255">
        <v>0</v>
      </c>
      <c r="D291" s="255">
        <v>0</v>
      </c>
    </row>
    <row r="292" spans="1:4" x14ac:dyDescent="0.3">
      <c r="A292" s="139" t="s">
        <v>93</v>
      </c>
      <c r="B292" s="255">
        <v>0</v>
      </c>
      <c r="C292" s="255">
        <v>0</v>
      </c>
      <c r="D292" s="255">
        <v>0</v>
      </c>
    </row>
    <row r="293" spans="1:4" x14ac:dyDescent="0.3">
      <c r="A293" s="7" t="s">
        <v>50</v>
      </c>
      <c r="B293" s="255">
        <v>152.09988833975169</v>
      </c>
      <c r="C293" s="255">
        <v>202.79985111966894</v>
      </c>
      <c r="D293" s="255">
        <v>28.924059179392511</v>
      </c>
    </row>
    <row r="294" spans="1:4" x14ac:dyDescent="0.3">
      <c r="A294" s="138" t="s">
        <v>79</v>
      </c>
      <c r="B294" s="255">
        <v>152.09988833975169</v>
      </c>
      <c r="C294" s="255">
        <v>202.79985111966894</v>
      </c>
      <c r="D294" s="255">
        <v>7.5055491876100167</v>
      </c>
    </row>
    <row r="295" spans="1:4" x14ac:dyDescent="0.3">
      <c r="A295" s="139" t="s">
        <v>80</v>
      </c>
      <c r="B295" s="255">
        <v>136.33631090455125</v>
      </c>
      <c r="C295" s="255">
        <v>181.78174787273502</v>
      </c>
      <c r="D295" s="255">
        <v>2.5228147872735054</v>
      </c>
    </row>
    <row r="296" spans="1:4" x14ac:dyDescent="0.3">
      <c r="A296" s="139" t="s">
        <v>81</v>
      </c>
      <c r="B296" s="255">
        <v>15.763577435200443</v>
      </c>
      <c r="C296" s="255">
        <v>21.018103246933926</v>
      </c>
      <c r="D296" s="255">
        <v>2.5017913307128925</v>
      </c>
    </row>
    <row r="297" spans="1:4" x14ac:dyDescent="0.3">
      <c r="A297" s="139" t="s">
        <v>82</v>
      </c>
      <c r="B297" s="255">
        <v>0</v>
      </c>
      <c r="C297" s="255">
        <v>0</v>
      </c>
      <c r="D297" s="255">
        <v>2.4809430696236188</v>
      </c>
    </row>
    <row r="298" spans="1:4" x14ac:dyDescent="0.3">
      <c r="A298" s="138" t="s">
        <v>83</v>
      </c>
      <c r="B298" s="255">
        <v>0</v>
      </c>
      <c r="C298" s="255">
        <v>0</v>
      </c>
      <c r="D298" s="255">
        <v>7.3194697705114056</v>
      </c>
    </row>
    <row r="299" spans="1:4" x14ac:dyDescent="0.3">
      <c r="A299" s="139" t="s">
        <v>84</v>
      </c>
      <c r="B299" s="255">
        <v>0</v>
      </c>
      <c r="C299" s="255">
        <v>0</v>
      </c>
      <c r="D299" s="255">
        <v>2.460268544043422</v>
      </c>
    </row>
    <row r="300" spans="1:4" x14ac:dyDescent="0.3">
      <c r="A300" s="139" t="s">
        <v>85</v>
      </c>
      <c r="B300" s="255">
        <v>0</v>
      </c>
      <c r="C300" s="255">
        <v>0</v>
      </c>
      <c r="D300" s="255">
        <v>2.4397663061763932</v>
      </c>
    </row>
    <row r="301" spans="1:4" x14ac:dyDescent="0.3">
      <c r="A301" s="139" t="s">
        <v>86</v>
      </c>
      <c r="B301" s="255">
        <v>0</v>
      </c>
      <c r="C301" s="255">
        <v>0</v>
      </c>
      <c r="D301" s="255">
        <v>2.4194349202915899</v>
      </c>
    </row>
    <row r="302" spans="1:4" x14ac:dyDescent="0.3">
      <c r="A302" s="138" t="s">
        <v>87</v>
      </c>
      <c r="B302" s="255">
        <v>0</v>
      </c>
      <c r="C302" s="255">
        <v>0</v>
      </c>
      <c r="D302" s="255">
        <v>7.1380036799798781</v>
      </c>
    </row>
    <row r="303" spans="1:4" x14ac:dyDescent="0.3">
      <c r="A303" s="139" t="s">
        <v>88</v>
      </c>
      <c r="B303" s="255">
        <v>0</v>
      </c>
      <c r="C303" s="255">
        <v>0</v>
      </c>
      <c r="D303" s="255">
        <v>2.3992729626224936</v>
      </c>
    </row>
    <row r="304" spans="1:4" x14ac:dyDescent="0.3">
      <c r="A304" s="139" t="s">
        <v>89</v>
      </c>
      <c r="B304" s="255">
        <v>0</v>
      </c>
      <c r="C304" s="255">
        <v>0</v>
      </c>
      <c r="D304" s="255">
        <v>2.3792790212673061</v>
      </c>
    </row>
    <row r="305" spans="1:4" x14ac:dyDescent="0.3">
      <c r="A305" s="139" t="s">
        <v>169</v>
      </c>
      <c r="B305" s="255">
        <v>0</v>
      </c>
      <c r="C305" s="255">
        <v>0</v>
      </c>
      <c r="D305" s="255">
        <v>2.3594516960900784</v>
      </c>
    </row>
    <row r="306" spans="1:4" x14ac:dyDescent="0.3">
      <c r="A306" s="138" t="s">
        <v>90</v>
      </c>
      <c r="B306" s="255">
        <v>0</v>
      </c>
      <c r="C306" s="255">
        <v>0</v>
      </c>
      <c r="D306" s="255">
        <v>6.961036541291211</v>
      </c>
    </row>
    <row r="307" spans="1:4" x14ac:dyDescent="0.3">
      <c r="A307" s="139" t="s">
        <v>91</v>
      </c>
      <c r="B307" s="255">
        <v>0</v>
      </c>
      <c r="C307" s="255">
        <v>0</v>
      </c>
      <c r="D307" s="255">
        <v>2.3397895986226613</v>
      </c>
    </row>
    <row r="308" spans="1:4" x14ac:dyDescent="0.3">
      <c r="A308" s="139" t="s">
        <v>92</v>
      </c>
      <c r="B308" s="255">
        <v>0</v>
      </c>
      <c r="C308" s="255">
        <v>0</v>
      </c>
      <c r="D308" s="255">
        <v>2.3202913519674726</v>
      </c>
    </row>
    <row r="309" spans="1:4" x14ac:dyDescent="0.3">
      <c r="A309" s="139" t="s">
        <v>93</v>
      </c>
      <c r="B309" s="255">
        <v>0</v>
      </c>
      <c r="C309" s="255">
        <v>0</v>
      </c>
      <c r="D309" s="255">
        <v>2.300955590701077</v>
      </c>
    </row>
    <row r="310" spans="1:4" x14ac:dyDescent="0.3">
      <c r="A310" s="7" t="s">
        <v>51</v>
      </c>
      <c r="B310" s="255">
        <v>191.00561219728772</v>
      </c>
      <c r="C310" s="255">
        <v>254.67414959638364</v>
      </c>
      <c r="D310" s="255">
        <v>24.856780027785433</v>
      </c>
    </row>
    <row r="311" spans="1:4" x14ac:dyDescent="0.3">
      <c r="A311" s="138" t="s">
        <v>79</v>
      </c>
      <c r="B311" s="255">
        <v>191.00561219728772</v>
      </c>
      <c r="C311" s="255">
        <v>254.67414959638364</v>
      </c>
      <c r="D311" s="255">
        <v>6.5423840887249751</v>
      </c>
    </row>
    <row r="312" spans="1:4" x14ac:dyDescent="0.3">
      <c r="A312" s="139" t="s">
        <v>80</v>
      </c>
      <c r="B312" s="255">
        <v>0</v>
      </c>
      <c r="C312" s="255">
        <v>0</v>
      </c>
      <c r="D312" s="255">
        <v>2.2817809607785682</v>
      </c>
    </row>
    <row r="313" spans="1:4" x14ac:dyDescent="0.3">
      <c r="A313" s="139" t="s">
        <v>81</v>
      </c>
      <c r="B313" s="255">
        <v>191.00561219728772</v>
      </c>
      <c r="C313" s="255">
        <v>254.67414959638364</v>
      </c>
      <c r="D313" s="255">
        <v>2.1392149596383629</v>
      </c>
    </row>
    <row r="314" spans="1:4" x14ac:dyDescent="0.3">
      <c r="A314" s="139" t="s">
        <v>82</v>
      </c>
      <c r="B314" s="255">
        <v>0</v>
      </c>
      <c r="C314" s="255">
        <v>0</v>
      </c>
      <c r="D314" s="255">
        <v>2.1213881683080436</v>
      </c>
    </row>
    <row r="315" spans="1:4" x14ac:dyDescent="0.3">
      <c r="A315" s="138" t="s">
        <v>83</v>
      </c>
      <c r="B315" s="255">
        <v>0</v>
      </c>
      <c r="C315" s="255">
        <v>0</v>
      </c>
      <c r="D315" s="255">
        <v>6.2586831433447347</v>
      </c>
    </row>
    <row r="316" spans="1:4" x14ac:dyDescent="0.3">
      <c r="A316" s="139" t="s">
        <v>84</v>
      </c>
      <c r="B316" s="255">
        <v>0</v>
      </c>
      <c r="C316" s="255">
        <v>0</v>
      </c>
      <c r="D316" s="255">
        <v>2.1037099335721434</v>
      </c>
    </row>
    <row r="317" spans="1:4" x14ac:dyDescent="0.3">
      <c r="A317" s="139" t="s">
        <v>85</v>
      </c>
      <c r="B317" s="255">
        <v>0</v>
      </c>
      <c r="C317" s="255">
        <v>0</v>
      </c>
      <c r="D317" s="255">
        <v>2.0861790174590418</v>
      </c>
    </row>
    <row r="318" spans="1:4" x14ac:dyDescent="0.3">
      <c r="A318" s="139" t="s">
        <v>86</v>
      </c>
      <c r="B318" s="255">
        <v>0</v>
      </c>
      <c r="C318" s="255">
        <v>0</v>
      </c>
      <c r="D318" s="255">
        <v>2.06879419231355</v>
      </c>
    </row>
    <row r="319" spans="1:4" x14ac:dyDescent="0.3">
      <c r="A319" s="138" t="s">
        <v>87</v>
      </c>
      <c r="B319" s="255">
        <v>0</v>
      </c>
      <c r="C319" s="255">
        <v>0</v>
      </c>
      <c r="D319" s="255">
        <v>6.1035163351595312</v>
      </c>
    </row>
    <row r="320" spans="1:4" x14ac:dyDescent="0.3">
      <c r="A320" s="139" t="s">
        <v>88</v>
      </c>
      <c r="B320" s="255">
        <v>0</v>
      </c>
      <c r="C320" s="255">
        <v>0</v>
      </c>
      <c r="D320" s="255">
        <v>2.0515542407109368</v>
      </c>
    </row>
    <row r="321" spans="1:4" x14ac:dyDescent="0.3">
      <c r="A321" s="139" t="s">
        <v>89</v>
      </c>
      <c r="B321" s="255">
        <v>0</v>
      </c>
      <c r="C321" s="255">
        <v>0</v>
      </c>
      <c r="D321" s="255">
        <v>2.0344579553716793</v>
      </c>
    </row>
    <row r="322" spans="1:4" x14ac:dyDescent="0.3">
      <c r="A322" s="139" t="s">
        <v>169</v>
      </c>
      <c r="B322" s="255">
        <v>0</v>
      </c>
      <c r="C322" s="255">
        <v>0</v>
      </c>
      <c r="D322" s="255">
        <v>2.0175041390769151</v>
      </c>
    </row>
    <row r="323" spans="1:4" x14ac:dyDescent="0.3">
      <c r="A323" s="138" t="s">
        <v>90</v>
      </c>
      <c r="B323" s="255">
        <v>0</v>
      </c>
      <c r="C323" s="255">
        <v>0</v>
      </c>
      <c r="D323" s="255">
        <v>5.9521964605561921</v>
      </c>
    </row>
    <row r="324" spans="1:4" x14ac:dyDescent="0.3">
      <c r="A324" s="139" t="s">
        <v>91</v>
      </c>
      <c r="B324" s="255">
        <v>0</v>
      </c>
      <c r="C324" s="255">
        <v>0</v>
      </c>
      <c r="D324" s="255">
        <v>2.0006916045846075</v>
      </c>
    </row>
    <row r="325" spans="1:4" x14ac:dyDescent="0.3">
      <c r="A325" s="139" t="s">
        <v>92</v>
      </c>
      <c r="B325" s="255">
        <v>0</v>
      </c>
      <c r="C325" s="255">
        <v>0</v>
      </c>
      <c r="D325" s="255">
        <v>1.9840191745464022</v>
      </c>
    </row>
    <row r="326" spans="1:4" x14ac:dyDescent="0.3">
      <c r="A326" s="139" t="s">
        <v>93</v>
      </c>
      <c r="B326" s="255">
        <v>0</v>
      </c>
      <c r="C326" s="255">
        <v>0</v>
      </c>
      <c r="D326" s="255">
        <v>1.9674856814251822</v>
      </c>
    </row>
    <row r="327" spans="1:4" x14ac:dyDescent="0.3">
      <c r="A327" s="7" t="s">
        <v>52</v>
      </c>
      <c r="B327" s="255">
        <v>283.73546413896167</v>
      </c>
      <c r="C327" s="255">
        <v>378.31395218528235</v>
      </c>
      <c r="D327" s="255">
        <v>12.059286198176819</v>
      </c>
    </row>
    <row r="328" spans="1:4" x14ac:dyDescent="0.3">
      <c r="A328" s="138" t="s">
        <v>79</v>
      </c>
      <c r="B328" s="255">
        <v>235.94973533136027</v>
      </c>
      <c r="C328" s="255">
        <v>314.59964710848044</v>
      </c>
      <c r="D328" s="255">
        <v>3.8588203886131502</v>
      </c>
    </row>
    <row r="329" spans="1:4" x14ac:dyDescent="0.3">
      <c r="A329" s="139" t="s">
        <v>80</v>
      </c>
      <c r="B329" s="255">
        <v>122.34621324316004</v>
      </c>
      <c r="C329" s="255">
        <v>163.12828432421338</v>
      </c>
      <c r="D329" s="255">
        <v>1.9510899674133058</v>
      </c>
    </row>
    <row r="330" spans="1:4" x14ac:dyDescent="0.3">
      <c r="A330" s="139" t="s">
        <v>81</v>
      </c>
      <c r="B330" s="255">
        <v>113.60352208820025</v>
      </c>
      <c r="C330" s="255">
        <v>151.47136278426703</v>
      </c>
      <c r="D330" s="255">
        <v>0.95785627842670018</v>
      </c>
    </row>
    <row r="331" spans="1:4" x14ac:dyDescent="0.3">
      <c r="A331" s="139" t="s">
        <v>82</v>
      </c>
      <c r="B331" s="255">
        <v>0</v>
      </c>
      <c r="C331" s="255">
        <v>0</v>
      </c>
      <c r="D331" s="255">
        <v>0.9498741427731443</v>
      </c>
    </row>
    <row r="332" spans="1:4" x14ac:dyDescent="0.3">
      <c r="A332" s="138" t="s">
        <v>83</v>
      </c>
      <c r="B332" s="255">
        <v>0</v>
      </c>
      <c r="C332" s="255">
        <v>0</v>
      </c>
      <c r="D332" s="255">
        <v>2.8023920254136385</v>
      </c>
    </row>
    <row r="333" spans="1:4" x14ac:dyDescent="0.3">
      <c r="A333" s="139" t="s">
        <v>84</v>
      </c>
      <c r="B333" s="255">
        <v>0</v>
      </c>
      <c r="C333" s="255">
        <v>0</v>
      </c>
      <c r="D333" s="255">
        <v>0.94195852491670129</v>
      </c>
    </row>
    <row r="334" spans="1:4" x14ac:dyDescent="0.3">
      <c r="A334" s="139" t="s">
        <v>85</v>
      </c>
      <c r="B334" s="255">
        <v>0</v>
      </c>
      <c r="C334" s="255">
        <v>0</v>
      </c>
      <c r="D334" s="255">
        <v>0.93410887054239533</v>
      </c>
    </row>
    <row r="335" spans="1:4" x14ac:dyDescent="0.3">
      <c r="A335" s="139" t="s">
        <v>86</v>
      </c>
      <c r="B335" s="255">
        <v>0</v>
      </c>
      <c r="C335" s="255">
        <v>0</v>
      </c>
      <c r="D335" s="255">
        <v>0.92632462995454201</v>
      </c>
    </row>
    <row r="336" spans="1:4" x14ac:dyDescent="0.3">
      <c r="A336" s="138" t="s">
        <v>87</v>
      </c>
      <c r="B336" s="255">
        <v>28.917799330814091</v>
      </c>
      <c r="C336" s="255">
        <v>38.557065774418788</v>
      </c>
      <c r="D336" s="255">
        <v>2.7329144346956147</v>
      </c>
    </row>
    <row r="337" spans="1:4" x14ac:dyDescent="0.3">
      <c r="A337" s="139" t="s">
        <v>88</v>
      </c>
      <c r="B337" s="255">
        <v>0</v>
      </c>
      <c r="C337" s="255">
        <v>0</v>
      </c>
      <c r="D337" s="255">
        <v>0.91860525803825421</v>
      </c>
    </row>
    <row r="338" spans="1:4" x14ac:dyDescent="0.3">
      <c r="A338" s="139" t="s">
        <v>89</v>
      </c>
      <c r="B338" s="255">
        <v>0</v>
      </c>
      <c r="C338" s="255">
        <v>0</v>
      </c>
      <c r="D338" s="255">
        <v>0.91095021422126876</v>
      </c>
    </row>
    <row r="339" spans="1:4" x14ac:dyDescent="0.3">
      <c r="A339" s="139" t="s">
        <v>169</v>
      </c>
      <c r="B339" s="255">
        <v>28.917799330814091</v>
      </c>
      <c r="C339" s="255">
        <v>38.557065774418788</v>
      </c>
      <c r="D339" s="255">
        <v>0.90335896243609159</v>
      </c>
    </row>
    <row r="340" spans="1:4" x14ac:dyDescent="0.3">
      <c r="A340" s="138" t="s">
        <v>90</v>
      </c>
      <c r="B340" s="255">
        <v>18.867929476787321</v>
      </c>
      <c r="C340" s="255">
        <v>25.157239302383097</v>
      </c>
      <c r="D340" s="255">
        <v>2.6651593494544144</v>
      </c>
    </row>
    <row r="341" spans="1:4" x14ac:dyDescent="0.3">
      <c r="A341" s="139" t="s">
        <v>91</v>
      </c>
      <c r="B341" s="255">
        <v>18.867929476787321</v>
      </c>
      <c r="C341" s="255">
        <v>25.157239302383097</v>
      </c>
      <c r="D341" s="255">
        <v>0.89583097108245768</v>
      </c>
    </row>
    <row r="342" spans="1:4" x14ac:dyDescent="0.3">
      <c r="A342" s="139" t="s">
        <v>92</v>
      </c>
      <c r="B342" s="255">
        <v>0</v>
      </c>
      <c r="C342" s="255">
        <v>0</v>
      </c>
      <c r="D342" s="255">
        <v>0.8883657129901037</v>
      </c>
    </row>
    <row r="343" spans="1:4" x14ac:dyDescent="0.3">
      <c r="A343" s="139" t="s">
        <v>93</v>
      </c>
      <c r="B343" s="255">
        <v>0</v>
      </c>
      <c r="C343" s="255">
        <v>0</v>
      </c>
      <c r="D343" s="255">
        <v>0.88096266538185286</v>
      </c>
    </row>
    <row r="344" spans="1:4" x14ac:dyDescent="0.3">
      <c r="A344" s="7" t="s">
        <v>53</v>
      </c>
      <c r="B344" s="255">
        <v>305.63581011021859</v>
      </c>
      <c r="C344" s="255">
        <v>407.51441348029152</v>
      </c>
      <c r="D344" s="255">
        <v>30.226630039215781</v>
      </c>
    </row>
    <row r="345" spans="1:4" x14ac:dyDescent="0.3">
      <c r="A345" s="138" t="s">
        <v>79</v>
      </c>
      <c r="B345" s="255">
        <v>305.63581011021859</v>
      </c>
      <c r="C345" s="255">
        <v>407.51441348029152</v>
      </c>
      <c r="D345" s="255">
        <v>7.843555329767149</v>
      </c>
    </row>
    <row r="346" spans="1:4" x14ac:dyDescent="0.3">
      <c r="A346" s="139" t="s">
        <v>80</v>
      </c>
      <c r="B346" s="255">
        <v>171.28295733911088</v>
      </c>
      <c r="C346" s="255">
        <v>228.37727645214787</v>
      </c>
      <c r="D346" s="255">
        <v>2.636427645214793</v>
      </c>
    </row>
    <row r="347" spans="1:4" x14ac:dyDescent="0.3">
      <c r="A347" s="139" t="s">
        <v>81</v>
      </c>
      <c r="B347" s="255">
        <v>134.35285277110771</v>
      </c>
      <c r="C347" s="255">
        <v>179.13713702814363</v>
      </c>
      <c r="D347" s="255">
        <v>2.6144574148380029</v>
      </c>
    </row>
    <row r="348" spans="1:4" x14ac:dyDescent="0.3">
      <c r="A348" s="139" t="s">
        <v>82</v>
      </c>
      <c r="B348" s="255">
        <v>0</v>
      </c>
      <c r="C348" s="255">
        <v>0</v>
      </c>
      <c r="D348" s="255">
        <v>2.5926702697143527</v>
      </c>
    </row>
    <row r="349" spans="1:4" x14ac:dyDescent="0.3">
      <c r="A349" s="138" t="s">
        <v>83</v>
      </c>
      <c r="B349" s="255">
        <v>0</v>
      </c>
      <c r="C349" s="255">
        <v>0</v>
      </c>
      <c r="D349" s="255">
        <v>7.6490959814554849</v>
      </c>
    </row>
    <row r="350" spans="1:4" x14ac:dyDescent="0.3">
      <c r="A350" s="139" t="s">
        <v>84</v>
      </c>
      <c r="B350" s="255">
        <v>0</v>
      </c>
      <c r="C350" s="255">
        <v>0</v>
      </c>
      <c r="D350" s="255">
        <v>2.5710646841333999</v>
      </c>
    </row>
    <row r="351" spans="1:4" x14ac:dyDescent="0.3">
      <c r="A351" s="139" t="s">
        <v>85</v>
      </c>
      <c r="B351" s="255">
        <v>0</v>
      </c>
      <c r="C351" s="255">
        <v>0</v>
      </c>
      <c r="D351" s="255">
        <v>2.5496391450989551</v>
      </c>
    </row>
    <row r="352" spans="1:4" x14ac:dyDescent="0.3">
      <c r="A352" s="139" t="s">
        <v>86</v>
      </c>
      <c r="B352" s="255">
        <v>0</v>
      </c>
      <c r="C352" s="255">
        <v>0</v>
      </c>
      <c r="D352" s="255">
        <v>2.5283921522231303</v>
      </c>
    </row>
    <row r="353" spans="1:4" x14ac:dyDescent="0.3">
      <c r="A353" s="138" t="s">
        <v>87</v>
      </c>
      <c r="B353" s="255">
        <v>0</v>
      </c>
      <c r="C353" s="255">
        <v>0</v>
      </c>
      <c r="D353" s="255">
        <v>7.4594577170217269</v>
      </c>
    </row>
    <row r="354" spans="1:4" x14ac:dyDescent="0.3">
      <c r="A354" s="139" t="s">
        <v>88</v>
      </c>
      <c r="B354" s="255">
        <v>0</v>
      </c>
      <c r="C354" s="255">
        <v>0</v>
      </c>
      <c r="D354" s="255">
        <v>2.5073222176212711</v>
      </c>
    </row>
    <row r="355" spans="1:4" x14ac:dyDescent="0.3">
      <c r="A355" s="139" t="s">
        <v>89</v>
      </c>
      <c r="B355" s="255">
        <v>0</v>
      </c>
      <c r="C355" s="255">
        <v>0</v>
      </c>
      <c r="D355" s="255">
        <v>2.4864278658077605</v>
      </c>
    </row>
    <row r="356" spans="1:4" x14ac:dyDescent="0.3">
      <c r="A356" s="139" t="s">
        <v>169</v>
      </c>
      <c r="B356" s="255">
        <v>0</v>
      </c>
      <c r="C356" s="255">
        <v>0</v>
      </c>
      <c r="D356" s="255">
        <v>2.4657076335926957</v>
      </c>
    </row>
    <row r="357" spans="1:4" x14ac:dyDescent="0.3">
      <c r="A357" s="138" t="s">
        <v>90</v>
      </c>
      <c r="B357" s="255">
        <v>0</v>
      </c>
      <c r="C357" s="255">
        <v>0</v>
      </c>
      <c r="D357" s="255">
        <v>7.2745210109714229</v>
      </c>
    </row>
    <row r="358" spans="1:4" x14ac:dyDescent="0.3">
      <c r="A358" s="139" t="s">
        <v>91</v>
      </c>
      <c r="B358" s="255">
        <v>0</v>
      </c>
      <c r="C358" s="255">
        <v>0</v>
      </c>
      <c r="D358" s="255">
        <v>2.4451600699794236</v>
      </c>
    </row>
    <row r="359" spans="1:4" x14ac:dyDescent="0.3">
      <c r="A359" s="139" t="s">
        <v>92</v>
      </c>
      <c r="B359" s="255">
        <v>0</v>
      </c>
      <c r="C359" s="255">
        <v>0</v>
      </c>
      <c r="D359" s="255">
        <v>2.4247837360629281</v>
      </c>
    </row>
    <row r="360" spans="1:4" x14ac:dyDescent="0.3">
      <c r="A360" s="139" t="s">
        <v>93</v>
      </c>
      <c r="B360" s="255">
        <v>0</v>
      </c>
      <c r="C360" s="255">
        <v>0</v>
      </c>
      <c r="D360" s="255">
        <v>2.4045772049290703</v>
      </c>
    </row>
    <row r="361" spans="1:4" x14ac:dyDescent="0.3">
      <c r="A361" s="7" t="s">
        <v>54</v>
      </c>
      <c r="B361" s="255">
        <v>208.53562379927422</v>
      </c>
      <c r="C361" s="255">
        <v>278.04749839903229</v>
      </c>
      <c r="D361" s="255">
        <v>13.467243204630563</v>
      </c>
    </row>
    <row r="362" spans="1:4" x14ac:dyDescent="0.3">
      <c r="A362" s="138" t="s">
        <v>79</v>
      </c>
      <c r="B362" s="255">
        <v>191.58975746709109</v>
      </c>
      <c r="C362" s="255">
        <v>255.45300995612149</v>
      </c>
      <c r="D362" s="255">
        <v>4.4761893778155333</v>
      </c>
    </row>
    <row r="363" spans="1:4" x14ac:dyDescent="0.3">
      <c r="A363" s="139" t="s">
        <v>80</v>
      </c>
      <c r="B363" s="255">
        <v>0</v>
      </c>
      <c r="C363" s="255">
        <v>0</v>
      </c>
      <c r="D363" s="255">
        <v>2.3845390615546611</v>
      </c>
    </row>
    <row r="364" spans="1:4" x14ac:dyDescent="0.3">
      <c r="A364" s="139" t="s">
        <v>81</v>
      </c>
      <c r="B364" s="255">
        <v>191.58975746709109</v>
      </c>
      <c r="C364" s="255">
        <v>255.45300995612149</v>
      </c>
      <c r="D364" s="255">
        <v>1.0502009956121534</v>
      </c>
    </row>
    <row r="365" spans="1:4" x14ac:dyDescent="0.3">
      <c r="A365" s="139" t="s">
        <v>82</v>
      </c>
      <c r="B365" s="255">
        <v>0</v>
      </c>
      <c r="C365" s="255">
        <v>0</v>
      </c>
      <c r="D365" s="255">
        <v>1.0414493206487188</v>
      </c>
    </row>
    <row r="366" spans="1:4" x14ac:dyDescent="0.3">
      <c r="A366" s="138" t="s">
        <v>83</v>
      </c>
      <c r="B366" s="255">
        <v>0</v>
      </c>
      <c r="C366" s="255">
        <v>0</v>
      </c>
      <c r="D366" s="255">
        <v>3.0725641847010992</v>
      </c>
    </row>
    <row r="367" spans="1:4" x14ac:dyDescent="0.3">
      <c r="A367" s="139" t="s">
        <v>84</v>
      </c>
      <c r="B367" s="255">
        <v>0</v>
      </c>
      <c r="C367" s="255">
        <v>0</v>
      </c>
      <c r="D367" s="255">
        <v>1.0327705763099793</v>
      </c>
    </row>
    <row r="368" spans="1:4" x14ac:dyDescent="0.3">
      <c r="A368" s="139" t="s">
        <v>85</v>
      </c>
      <c r="B368" s="255">
        <v>0</v>
      </c>
      <c r="C368" s="255">
        <v>0</v>
      </c>
      <c r="D368" s="255">
        <v>1.0241641548407296</v>
      </c>
    </row>
    <row r="369" spans="1:4" x14ac:dyDescent="0.3">
      <c r="A369" s="139" t="s">
        <v>86</v>
      </c>
      <c r="B369" s="255">
        <v>0</v>
      </c>
      <c r="C369" s="255">
        <v>0</v>
      </c>
      <c r="D369" s="255">
        <v>1.0156294535503902</v>
      </c>
    </row>
    <row r="370" spans="1:4" x14ac:dyDescent="0.3">
      <c r="A370" s="138" t="s">
        <v>87</v>
      </c>
      <c r="B370" s="255">
        <v>0</v>
      </c>
      <c r="C370" s="255">
        <v>0</v>
      </c>
      <c r="D370" s="255">
        <v>2.996388419517777</v>
      </c>
    </row>
    <row r="371" spans="1:4" x14ac:dyDescent="0.3">
      <c r="A371" s="139" t="s">
        <v>88</v>
      </c>
      <c r="B371" s="255">
        <v>0</v>
      </c>
      <c r="C371" s="255">
        <v>0</v>
      </c>
      <c r="D371" s="255">
        <v>1.0071658747708037</v>
      </c>
    </row>
    <row r="372" spans="1:4" x14ac:dyDescent="0.3">
      <c r="A372" s="139" t="s">
        <v>89</v>
      </c>
      <c r="B372" s="255">
        <v>0</v>
      </c>
      <c r="C372" s="255">
        <v>0</v>
      </c>
      <c r="D372" s="255">
        <v>0.99877282581438009</v>
      </c>
    </row>
    <row r="373" spans="1:4" x14ac:dyDescent="0.3">
      <c r="A373" s="139" t="s">
        <v>169</v>
      </c>
      <c r="B373" s="255">
        <v>0</v>
      </c>
      <c r="C373" s="255">
        <v>0</v>
      </c>
      <c r="D373" s="255">
        <v>0.99044971893259337</v>
      </c>
    </row>
    <row r="374" spans="1:4" x14ac:dyDescent="0.3">
      <c r="A374" s="138" t="s">
        <v>90</v>
      </c>
      <c r="B374" s="255">
        <v>16.945866332183119</v>
      </c>
      <c r="C374" s="255">
        <v>22.594488442910826</v>
      </c>
      <c r="D374" s="255">
        <v>2.9221012225961558</v>
      </c>
    </row>
    <row r="375" spans="1:4" x14ac:dyDescent="0.3">
      <c r="A375" s="139" t="s">
        <v>91</v>
      </c>
      <c r="B375" s="255">
        <v>0</v>
      </c>
      <c r="C375" s="255">
        <v>0</v>
      </c>
      <c r="D375" s="255">
        <v>0.98219597127482183</v>
      </c>
    </row>
    <row r="376" spans="1:4" x14ac:dyDescent="0.3">
      <c r="A376" s="139" t="s">
        <v>92</v>
      </c>
      <c r="B376" s="255">
        <v>0</v>
      </c>
      <c r="C376" s="255">
        <v>0</v>
      </c>
      <c r="D376" s="255">
        <v>0.97401100484753167</v>
      </c>
    </row>
    <row r="377" spans="1:4" x14ac:dyDescent="0.3">
      <c r="A377" s="139" t="s">
        <v>93</v>
      </c>
      <c r="B377" s="255">
        <v>16.945866332183119</v>
      </c>
      <c r="C377" s="255">
        <v>22.594488442910826</v>
      </c>
      <c r="D377" s="255">
        <v>0.96589424647380229</v>
      </c>
    </row>
    <row r="378" spans="1:4" x14ac:dyDescent="0.3">
      <c r="A378" s="7" t="s">
        <v>55</v>
      </c>
      <c r="B378" s="255">
        <v>1071.236218304053</v>
      </c>
      <c r="C378" s="255">
        <v>1428.3149577387371</v>
      </c>
      <c r="D378" s="255">
        <v>56.926490267628253</v>
      </c>
    </row>
    <row r="379" spans="1:4" x14ac:dyDescent="0.3">
      <c r="A379" s="138" t="s">
        <v>79</v>
      </c>
      <c r="B379" s="255">
        <v>360.87810173246555</v>
      </c>
      <c r="C379" s="255">
        <v>481.17080230995407</v>
      </c>
      <c r="D379" s="255">
        <v>11.520865920891616</v>
      </c>
    </row>
    <row r="380" spans="1:4" x14ac:dyDescent="0.3">
      <c r="A380" s="139" t="s">
        <v>80</v>
      </c>
      <c r="B380" s="255">
        <v>180.05243598424556</v>
      </c>
      <c r="C380" s="255">
        <v>240.06991464566079</v>
      </c>
      <c r="D380" s="255">
        <v>0.95784512775318731</v>
      </c>
    </row>
    <row r="381" spans="1:4" x14ac:dyDescent="0.3">
      <c r="A381" s="139" t="s">
        <v>81</v>
      </c>
      <c r="B381" s="255">
        <v>180.82566574821996</v>
      </c>
      <c r="C381" s="255">
        <v>241.10088766429331</v>
      </c>
      <c r="D381" s="255">
        <v>5.3036087664293365</v>
      </c>
    </row>
    <row r="382" spans="1:4" x14ac:dyDescent="0.3">
      <c r="A382" s="139" t="s">
        <v>82</v>
      </c>
      <c r="B382" s="255">
        <v>0</v>
      </c>
      <c r="C382" s="255">
        <v>0</v>
      </c>
      <c r="D382" s="255">
        <v>5.2594120267090929</v>
      </c>
    </row>
    <row r="383" spans="1:4" x14ac:dyDescent="0.3">
      <c r="A383" s="138" t="s">
        <v>83</v>
      </c>
      <c r="B383" s="255">
        <v>485.99115295552747</v>
      </c>
      <c r="C383" s="255">
        <v>647.98820394070333</v>
      </c>
      <c r="D383" s="255">
        <v>15.516723382935801</v>
      </c>
    </row>
    <row r="384" spans="1:4" x14ac:dyDescent="0.3">
      <c r="A384" s="139" t="s">
        <v>84</v>
      </c>
      <c r="B384" s="255">
        <v>178.06873436272713</v>
      </c>
      <c r="C384" s="255">
        <v>237.42497915030287</v>
      </c>
      <c r="D384" s="255">
        <v>5.2155835931531831</v>
      </c>
    </row>
    <row r="385" spans="1:4" x14ac:dyDescent="0.3">
      <c r="A385" s="139" t="s">
        <v>85</v>
      </c>
      <c r="B385" s="255">
        <v>160.2103283872211</v>
      </c>
      <c r="C385" s="255">
        <v>213.61377118296147</v>
      </c>
      <c r="D385" s="255">
        <v>5.1721203965435727</v>
      </c>
    </row>
    <row r="386" spans="1:4" x14ac:dyDescent="0.3">
      <c r="A386" s="139" t="s">
        <v>86</v>
      </c>
      <c r="B386" s="255">
        <v>147.71209020557922</v>
      </c>
      <c r="C386" s="255">
        <v>196.94945360743895</v>
      </c>
      <c r="D386" s="255">
        <v>5.1290193932390435</v>
      </c>
    </row>
    <row r="387" spans="1:4" x14ac:dyDescent="0.3">
      <c r="A387" s="138" t="s">
        <v>87</v>
      </c>
      <c r="B387" s="255">
        <v>220.4911449752897</v>
      </c>
      <c r="C387" s="255">
        <v>293.98819330038629</v>
      </c>
      <c r="D387" s="255">
        <v>15.132028969481892</v>
      </c>
    </row>
    <row r="388" spans="1:4" x14ac:dyDescent="0.3">
      <c r="A388" s="139" t="s">
        <v>88</v>
      </c>
      <c r="B388" s="255">
        <v>124.25272646267614</v>
      </c>
      <c r="C388" s="255">
        <v>165.67030195023486</v>
      </c>
      <c r="D388" s="255">
        <v>5.0862775649620513</v>
      </c>
    </row>
    <row r="389" spans="1:4" x14ac:dyDescent="0.3">
      <c r="A389" s="139" t="s">
        <v>89</v>
      </c>
      <c r="B389" s="255">
        <v>64.244074257506057</v>
      </c>
      <c r="C389" s="255">
        <v>85.658765676674747</v>
      </c>
      <c r="D389" s="255">
        <v>5.0438919185873674</v>
      </c>
    </row>
    <row r="390" spans="1:4" x14ac:dyDescent="0.3">
      <c r="A390" s="139" t="s">
        <v>169</v>
      </c>
      <c r="B390" s="255">
        <v>31.99434425510751</v>
      </c>
      <c r="C390" s="255">
        <v>42.659125673476687</v>
      </c>
      <c r="D390" s="255">
        <v>5.0018594859324725</v>
      </c>
    </row>
    <row r="391" spans="1:4" x14ac:dyDescent="0.3">
      <c r="A391" s="138" t="s">
        <v>90</v>
      </c>
      <c r="B391" s="255">
        <v>3.875818640770103</v>
      </c>
      <c r="C391" s="255">
        <v>5.1677581876934715</v>
      </c>
      <c r="D391" s="255">
        <v>14.756871994318942</v>
      </c>
    </row>
    <row r="392" spans="1:4" x14ac:dyDescent="0.3">
      <c r="A392" s="139" t="s">
        <v>91</v>
      </c>
      <c r="B392" s="255">
        <v>3.875818640770103</v>
      </c>
      <c r="C392" s="255">
        <v>5.1677581876934715</v>
      </c>
      <c r="D392" s="255">
        <v>4.9601773235497015</v>
      </c>
    </row>
    <row r="393" spans="1:4" x14ac:dyDescent="0.3">
      <c r="A393" s="139" t="s">
        <v>92</v>
      </c>
      <c r="B393" s="255">
        <v>0</v>
      </c>
      <c r="C393" s="255">
        <v>0</v>
      </c>
      <c r="D393" s="255">
        <v>4.9188425125201212</v>
      </c>
    </row>
    <row r="394" spans="1:4" x14ac:dyDescent="0.3">
      <c r="A394" s="139" t="s">
        <v>93</v>
      </c>
      <c r="B394" s="255">
        <v>0</v>
      </c>
      <c r="C394" s="255">
        <v>0</v>
      </c>
      <c r="D394" s="255">
        <v>4.8778521582491194</v>
      </c>
    </row>
    <row r="395" spans="1:4" x14ac:dyDescent="0.3">
      <c r="A395" s="7" t="s">
        <v>56</v>
      </c>
      <c r="B395" s="255">
        <v>2330.6097744363956</v>
      </c>
      <c r="C395" s="255">
        <v>3107.4796992485271</v>
      </c>
      <c r="D395" s="255">
        <v>0</v>
      </c>
    </row>
    <row r="396" spans="1:4" x14ac:dyDescent="0.3">
      <c r="A396" s="138" t="s">
        <v>79</v>
      </c>
      <c r="B396" s="255">
        <v>321.22017660337519</v>
      </c>
      <c r="C396" s="255">
        <v>428.29356880450024</v>
      </c>
      <c r="D396" s="255">
        <v>0</v>
      </c>
    </row>
    <row r="397" spans="1:4" x14ac:dyDescent="0.3">
      <c r="A397" s="139" t="s">
        <v>80</v>
      </c>
      <c r="B397" s="255">
        <v>112.75422122230552</v>
      </c>
      <c r="C397" s="255">
        <v>150.33896162974071</v>
      </c>
      <c r="D397" s="255">
        <v>0</v>
      </c>
    </row>
    <row r="398" spans="1:4" x14ac:dyDescent="0.3">
      <c r="A398" s="139" t="s">
        <v>81</v>
      </c>
      <c r="B398" s="255">
        <v>189.78828899180209</v>
      </c>
      <c r="C398" s="255">
        <v>253.05105198906946</v>
      </c>
      <c r="D398" s="255">
        <v>0</v>
      </c>
    </row>
    <row r="399" spans="1:4" x14ac:dyDescent="0.3">
      <c r="A399" s="139" t="s">
        <v>82</v>
      </c>
      <c r="B399" s="255">
        <v>18.677666389267561</v>
      </c>
      <c r="C399" s="255">
        <v>24.903555185690085</v>
      </c>
      <c r="D399" s="255">
        <v>0</v>
      </c>
    </row>
    <row r="400" spans="1:4" x14ac:dyDescent="0.3">
      <c r="A400" s="138" t="s">
        <v>83</v>
      </c>
      <c r="B400" s="255">
        <v>413.62440257431257</v>
      </c>
      <c r="C400" s="255">
        <v>551.49920343241672</v>
      </c>
      <c r="D400" s="255">
        <v>0</v>
      </c>
    </row>
    <row r="401" spans="1:4" x14ac:dyDescent="0.3">
      <c r="A401" s="139" t="s">
        <v>84</v>
      </c>
      <c r="B401" s="255">
        <v>0</v>
      </c>
      <c r="C401" s="255">
        <v>0</v>
      </c>
      <c r="D401" s="255">
        <v>0</v>
      </c>
    </row>
    <row r="402" spans="1:4" x14ac:dyDescent="0.3">
      <c r="A402" s="139" t="s">
        <v>85</v>
      </c>
      <c r="B402" s="255">
        <v>0</v>
      </c>
      <c r="C402" s="255">
        <v>0</v>
      </c>
      <c r="D402" s="255">
        <v>0</v>
      </c>
    </row>
    <row r="403" spans="1:4" x14ac:dyDescent="0.3">
      <c r="A403" s="139" t="s">
        <v>86</v>
      </c>
      <c r="B403" s="255">
        <v>413.62440257431257</v>
      </c>
      <c r="C403" s="255">
        <v>551.49920343241672</v>
      </c>
      <c r="D403" s="255">
        <v>0</v>
      </c>
    </row>
    <row r="404" spans="1:4" x14ac:dyDescent="0.3">
      <c r="A404" s="138" t="s">
        <v>87</v>
      </c>
      <c r="B404" s="255">
        <v>908.87928880459413</v>
      </c>
      <c r="C404" s="255">
        <v>1211.8390517394589</v>
      </c>
      <c r="D404" s="255">
        <v>0</v>
      </c>
    </row>
    <row r="405" spans="1:4" x14ac:dyDescent="0.3">
      <c r="A405" s="139" t="s">
        <v>88</v>
      </c>
      <c r="B405" s="255">
        <v>311.45035068287143</v>
      </c>
      <c r="C405" s="255">
        <v>415.26713424382865</v>
      </c>
      <c r="D405" s="255">
        <v>0</v>
      </c>
    </row>
    <row r="406" spans="1:4" x14ac:dyDescent="0.3">
      <c r="A406" s="139" t="s">
        <v>89</v>
      </c>
      <c r="B406" s="255">
        <v>305.5736734400773</v>
      </c>
      <c r="C406" s="255">
        <v>407.43156458676975</v>
      </c>
      <c r="D406" s="255">
        <v>0</v>
      </c>
    </row>
    <row r="407" spans="1:4" x14ac:dyDescent="0.3">
      <c r="A407" s="139" t="s">
        <v>169</v>
      </c>
      <c r="B407" s="255">
        <v>291.85526468164534</v>
      </c>
      <c r="C407" s="255">
        <v>389.14035290886045</v>
      </c>
      <c r="D407" s="255">
        <v>0</v>
      </c>
    </row>
    <row r="408" spans="1:4" x14ac:dyDescent="0.3">
      <c r="A408" s="138" t="s">
        <v>90</v>
      </c>
      <c r="B408" s="255">
        <v>686.88590645411387</v>
      </c>
      <c r="C408" s="255">
        <v>915.84787527215178</v>
      </c>
      <c r="D408" s="255">
        <v>0</v>
      </c>
    </row>
    <row r="409" spans="1:4" x14ac:dyDescent="0.3">
      <c r="A409" s="139" t="s">
        <v>91</v>
      </c>
      <c r="B409" s="255">
        <v>215.11458381842547</v>
      </c>
      <c r="C409" s="255">
        <v>286.81944509123394</v>
      </c>
      <c r="D409" s="255">
        <v>0</v>
      </c>
    </row>
    <row r="410" spans="1:4" x14ac:dyDescent="0.3">
      <c r="A410" s="139" t="s">
        <v>92</v>
      </c>
      <c r="B410" s="255">
        <v>244.72463434413436</v>
      </c>
      <c r="C410" s="255">
        <v>326.29951245884581</v>
      </c>
      <c r="D410" s="255">
        <v>0</v>
      </c>
    </row>
    <row r="411" spans="1:4" x14ac:dyDescent="0.3">
      <c r="A411" s="139" t="s">
        <v>93</v>
      </c>
      <c r="B411" s="255">
        <v>227.04668829155395</v>
      </c>
      <c r="C411" s="255">
        <v>302.72891772207197</v>
      </c>
      <c r="D411" s="255">
        <v>0</v>
      </c>
    </row>
    <row r="412" spans="1:4" x14ac:dyDescent="0.3">
      <c r="A412" s="7" t="s">
        <v>57</v>
      </c>
      <c r="B412" s="255">
        <v>1398.5645340110314</v>
      </c>
      <c r="C412" s="255">
        <v>1864.7527120147083</v>
      </c>
      <c r="D412" s="255">
        <v>14.293172037090049</v>
      </c>
    </row>
    <row r="413" spans="1:4" x14ac:dyDescent="0.3">
      <c r="A413" s="138" t="s">
        <v>79</v>
      </c>
      <c r="B413" s="255">
        <v>471.81996750315909</v>
      </c>
      <c r="C413" s="255">
        <v>629.09329000421212</v>
      </c>
      <c r="D413" s="255">
        <v>2.6975652715974237</v>
      </c>
    </row>
    <row r="414" spans="1:4" x14ac:dyDescent="0.3">
      <c r="A414" s="139" t="s">
        <v>80</v>
      </c>
      <c r="B414" s="255">
        <v>195.0645496240837</v>
      </c>
      <c r="C414" s="255">
        <v>260.08606616544495</v>
      </c>
      <c r="D414" s="255">
        <v>0</v>
      </c>
    </row>
    <row r="415" spans="1:4" x14ac:dyDescent="0.3">
      <c r="A415" s="139" t="s">
        <v>81</v>
      </c>
      <c r="B415" s="255">
        <v>225.47014558342127</v>
      </c>
      <c r="C415" s="255">
        <v>300.62686077789505</v>
      </c>
      <c r="D415" s="255">
        <v>1.3544260777895012</v>
      </c>
    </row>
    <row r="416" spans="1:4" x14ac:dyDescent="0.3">
      <c r="A416" s="139" t="s">
        <v>82</v>
      </c>
      <c r="B416" s="255">
        <v>51.28527229565411</v>
      </c>
      <c r="C416" s="255">
        <v>68.380363060872156</v>
      </c>
      <c r="D416" s="255">
        <v>1.3431391938079222</v>
      </c>
    </row>
    <row r="417" spans="1:4" x14ac:dyDescent="0.3">
      <c r="A417" s="138" t="s">
        <v>83</v>
      </c>
      <c r="B417" s="255">
        <v>182.27663026409701</v>
      </c>
      <c r="C417" s="255">
        <v>243.03550701879604</v>
      </c>
      <c r="D417" s="255">
        <v>3.9626329386742469</v>
      </c>
    </row>
    <row r="418" spans="1:4" x14ac:dyDescent="0.3">
      <c r="A418" s="139" t="s">
        <v>84</v>
      </c>
      <c r="B418" s="255">
        <v>0</v>
      </c>
      <c r="C418" s="255">
        <v>0</v>
      </c>
      <c r="D418" s="255">
        <v>1.3319463671928562</v>
      </c>
    </row>
    <row r="419" spans="1:4" x14ac:dyDescent="0.3">
      <c r="A419" s="139" t="s">
        <v>85</v>
      </c>
      <c r="B419" s="255">
        <v>0</v>
      </c>
      <c r="C419" s="255">
        <v>0</v>
      </c>
      <c r="D419" s="255">
        <v>1.3208468141329157</v>
      </c>
    </row>
    <row r="420" spans="1:4" x14ac:dyDescent="0.3">
      <c r="A420" s="139" t="s">
        <v>86</v>
      </c>
      <c r="B420" s="255">
        <v>182.27663026409701</v>
      </c>
      <c r="C420" s="255">
        <v>243.03550701879604</v>
      </c>
      <c r="D420" s="255">
        <v>1.3098397573484748</v>
      </c>
    </row>
    <row r="421" spans="1:4" x14ac:dyDescent="0.3">
      <c r="A421" s="138" t="s">
        <v>87</v>
      </c>
      <c r="B421" s="255">
        <v>405.52224068794465</v>
      </c>
      <c r="C421" s="255">
        <v>540.69632091725953</v>
      </c>
      <c r="D421" s="255">
        <v>3.8643903705459235</v>
      </c>
    </row>
    <row r="422" spans="1:4" x14ac:dyDescent="0.3">
      <c r="A422" s="139" t="s">
        <v>88</v>
      </c>
      <c r="B422" s="255">
        <v>141.65350005580908</v>
      </c>
      <c r="C422" s="255">
        <v>188.87133340774545</v>
      </c>
      <c r="D422" s="255">
        <v>1.2989244260372377</v>
      </c>
    </row>
    <row r="423" spans="1:4" x14ac:dyDescent="0.3">
      <c r="A423" s="139" t="s">
        <v>89</v>
      </c>
      <c r="B423" s="255">
        <v>146.63717617469828</v>
      </c>
      <c r="C423" s="255">
        <v>195.51623489959772</v>
      </c>
      <c r="D423" s="255">
        <v>1.2881000558202607</v>
      </c>
    </row>
    <row r="424" spans="1:4" x14ac:dyDescent="0.3">
      <c r="A424" s="139" t="s">
        <v>169</v>
      </c>
      <c r="B424" s="255">
        <v>117.23156445743732</v>
      </c>
      <c r="C424" s="255">
        <v>156.30875260991644</v>
      </c>
      <c r="D424" s="255">
        <v>1.2773658886884252</v>
      </c>
    </row>
    <row r="425" spans="1:4" x14ac:dyDescent="0.3">
      <c r="A425" s="138" t="s">
        <v>90</v>
      </c>
      <c r="B425" s="255">
        <v>338.94569555583047</v>
      </c>
      <c r="C425" s="255">
        <v>451.92759407444066</v>
      </c>
      <c r="D425" s="255">
        <v>3.7685834562724523</v>
      </c>
    </row>
    <row r="426" spans="1:4" x14ac:dyDescent="0.3">
      <c r="A426" s="139" t="s">
        <v>91</v>
      </c>
      <c r="B426" s="255">
        <v>97.864356235267465</v>
      </c>
      <c r="C426" s="255">
        <v>130.48580831368994</v>
      </c>
      <c r="D426" s="255">
        <v>1.2667211729493548</v>
      </c>
    </row>
    <row r="427" spans="1:4" x14ac:dyDescent="0.3">
      <c r="A427" s="139" t="s">
        <v>92</v>
      </c>
      <c r="B427" s="255">
        <v>108.02914842661603</v>
      </c>
      <c r="C427" s="255">
        <v>144.03886456882137</v>
      </c>
      <c r="D427" s="255">
        <v>1.256165163174777</v>
      </c>
    </row>
    <row r="428" spans="1:4" x14ac:dyDescent="0.3">
      <c r="A428" s="139" t="s">
        <v>93</v>
      </c>
      <c r="B428" s="255">
        <v>133.05219089394697</v>
      </c>
      <c r="C428" s="255">
        <v>177.40292119192932</v>
      </c>
      <c r="D428" s="255">
        <v>1.2456971201483205</v>
      </c>
    </row>
    <row r="429" spans="1:4" x14ac:dyDescent="0.3">
      <c r="A429" s="7" t="s">
        <v>58</v>
      </c>
      <c r="B429" s="255">
        <v>1208.1751564792839</v>
      </c>
      <c r="C429" s="255">
        <v>1610.9002086390458</v>
      </c>
      <c r="D429" s="255">
        <v>39.944160990533504</v>
      </c>
    </row>
    <row r="430" spans="1:4" x14ac:dyDescent="0.3">
      <c r="A430" s="138" t="s">
        <v>79</v>
      </c>
      <c r="B430" s="255">
        <v>418.57963696737471</v>
      </c>
      <c r="C430" s="255">
        <v>558.10618262316632</v>
      </c>
      <c r="D430" s="255">
        <v>10.365172578745886</v>
      </c>
    </row>
    <row r="431" spans="1:4" x14ac:dyDescent="0.3">
      <c r="A431" s="139" t="s">
        <v>80</v>
      </c>
      <c r="B431" s="255">
        <v>228.65722722752869</v>
      </c>
      <c r="C431" s="255">
        <v>304.87630297003824</v>
      </c>
      <c r="D431" s="255">
        <v>3.4840102970038225</v>
      </c>
    </row>
    <row r="432" spans="1:4" x14ac:dyDescent="0.3">
      <c r="A432" s="139" t="s">
        <v>81</v>
      </c>
      <c r="B432" s="255">
        <v>189.92240973984602</v>
      </c>
      <c r="C432" s="255">
        <v>253.22987965312805</v>
      </c>
      <c r="D432" s="255">
        <v>3.4549768778621237</v>
      </c>
    </row>
    <row r="433" spans="1:4" x14ac:dyDescent="0.3">
      <c r="A433" s="139" t="s">
        <v>82</v>
      </c>
      <c r="B433" s="255">
        <v>0</v>
      </c>
      <c r="C433" s="255">
        <v>0</v>
      </c>
      <c r="D433" s="255">
        <v>3.4261854038799395</v>
      </c>
    </row>
    <row r="434" spans="1:4" x14ac:dyDescent="0.3">
      <c r="A434" s="138" t="s">
        <v>83</v>
      </c>
      <c r="B434" s="255">
        <v>187.12265684648426</v>
      </c>
      <c r="C434" s="255">
        <v>249.49687579531238</v>
      </c>
      <c r="D434" s="255">
        <v>10.108196676867383</v>
      </c>
    </row>
    <row r="435" spans="1:4" x14ac:dyDescent="0.3">
      <c r="A435" s="139" t="s">
        <v>84</v>
      </c>
      <c r="B435" s="255">
        <v>0</v>
      </c>
      <c r="C435" s="255">
        <v>0</v>
      </c>
      <c r="D435" s="255">
        <v>3.3976338588476063</v>
      </c>
    </row>
    <row r="436" spans="1:4" x14ac:dyDescent="0.3">
      <c r="A436" s="139" t="s">
        <v>85</v>
      </c>
      <c r="B436" s="255">
        <v>0</v>
      </c>
      <c r="C436" s="255">
        <v>0</v>
      </c>
      <c r="D436" s="255">
        <v>3.36932024335721</v>
      </c>
    </row>
    <row r="437" spans="1:4" x14ac:dyDescent="0.3">
      <c r="A437" s="139" t="s">
        <v>86</v>
      </c>
      <c r="B437" s="255">
        <v>187.12265684648426</v>
      </c>
      <c r="C437" s="255">
        <v>249.49687579531238</v>
      </c>
      <c r="D437" s="255">
        <v>3.3412425746625658</v>
      </c>
    </row>
    <row r="438" spans="1:4" x14ac:dyDescent="0.3">
      <c r="A438" s="138" t="s">
        <v>87</v>
      </c>
      <c r="B438" s="255">
        <v>390.84301170652986</v>
      </c>
      <c r="C438" s="255">
        <v>521.1240156087066</v>
      </c>
      <c r="D438" s="255">
        <v>9.8575917846025227</v>
      </c>
    </row>
    <row r="439" spans="1:4" x14ac:dyDescent="0.3">
      <c r="A439" s="139" t="s">
        <v>88</v>
      </c>
      <c r="B439" s="255">
        <v>156.22363534008463</v>
      </c>
      <c r="C439" s="255">
        <v>208.29818045344621</v>
      </c>
      <c r="D439" s="255">
        <v>3.3133988865403783</v>
      </c>
    </row>
    <row r="440" spans="1:4" x14ac:dyDescent="0.3">
      <c r="A440" s="139" t="s">
        <v>89</v>
      </c>
      <c r="B440" s="255">
        <v>136.30869423238832</v>
      </c>
      <c r="C440" s="255">
        <v>181.74492564318444</v>
      </c>
      <c r="D440" s="255">
        <v>3.2857872291525418</v>
      </c>
    </row>
    <row r="441" spans="1:4" x14ac:dyDescent="0.3">
      <c r="A441" s="139" t="s">
        <v>169</v>
      </c>
      <c r="B441" s="255">
        <v>98.310682134056961</v>
      </c>
      <c r="C441" s="255">
        <v>131.08090951207598</v>
      </c>
      <c r="D441" s="255">
        <v>3.2584056689096039</v>
      </c>
    </row>
    <row r="442" spans="1:4" x14ac:dyDescent="0.3">
      <c r="A442" s="138" t="s">
        <v>90</v>
      </c>
      <c r="B442" s="255">
        <v>211.62985095889525</v>
      </c>
      <c r="C442" s="255">
        <v>282.17313461186029</v>
      </c>
      <c r="D442" s="255">
        <v>9.6131999503177124</v>
      </c>
    </row>
    <row r="443" spans="1:4" x14ac:dyDescent="0.3">
      <c r="A443" s="139" t="s">
        <v>91</v>
      </c>
      <c r="B443" s="255">
        <v>56.359774437786697</v>
      </c>
      <c r="C443" s="255">
        <v>75.146365917048939</v>
      </c>
      <c r="D443" s="255">
        <v>3.2312522883353574</v>
      </c>
    </row>
    <row r="444" spans="1:4" x14ac:dyDescent="0.3">
      <c r="A444" s="139" t="s">
        <v>92</v>
      </c>
      <c r="B444" s="255">
        <v>60.559117869985421</v>
      </c>
      <c r="C444" s="255">
        <v>80.745490493313909</v>
      </c>
      <c r="D444" s="255">
        <v>3.204325185932563</v>
      </c>
    </row>
    <row r="445" spans="1:4" x14ac:dyDescent="0.3">
      <c r="A445" s="139" t="s">
        <v>93</v>
      </c>
      <c r="B445" s="255">
        <v>94.710958651123107</v>
      </c>
      <c r="C445" s="255">
        <v>126.28127820149749</v>
      </c>
      <c r="D445" s="255">
        <v>3.177622476049792</v>
      </c>
    </row>
    <row r="446" spans="1:4" x14ac:dyDescent="0.3">
      <c r="A446" s="7" t="s">
        <v>59</v>
      </c>
      <c r="B446" s="255">
        <v>1648.7017420473471</v>
      </c>
      <c r="C446" s="255">
        <v>2198.268989396463</v>
      </c>
      <c r="D446" s="255">
        <v>126.68942794527442</v>
      </c>
    </row>
    <row r="447" spans="1:4" x14ac:dyDescent="0.3">
      <c r="A447" s="138" t="s">
        <v>79</v>
      </c>
      <c r="B447" s="255">
        <v>413.9376470099416</v>
      </c>
      <c r="C447" s="255">
        <v>551.91686267992213</v>
      </c>
      <c r="D447" s="255">
        <v>26.466651836591573</v>
      </c>
    </row>
    <row r="448" spans="1:4" x14ac:dyDescent="0.3">
      <c r="A448" s="139" t="s">
        <v>80</v>
      </c>
      <c r="B448" s="255">
        <v>101.58145708082873</v>
      </c>
      <c r="C448" s="255">
        <v>135.4419427744383</v>
      </c>
      <c r="D448" s="255">
        <v>3.151142288749377</v>
      </c>
    </row>
    <row r="449" spans="1:4" x14ac:dyDescent="0.3">
      <c r="A449" s="139" t="s">
        <v>81</v>
      </c>
      <c r="B449" s="255">
        <v>312.35618992911287</v>
      </c>
      <c r="C449" s="255">
        <v>416.47491990548389</v>
      </c>
      <c r="D449" s="255">
        <v>11.706531990548385</v>
      </c>
    </row>
    <row r="450" spans="1:4" x14ac:dyDescent="0.3">
      <c r="A450" s="139" t="s">
        <v>82</v>
      </c>
      <c r="B450" s="255">
        <v>0</v>
      </c>
      <c r="C450" s="255">
        <v>0</v>
      </c>
      <c r="D450" s="255">
        <v>11.608977557293814</v>
      </c>
    </row>
    <row r="451" spans="1:4" x14ac:dyDescent="0.3">
      <c r="A451" s="138" t="s">
        <v>83</v>
      </c>
      <c r="B451" s="255">
        <v>209.0401210666017</v>
      </c>
      <c r="C451" s="255">
        <v>278.72016142213562</v>
      </c>
      <c r="D451" s="255">
        <v>34.249701791846583</v>
      </c>
    </row>
    <row r="452" spans="1:4" x14ac:dyDescent="0.3">
      <c r="A452" s="139" t="s">
        <v>84</v>
      </c>
      <c r="B452" s="255">
        <v>0</v>
      </c>
      <c r="C452" s="255">
        <v>0</v>
      </c>
      <c r="D452" s="255">
        <v>11.5122360776497</v>
      </c>
    </row>
    <row r="453" spans="1:4" x14ac:dyDescent="0.3">
      <c r="A453" s="139" t="s">
        <v>85</v>
      </c>
      <c r="B453" s="255">
        <v>0</v>
      </c>
      <c r="C453" s="255">
        <v>0</v>
      </c>
      <c r="D453" s="255">
        <v>11.416300777002618</v>
      </c>
    </row>
    <row r="454" spans="1:4" x14ac:dyDescent="0.3">
      <c r="A454" s="139" t="s">
        <v>86</v>
      </c>
      <c r="B454" s="255">
        <v>209.0401210666017</v>
      </c>
      <c r="C454" s="255">
        <v>278.72016142213562</v>
      </c>
      <c r="D454" s="255">
        <v>11.321164937194263</v>
      </c>
    </row>
    <row r="455" spans="1:4" x14ac:dyDescent="0.3">
      <c r="A455" s="138" t="s">
        <v>87</v>
      </c>
      <c r="B455" s="255">
        <v>607.23063621934375</v>
      </c>
      <c r="C455" s="255">
        <v>809.64084829245849</v>
      </c>
      <c r="D455" s="255">
        <v>33.400574781161112</v>
      </c>
    </row>
    <row r="456" spans="1:4" x14ac:dyDescent="0.3">
      <c r="A456" s="139" t="s">
        <v>88</v>
      </c>
      <c r="B456" s="255">
        <v>253.12738042918181</v>
      </c>
      <c r="C456" s="255">
        <v>337.50317390557575</v>
      </c>
      <c r="D456" s="255">
        <v>11.226821896050978</v>
      </c>
    </row>
    <row r="457" spans="1:4" x14ac:dyDescent="0.3">
      <c r="A457" s="139" t="s">
        <v>89</v>
      </c>
      <c r="B457" s="255">
        <v>262.04285601513271</v>
      </c>
      <c r="C457" s="255">
        <v>349.39047468684367</v>
      </c>
      <c r="D457" s="255">
        <v>11.13326504691722</v>
      </c>
    </row>
    <row r="458" spans="1:4" x14ac:dyDescent="0.3">
      <c r="A458" s="139" t="s">
        <v>169</v>
      </c>
      <c r="B458" s="255">
        <v>92.060399775029296</v>
      </c>
      <c r="C458" s="255">
        <v>122.74719970003908</v>
      </c>
      <c r="D458" s="255">
        <v>11.040487838192909</v>
      </c>
    </row>
    <row r="459" spans="1:4" x14ac:dyDescent="0.3">
      <c r="A459" s="138" t="s">
        <v>90</v>
      </c>
      <c r="B459" s="255">
        <v>418.49333775146022</v>
      </c>
      <c r="C459" s="255">
        <v>557.99111700194692</v>
      </c>
      <c r="D459" s="255">
        <v>32.572499535675149</v>
      </c>
    </row>
    <row r="460" spans="1:4" x14ac:dyDescent="0.3">
      <c r="A460" s="139" t="s">
        <v>91</v>
      </c>
      <c r="B460" s="255">
        <v>109.6727410081985</v>
      </c>
      <c r="C460" s="255">
        <v>146.23032134426467</v>
      </c>
      <c r="D460" s="255">
        <v>10.948483772874635</v>
      </c>
    </row>
    <row r="461" spans="1:4" x14ac:dyDescent="0.3">
      <c r="A461" s="139" t="s">
        <v>92</v>
      </c>
      <c r="B461" s="255">
        <v>170.43809640282254</v>
      </c>
      <c r="C461" s="255">
        <v>227.2507952037634</v>
      </c>
      <c r="D461" s="255">
        <v>10.857246408100679</v>
      </c>
    </row>
    <row r="462" spans="1:4" x14ac:dyDescent="0.3">
      <c r="A462" s="139" t="s">
        <v>93</v>
      </c>
      <c r="B462" s="255">
        <v>138.38250034043912</v>
      </c>
      <c r="C462" s="255">
        <v>184.51000045391885</v>
      </c>
      <c r="D462" s="255">
        <v>10.766769354699839</v>
      </c>
    </row>
    <row r="463" spans="1:4" x14ac:dyDescent="0.3">
      <c r="A463" s="7" t="s">
        <v>60</v>
      </c>
      <c r="B463" s="255">
        <v>2081.3466515183482</v>
      </c>
      <c r="C463" s="255">
        <v>2775.1288686911307</v>
      </c>
      <c r="D463" s="255">
        <v>72.749353938040315</v>
      </c>
    </row>
    <row r="464" spans="1:4" x14ac:dyDescent="0.3">
      <c r="A464" s="138" t="s">
        <v>79</v>
      </c>
      <c r="B464" s="255">
        <v>787.48261534570634</v>
      </c>
      <c r="C464" s="255">
        <v>1049.9768204609418</v>
      </c>
      <c r="D464" s="255">
        <v>22.39201766591604</v>
      </c>
    </row>
    <row r="465" spans="1:4" x14ac:dyDescent="0.3">
      <c r="A465" s="139" t="s">
        <v>80</v>
      </c>
      <c r="B465" s="255">
        <v>397.9155603237196</v>
      </c>
      <c r="C465" s="255">
        <v>530.55408043162618</v>
      </c>
      <c r="D465" s="255">
        <v>10.677046276744008</v>
      </c>
    </row>
    <row r="466" spans="1:4" x14ac:dyDescent="0.3">
      <c r="A466" s="139" t="s">
        <v>81</v>
      </c>
      <c r="B466" s="255">
        <v>389.56705502198673</v>
      </c>
      <c r="C466" s="255">
        <v>519.42274002931561</v>
      </c>
      <c r="D466" s="255">
        <v>5.881994002931564</v>
      </c>
    </row>
    <row r="467" spans="1:4" x14ac:dyDescent="0.3">
      <c r="A467" s="139" t="s">
        <v>82</v>
      </c>
      <c r="B467" s="255">
        <v>0</v>
      </c>
      <c r="C467" s="255">
        <v>0</v>
      </c>
      <c r="D467" s="255">
        <v>5.8329773862404677</v>
      </c>
    </row>
    <row r="468" spans="1:4" x14ac:dyDescent="0.3">
      <c r="A468" s="138" t="s">
        <v>83</v>
      </c>
      <c r="B468" s="255">
        <v>750.43831412086047</v>
      </c>
      <c r="C468" s="255">
        <v>1000.5844188278139</v>
      </c>
      <c r="D468" s="255">
        <v>17.208900185339942</v>
      </c>
    </row>
    <row r="469" spans="1:4" x14ac:dyDescent="0.3">
      <c r="A469" s="139" t="s">
        <v>84</v>
      </c>
      <c r="B469" s="255">
        <v>264.83933257373945</v>
      </c>
      <c r="C469" s="255">
        <v>353.11911009831931</v>
      </c>
      <c r="D469" s="255">
        <v>5.7843692413551295</v>
      </c>
    </row>
    <row r="470" spans="1:4" x14ac:dyDescent="0.3">
      <c r="A470" s="139" t="s">
        <v>85</v>
      </c>
      <c r="B470" s="255">
        <v>236.33950779037991</v>
      </c>
      <c r="C470" s="255">
        <v>315.11934372050655</v>
      </c>
      <c r="D470" s="255">
        <v>5.736166164343838</v>
      </c>
    </row>
    <row r="471" spans="1:4" x14ac:dyDescent="0.3">
      <c r="A471" s="139" t="s">
        <v>86</v>
      </c>
      <c r="B471" s="255">
        <v>249.25947375674104</v>
      </c>
      <c r="C471" s="255">
        <v>332.34596500898806</v>
      </c>
      <c r="D471" s="255">
        <v>5.6883647796409722</v>
      </c>
    </row>
    <row r="472" spans="1:4" x14ac:dyDescent="0.3">
      <c r="A472" s="138" t="s">
        <v>87</v>
      </c>
      <c r="B472" s="255">
        <v>500.23698100325214</v>
      </c>
      <c r="C472" s="255">
        <v>666.98264133766952</v>
      </c>
      <c r="D472" s="255">
        <v>16.782252909390781</v>
      </c>
    </row>
    <row r="473" spans="1:4" x14ac:dyDescent="0.3">
      <c r="A473" s="139" t="s">
        <v>88</v>
      </c>
      <c r="B473" s="255">
        <v>222.80358322854408</v>
      </c>
      <c r="C473" s="255">
        <v>297.07144430472545</v>
      </c>
      <c r="D473" s="255">
        <v>5.6409617398106313</v>
      </c>
    </row>
    <row r="474" spans="1:4" x14ac:dyDescent="0.3">
      <c r="A474" s="139" t="s">
        <v>89</v>
      </c>
      <c r="B474" s="255">
        <v>164.41439941166658</v>
      </c>
      <c r="C474" s="255">
        <v>219.21919921555548</v>
      </c>
      <c r="D474" s="255">
        <v>5.5939537253122094</v>
      </c>
    </row>
    <row r="475" spans="1:4" x14ac:dyDescent="0.3">
      <c r="A475" s="139" t="s">
        <v>169</v>
      </c>
      <c r="B475" s="255">
        <v>113.01899836304146</v>
      </c>
      <c r="C475" s="255">
        <v>150.69199781738862</v>
      </c>
      <c r="D475" s="255">
        <v>5.5473374442679413</v>
      </c>
    </row>
    <row r="476" spans="1:4" x14ac:dyDescent="0.3">
      <c r="A476" s="138" t="s">
        <v>90</v>
      </c>
      <c r="B476" s="255">
        <v>43.18874104852928</v>
      </c>
      <c r="C476" s="255">
        <v>57.584988064705705</v>
      </c>
      <c r="D476" s="255">
        <v>16.366183177393552</v>
      </c>
    </row>
    <row r="477" spans="1:4" x14ac:dyDescent="0.3">
      <c r="A477" s="139" t="s">
        <v>91</v>
      </c>
      <c r="B477" s="255">
        <v>19.278694449293766</v>
      </c>
      <c r="C477" s="255">
        <v>25.704925932391689</v>
      </c>
      <c r="D477" s="255">
        <v>5.5011096322323745</v>
      </c>
    </row>
    <row r="478" spans="1:4" x14ac:dyDescent="0.3">
      <c r="A478" s="139" t="s">
        <v>92</v>
      </c>
      <c r="B478" s="255">
        <v>0</v>
      </c>
      <c r="C478" s="255">
        <v>0</v>
      </c>
      <c r="D478" s="255">
        <v>5.4552670519637712</v>
      </c>
    </row>
    <row r="479" spans="1:4" x14ac:dyDescent="0.3">
      <c r="A479" s="139" t="s">
        <v>93</v>
      </c>
      <c r="B479" s="255">
        <v>23.91004659923551</v>
      </c>
      <c r="C479" s="255">
        <v>31.880062132314016</v>
      </c>
      <c r="D479" s="255">
        <v>5.4098064931974061</v>
      </c>
    </row>
    <row r="480" spans="1:4" x14ac:dyDescent="0.3">
      <c r="A480" s="7" t="s">
        <v>61</v>
      </c>
      <c r="B480" s="255">
        <v>669.63997847250448</v>
      </c>
      <c r="C480" s="255">
        <v>892.85330463000582</v>
      </c>
      <c r="D480" s="255">
        <v>43.245348560450097</v>
      </c>
    </row>
    <row r="481" spans="1:4" x14ac:dyDescent="0.3">
      <c r="A481" s="138" t="s">
        <v>79</v>
      </c>
      <c r="B481" s="255">
        <v>541.13394136392071</v>
      </c>
      <c r="C481" s="255">
        <v>721.51192181856095</v>
      </c>
      <c r="D481" s="255">
        <v>11.221802885365808</v>
      </c>
    </row>
    <row r="482" spans="1:4" x14ac:dyDescent="0.3">
      <c r="A482" s="139" t="s">
        <v>80</v>
      </c>
      <c r="B482" s="255">
        <v>319.29499902008604</v>
      </c>
      <c r="C482" s="255">
        <v>425.72666536011479</v>
      </c>
      <c r="D482" s="255">
        <v>3.7719465360114763</v>
      </c>
    </row>
    <row r="483" spans="1:4" x14ac:dyDescent="0.3">
      <c r="A483" s="139" t="s">
        <v>81</v>
      </c>
      <c r="B483" s="255">
        <v>221.83894234383465</v>
      </c>
      <c r="C483" s="255">
        <v>295.78525645844621</v>
      </c>
      <c r="D483" s="255">
        <v>3.7405136482113805</v>
      </c>
    </row>
    <row r="484" spans="1:4" x14ac:dyDescent="0.3">
      <c r="A484" s="139" t="s">
        <v>82</v>
      </c>
      <c r="B484" s="255">
        <v>0</v>
      </c>
      <c r="C484" s="255">
        <v>0</v>
      </c>
      <c r="D484" s="255">
        <v>3.7093427011429521</v>
      </c>
    </row>
    <row r="485" spans="1:4" x14ac:dyDescent="0.3">
      <c r="A485" s="138" t="s">
        <v>83</v>
      </c>
      <c r="B485" s="255">
        <v>106.43703429065712</v>
      </c>
      <c r="C485" s="255">
        <v>141.91604572087618</v>
      </c>
      <c r="D485" s="255">
        <v>10.943589194733889</v>
      </c>
    </row>
    <row r="486" spans="1:4" x14ac:dyDescent="0.3">
      <c r="A486" s="139" t="s">
        <v>84</v>
      </c>
      <c r="B486" s="255">
        <v>0</v>
      </c>
      <c r="C486" s="255">
        <v>0</v>
      </c>
      <c r="D486" s="255">
        <v>3.6784315119667603</v>
      </c>
    </row>
    <row r="487" spans="1:4" x14ac:dyDescent="0.3">
      <c r="A487" s="139" t="s">
        <v>85</v>
      </c>
      <c r="B487" s="255">
        <v>0</v>
      </c>
      <c r="C487" s="255">
        <v>0</v>
      </c>
      <c r="D487" s="255">
        <v>3.6477779160337045</v>
      </c>
    </row>
    <row r="488" spans="1:4" x14ac:dyDescent="0.3">
      <c r="A488" s="139" t="s">
        <v>86</v>
      </c>
      <c r="B488" s="255">
        <v>106.43703429065712</v>
      </c>
      <c r="C488" s="255">
        <v>141.91604572087618</v>
      </c>
      <c r="D488" s="255">
        <v>3.6173797667334235</v>
      </c>
    </row>
    <row r="489" spans="1:4" x14ac:dyDescent="0.3">
      <c r="A489" s="138" t="s">
        <v>87</v>
      </c>
      <c r="B489" s="255">
        <v>22.069002817926592</v>
      </c>
      <c r="C489" s="255">
        <v>29.425337090568792</v>
      </c>
      <c r="D489" s="255">
        <v>10.672273046185513</v>
      </c>
    </row>
    <row r="490" spans="1:4" x14ac:dyDescent="0.3">
      <c r="A490" s="139" t="s">
        <v>88</v>
      </c>
      <c r="B490" s="255">
        <v>22.069002817926592</v>
      </c>
      <c r="C490" s="255">
        <v>29.425337090568792</v>
      </c>
      <c r="D490" s="255">
        <v>3.5872349353439783</v>
      </c>
    </row>
    <row r="491" spans="1:4" x14ac:dyDescent="0.3">
      <c r="A491" s="139" t="s">
        <v>89</v>
      </c>
      <c r="B491" s="255">
        <v>0</v>
      </c>
      <c r="C491" s="255">
        <v>0</v>
      </c>
      <c r="D491" s="255">
        <v>3.5573413108827787</v>
      </c>
    </row>
    <row r="492" spans="1:4" x14ac:dyDescent="0.3">
      <c r="A492" s="139" t="s">
        <v>169</v>
      </c>
      <c r="B492" s="255">
        <v>0</v>
      </c>
      <c r="C492" s="255">
        <v>0</v>
      </c>
      <c r="D492" s="255">
        <v>3.5276967999587558</v>
      </c>
    </row>
    <row r="493" spans="1:4" x14ac:dyDescent="0.3">
      <c r="A493" s="138" t="s">
        <v>90</v>
      </c>
      <c r="B493" s="255">
        <v>0</v>
      </c>
      <c r="C493" s="255">
        <v>0</v>
      </c>
      <c r="D493" s="255">
        <v>10.407683434164891</v>
      </c>
    </row>
    <row r="494" spans="1:4" x14ac:dyDescent="0.3">
      <c r="A494" s="139" t="s">
        <v>91</v>
      </c>
      <c r="B494" s="255">
        <v>0</v>
      </c>
      <c r="C494" s="255">
        <v>0</v>
      </c>
      <c r="D494" s="255">
        <v>3.4982993266257658</v>
      </c>
    </row>
    <row r="495" spans="1:4" x14ac:dyDescent="0.3">
      <c r="A495" s="139" t="s">
        <v>92</v>
      </c>
      <c r="B495" s="255">
        <v>0</v>
      </c>
      <c r="C495" s="255">
        <v>0</v>
      </c>
      <c r="D495" s="255">
        <v>3.4691468322372181</v>
      </c>
    </row>
    <row r="496" spans="1:4" x14ac:dyDescent="0.3">
      <c r="A496" s="139" t="s">
        <v>93</v>
      </c>
      <c r="B496" s="255">
        <v>0</v>
      </c>
      <c r="C496" s="255">
        <v>0</v>
      </c>
      <c r="D496" s="255">
        <v>3.4402372753019081</v>
      </c>
    </row>
    <row r="497" spans="1:4" x14ac:dyDescent="0.3">
      <c r="A497" s="7" t="s">
        <v>62</v>
      </c>
      <c r="B497" s="255">
        <v>0</v>
      </c>
      <c r="C497" s="255">
        <v>0</v>
      </c>
      <c r="D497" s="255">
        <v>3.4115686313410585</v>
      </c>
    </row>
    <row r="498" spans="1:4" x14ac:dyDescent="0.3">
      <c r="A498" s="138" t="s">
        <v>79</v>
      </c>
      <c r="B498" s="255">
        <v>0</v>
      </c>
      <c r="C498" s="255">
        <v>0</v>
      </c>
      <c r="D498" s="255">
        <v>3.4115686313410585</v>
      </c>
    </row>
    <row r="499" spans="1:4" x14ac:dyDescent="0.3">
      <c r="A499" s="139" t="s">
        <v>80</v>
      </c>
      <c r="B499" s="255">
        <v>0</v>
      </c>
      <c r="C499" s="255">
        <v>0</v>
      </c>
      <c r="D499" s="255">
        <v>3.4115686313410585</v>
      </c>
    </row>
    <row r="500" spans="1:4" x14ac:dyDescent="0.3">
      <c r="A500" s="139" t="s">
        <v>81</v>
      </c>
      <c r="B500" s="255">
        <v>0</v>
      </c>
      <c r="C500" s="255">
        <v>0</v>
      </c>
      <c r="D500" s="255">
        <v>0</v>
      </c>
    </row>
    <row r="501" spans="1:4" x14ac:dyDescent="0.3">
      <c r="A501" s="139" t="s">
        <v>82</v>
      </c>
      <c r="B501" s="255">
        <v>0</v>
      </c>
      <c r="C501" s="255">
        <v>0</v>
      </c>
      <c r="D501" s="255">
        <v>0</v>
      </c>
    </row>
    <row r="502" spans="1:4" x14ac:dyDescent="0.3">
      <c r="A502" s="138" t="s">
        <v>83</v>
      </c>
      <c r="B502" s="255">
        <v>0</v>
      </c>
      <c r="C502" s="255">
        <v>0</v>
      </c>
      <c r="D502" s="255">
        <v>0</v>
      </c>
    </row>
    <row r="503" spans="1:4" x14ac:dyDescent="0.3">
      <c r="A503" s="139" t="s">
        <v>84</v>
      </c>
      <c r="B503" s="255">
        <v>0</v>
      </c>
      <c r="C503" s="255">
        <v>0</v>
      </c>
      <c r="D503" s="255">
        <v>0</v>
      </c>
    </row>
    <row r="504" spans="1:4" x14ac:dyDescent="0.3">
      <c r="A504" s="139" t="s">
        <v>85</v>
      </c>
      <c r="B504" s="255">
        <v>0</v>
      </c>
      <c r="C504" s="255">
        <v>0</v>
      </c>
      <c r="D504" s="255">
        <v>0</v>
      </c>
    </row>
    <row r="505" spans="1:4" x14ac:dyDescent="0.3">
      <c r="A505" s="139" t="s">
        <v>86</v>
      </c>
      <c r="B505" s="255">
        <v>0</v>
      </c>
      <c r="C505" s="255">
        <v>0</v>
      </c>
      <c r="D505" s="255">
        <v>0</v>
      </c>
    </row>
    <row r="506" spans="1:4" x14ac:dyDescent="0.3">
      <c r="A506" s="138" t="s">
        <v>87</v>
      </c>
      <c r="B506" s="255">
        <v>0</v>
      </c>
      <c r="C506" s="255">
        <v>0</v>
      </c>
      <c r="D506" s="255">
        <v>0</v>
      </c>
    </row>
    <row r="507" spans="1:4" x14ac:dyDescent="0.3">
      <c r="A507" s="139" t="s">
        <v>88</v>
      </c>
      <c r="B507" s="255">
        <v>0</v>
      </c>
      <c r="C507" s="255">
        <v>0</v>
      </c>
      <c r="D507" s="255">
        <v>0</v>
      </c>
    </row>
    <row r="508" spans="1:4" x14ac:dyDescent="0.3">
      <c r="A508" s="139" t="s">
        <v>89</v>
      </c>
      <c r="B508" s="255">
        <v>0</v>
      </c>
      <c r="C508" s="255">
        <v>0</v>
      </c>
      <c r="D508" s="255">
        <v>0</v>
      </c>
    </row>
    <row r="509" spans="1:4" x14ac:dyDescent="0.3">
      <c r="A509" s="139" t="s">
        <v>169</v>
      </c>
      <c r="B509" s="255">
        <v>0</v>
      </c>
      <c r="C509" s="255">
        <v>0</v>
      </c>
      <c r="D509" s="255">
        <v>0</v>
      </c>
    </row>
    <row r="510" spans="1:4" x14ac:dyDescent="0.3">
      <c r="A510" s="138" t="s">
        <v>90</v>
      </c>
      <c r="B510" s="255">
        <v>0</v>
      </c>
      <c r="C510" s="255">
        <v>0</v>
      </c>
      <c r="D510" s="255">
        <v>0</v>
      </c>
    </row>
    <row r="511" spans="1:4" x14ac:dyDescent="0.3">
      <c r="A511" s="139" t="s">
        <v>91</v>
      </c>
      <c r="B511" s="255">
        <v>0</v>
      </c>
      <c r="C511" s="255">
        <v>0</v>
      </c>
      <c r="D511" s="255">
        <v>0</v>
      </c>
    </row>
    <row r="512" spans="1:4" x14ac:dyDescent="0.3">
      <c r="A512" s="139" t="s">
        <v>92</v>
      </c>
      <c r="B512" s="255">
        <v>0</v>
      </c>
      <c r="C512" s="255">
        <v>0</v>
      </c>
      <c r="D512" s="255">
        <v>0</v>
      </c>
    </row>
    <row r="513" spans="1:4" x14ac:dyDescent="0.3">
      <c r="A513" s="139" t="s">
        <v>93</v>
      </c>
      <c r="B513" s="255">
        <v>0</v>
      </c>
      <c r="C513" s="255">
        <v>0</v>
      </c>
      <c r="D513" s="255">
        <v>0</v>
      </c>
    </row>
    <row r="514" spans="1:4" x14ac:dyDescent="0.3">
      <c r="A514" s="7" t="s">
        <v>63</v>
      </c>
      <c r="B514" s="255">
        <v>0</v>
      </c>
      <c r="C514" s="255">
        <v>0</v>
      </c>
      <c r="D514" s="255">
        <v>195.88077670705047</v>
      </c>
    </row>
    <row r="515" spans="1:4" x14ac:dyDescent="0.3">
      <c r="A515" s="138" t="s">
        <v>79</v>
      </c>
      <c r="B515" s="255">
        <v>0</v>
      </c>
      <c r="C515" s="255">
        <v>0</v>
      </c>
      <c r="D515" s="255">
        <v>36.968783363643496</v>
      </c>
    </row>
    <row r="516" spans="1:4" x14ac:dyDescent="0.3">
      <c r="A516" s="139" t="s">
        <v>80</v>
      </c>
      <c r="B516" s="255">
        <v>0</v>
      </c>
      <c r="C516" s="255">
        <v>0</v>
      </c>
      <c r="D516" s="255">
        <v>0</v>
      </c>
    </row>
    <row r="517" spans="1:4" x14ac:dyDescent="0.3">
      <c r="A517" s="139" t="s">
        <v>81</v>
      </c>
      <c r="B517" s="255">
        <v>0</v>
      </c>
      <c r="C517" s="255">
        <v>0</v>
      </c>
      <c r="D517" s="255">
        <v>18.561732232791712</v>
      </c>
    </row>
    <row r="518" spans="1:4" x14ac:dyDescent="0.3">
      <c r="A518" s="139" t="s">
        <v>82</v>
      </c>
      <c r="B518" s="255">
        <v>0</v>
      </c>
      <c r="C518" s="255">
        <v>0</v>
      </c>
      <c r="D518" s="255">
        <v>18.40705113085178</v>
      </c>
    </row>
    <row r="519" spans="1:4" x14ac:dyDescent="0.3">
      <c r="A519" s="138" t="s">
        <v>83</v>
      </c>
      <c r="B519" s="255">
        <v>0</v>
      </c>
      <c r="C519" s="255">
        <v>0</v>
      </c>
      <c r="D519" s="255">
        <v>54.305903253542667</v>
      </c>
    </row>
    <row r="520" spans="1:4" x14ac:dyDescent="0.3">
      <c r="A520" s="139" t="s">
        <v>84</v>
      </c>
      <c r="B520" s="255">
        <v>0</v>
      </c>
      <c r="C520" s="255">
        <v>0</v>
      </c>
      <c r="D520" s="255">
        <v>18.253659038094685</v>
      </c>
    </row>
    <row r="521" spans="1:4" x14ac:dyDescent="0.3">
      <c r="A521" s="139" t="s">
        <v>85</v>
      </c>
      <c r="B521" s="255">
        <v>0</v>
      </c>
      <c r="C521" s="255">
        <v>0</v>
      </c>
      <c r="D521" s="255">
        <v>18.101545212777228</v>
      </c>
    </row>
    <row r="522" spans="1:4" x14ac:dyDescent="0.3">
      <c r="A522" s="139" t="s">
        <v>86</v>
      </c>
      <c r="B522" s="255">
        <v>0</v>
      </c>
      <c r="C522" s="255">
        <v>0</v>
      </c>
      <c r="D522" s="255">
        <v>17.950699002670753</v>
      </c>
    </row>
    <row r="523" spans="1:4" x14ac:dyDescent="0.3">
      <c r="A523" s="138" t="s">
        <v>87</v>
      </c>
      <c r="B523" s="255">
        <v>0</v>
      </c>
      <c r="C523" s="255">
        <v>0</v>
      </c>
      <c r="D523" s="255">
        <v>52.959537975021235</v>
      </c>
    </row>
    <row r="524" spans="1:4" x14ac:dyDescent="0.3">
      <c r="A524" s="139" t="s">
        <v>88</v>
      </c>
      <c r="B524" s="255">
        <v>0</v>
      </c>
      <c r="C524" s="255">
        <v>0</v>
      </c>
      <c r="D524" s="255">
        <v>17.80110984431516</v>
      </c>
    </row>
    <row r="525" spans="1:4" x14ac:dyDescent="0.3">
      <c r="A525" s="139" t="s">
        <v>89</v>
      </c>
      <c r="B525" s="255">
        <v>0</v>
      </c>
      <c r="C525" s="255">
        <v>0</v>
      </c>
      <c r="D525" s="255">
        <v>17.652767262279202</v>
      </c>
    </row>
    <row r="526" spans="1:4" x14ac:dyDescent="0.3">
      <c r="A526" s="139" t="s">
        <v>169</v>
      </c>
      <c r="B526" s="255">
        <v>0</v>
      </c>
      <c r="C526" s="255">
        <v>0</v>
      </c>
      <c r="D526" s="255">
        <v>17.505660868426876</v>
      </c>
    </row>
    <row r="527" spans="1:4" x14ac:dyDescent="0.3">
      <c r="A527" s="138" t="s">
        <v>90</v>
      </c>
      <c r="B527" s="255">
        <v>0</v>
      </c>
      <c r="C527" s="255">
        <v>0</v>
      </c>
      <c r="D527" s="255">
        <v>51.646552114843061</v>
      </c>
    </row>
    <row r="528" spans="1:4" x14ac:dyDescent="0.3">
      <c r="A528" s="139" t="s">
        <v>91</v>
      </c>
      <c r="B528" s="255">
        <v>0</v>
      </c>
      <c r="C528" s="255">
        <v>0</v>
      </c>
      <c r="D528" s="255">
        <v>17.359780361189987</v>
      </c>
    </row>
    <row r="529" spans="1:4" x14ac:dyDescent="0.3">
      <c r="A529" s="139" t="s">
        <v>92</v>
      </c>
      <c r="B529" s="255">
        <v>0</v>
      </c>
      <c r="C529" s="255">
        <v>0</v>
      </c>
      <c r="D529" s="255">
        <v>17.215115524846734</v>
      </c>
    </row>
    <row r="530" spans="1:4" x14ac:dyDescent="0.3">
      <c r="A530" s="139" t="s">
        <v>93</v>
      </c>
      <c r="B530" s="255">
        <v>0</v>
      </c>
      <c r="C530" s="255">
        <v>0</v>
      </c>
      <c r="D530" s="255">
        <v>17.071656228806344</v>
      </c>
    </row>
    <row r="531" spans="1:4" x14ac:dyDescent="0.3">
      <c r="A531" s="7" t="s">
        <v>64</v>
      </c>
      <c r="B531" s="255">
        <v>0</v>
      </c>
      <c r="C531" s="255">
        <v>0</v>
      </c>
      <c r="D531" s="255">
        <v>23.917845986384126</v>
      </c>
    </row>
    <row r="532" spans="1:4" x14ac:dyDescent="0.3">
      <c r="A532" s="138" t="s">
        <v>79</v>
      </c>
      <c r="B532" s="255">
        <v>0</v>
      </c>
      <c r="C532" s="255">
        <v>0</v>
      </c>
      <c r="D532" s="255">
        <v>6.2064791251840212</v>
      </c>
    </row>
    <row r="533" spans="1:4" x14ac:dyDescent="0.3">
      <c r="A533" s="139" t="s">
        <v>80</v>
      </c>
      <c r="B533" s="255">
        <v>0</v>
      </c>
      <c r="C533" s="255">
        <v>0</v>
      </c>
      <c r="D533" s="255">
        <v>2.0861627740400528</v>
      </c>
    </row>
    <row r="534" spans="1:4" x14ac:dyDescent="0.3">
      <c r="A534" s="139" t="s">
        <v>81</v>
      </c>
      <c r="B534" s="255">
        <v>0</v>
      </c>
      <c r="C534" s="255">
        <v>0</v>
      </c>
      <c r="D534" s="255">
        <v>2.0687780842563859</v>
      </c>
    </row>
    <row r="535" spans="1:4" x14ac:dyDescent="0.3">
      <c r="A535" s="139" t="s">
        <v>82</v>
      </c>
      <c r="B535" s="255">
        <v>0</v>
      </c>
      <c r="C535" s="255">
        <v>0</v>
      </c>
      <c r="D535" s="255">
        <v>2.0515382668875826</v>
      </c>
    </row>
    <row r="536" spans="1:4" x14ac:dyDescent="0.3">
      <c r="A536" s="138" t="s">
        <v>83</v>
      </c>
      <c r="B536" s="255">
        <v>0</v>
      </c>
      <c r="C536" s="255">
        <v>0</v>
      </c>
      <c r="D536" s="255">
        <v>6.0526065718263755</v>
      </c>
    </row>
    <row r="537" spans="1:4" x14ac:dyDescent="0.3">
      <c r="A537" s="139" t="s">
        <v>84</v>
      </c>
      <c r="B537" s="255">
        <v>0</v>
      </c>
      <c r="C537" s="255">
        <v>0</v>
      </c>
      <c r="D537" s="255">
        <v>2.034442114663519</v>
      </c>
    </row>
    <row r="538" spans="1:4" x14ac:dyDescent="0.3">
      <c r="A538" s="139" t="s">
        <v>85</v>
      </c>
      <c r="B538" s="255">
        <v>0</v>
      </c>
      <c r="C538" s="255">
        <v>0</v>
      </c>
      <c r="D538" s="255">
        <v>2.0174884303746565</v>
      </c>
    </row>
    <row r="539" spans="1:4" x14ac:dyDescent="0.3">
      <c r="A539" s="139" t="s">
        <v>86</v>
      </c>
      <c r="B539" s="255">
        <v>0</v>
      </c>
      <c r="C539" s="255">
        <v>0</v>
      </c>
      <c r="D539" s="255">
        <v>2.0006760267882009</v>
      </c>
    </row>
    <row r="540" spans="1:4" x14ac:dyDescent="0.3">
      <c r="A540" s="138" t="s">
        <v>87</v>
      </c>
      <c r="B540" s="255">
        <v>0</v>
      </c>
      <c r="C540" s="255">
        <v>0</v>
      </c>
      <c r="D540" s="255">
        <v>5.9025488645673407</v>
      </c>
    </row>
    <row r="541" spans="1:4" x14ac:dyDescent="0.3">
      <c r="A541" s="139" t="s">
        <v>88</v>
      </c>
      <c r="B541" s="255">
        <v>0</v>
      </c>
      <c r="C541" s="255">
        <v>0</v>
      </c>
      <c r="D541" s="255">
        <v>1.9840037265649657</v>
      </c>
    </row>
    <row r="542" spans="1:4" x14ac:dyDescent="0.3">
      <c r="A542" s="139" t="s">
        <v>89</v>
      </c>
      <c r="B542" s="255">
        <v>0</v>
      </c>
      <c r="C542" s="255">
        <v>0</v>
      </c>
      <c r="D542" s="255">
        <v>1.9674703621769245</v>
      </c>
    </row>
    <row r="543" spans="1:4" x14ac:dyDescent="0.3">
      <c r="A543" s="139" t="s">
        <v>169</v>
      </c>
      <c r="B543" s="255">
        <v>0</v>
      </c>
      <c r="C543" s="255">
        <v>0</v>
      </c>
      <c r="D543" s="255">
        <v>1.9510747758254501</v>
      </c>
    </row>
    <row r="544" spans="1:4" x14ac:dyDescent="0.3">
      <c r="A544" s="138" t="s">
        <v>90</v>
      </c>
      <c r="B544" s="255">
        <v>0</v>
      </c>
      <c r="C544" s="255">
        <v>0</v>
      </c>
      <c r="D544" s="255">
        <v>5.756211424806386</v>
      </c>
    </row>
    <row r="545" spans="1:4" x14ac:dyDescent="0.3">
      <c r="A545" s="139" t="s">
        <v>91</v>
      </c>
      <c r="B545" s="255">
        <v>0</v>
      </c>
      <c r="C545" s="255">
        <v>0</v>
      </c>
      <c r="D545" s="255">
        <v>1.9348158193602381</v>
      </c>
    </row>
    <row r="546" spans="1:4" x14ac:dyDescent="0.3">
      <c r="A546" s="139" t="s">
        <v>92</v>
      </c>
      <c r="B546" s="255">
        <v>0</v>
      </c>
      <c r="C546" s="255">
        <v>0</v>
      </c>
      <c r="D546" s="255">
        <v>1.9186923541989029</v>
      </c>
    </row>
    <row r="547" spans="1:4" x14ac:dyDescent="0.3">
      <c r="A547" s="139" t="s">
        <v>93</v>
      </c>
      <c r="B547" s="255">
        <v>0</v>
      </c>
      <c r="C547" s="255">
        <v>0</v>
      </c>
      <c r="D547" s="255">
        <v>1.9027032512472453</v>
      </c>
    </row>
    <row r="548" spans="1:4" x14ac:dyDescent="0.3">
      <c r="A548" s="7" t="s">
        <v>65</v>
      </c>
      <c r="B548" s="255">
        <v>0</v>
      </c>
      <c r="C548" s="255">
        <v>0</v>
      </c>
      <c r="D548" s="255">
        <v>1.886847390820185</v>
      </c>
    </row>
    <row r="549" spans="1:4" x14ac:dyDescent="0.3">
      <c r="A549" s="138" t="s">
        <v>79</v>
      </c>
      <c r="B549" s="255">
        <v>0</v>
      </c>
      <c r="C549" s="255">
        <v>0</v>
      </c>
      <c r="D549" s="255">
        <v>1.886847390820185</v>
      </c>
    </row>
    <row r="550" spans="1:4" x14ac:dyDescent="0.3">
      <c r="A550" s="139" t="s">
        <v>80</v>
      </c>
      <c r="B550" s="255">
        <v>0</v>
      </c>
      <c r="C550" s="255">
        <v>0</v>
      </c>
      <c r="D550" s="255">
        <v>1.886847390820185</v>
      </c>
    </row>
    <row r="551" spans="1:4" x14ac:dyDescent="0.3">
      <c r="A551" s="139" t="s">
        <v>81</v>
      </c>
      <c r="B551" s="255">
        <v>0</v>
      </c>
      <c r="C551" s="255">
        <v>0</v>
      </c>
      <c r="D551" s="255">
        <v>0</v>
      </c>
    </row>
    <row r="552" spans="1:4" x14ac:dyDescent="0.3">
      <c r="A552" s="139" t="s">
        <v>82</v>
      </c>
      <c r="B552" s="255">
        <v>0</v>
      </c>
      <c r="C552" s="255">
        <v>0</v>
      </c>
      <c r="D552" s="255">
        <v>0</v>
      </c>
    </row>
    <row r="553" spans="1:4" x14ac:dyDescent="0.3">
      <c r="A553" s="138" t="s">
        <v>83</v>
      </c>
      <c r="B553" s="255">
        <v>0</v>
      </c>
      <c r="C553" s="255">
        <v>0</v>
      </c>
      <c r="D553" s="255">
        <v>0</v>
      </c>
    </row>
    <row r="554" spans="1:4" x14ac:dyDescent="0.3">
      <c r="A554" s="139" t="s">
        <v>84</v>
      </c>
      <c r="B554" s="255">
        <v>0</v>
      </c>
      <c r="C554" s="255">
        <v>0</v>
      </c>
      <c r="D554" s="255">
        <v>0</v>
      </c>
    </row>
    <row r="555" spans="1:4" x14ac:dyDescent="0.3">
      <c r="A555" s="139" t="s">
        <v>85</v>
      </c>
      <c r="B555" s="255">
        <v>0</v>
      </c>
      <c r="C555" s="255">
        <v>0</v>
      </c>
      <c r="D555" s="255">
        <v>0</v>
      </c>
    </row>
    <row r="556" spans="1:4" x14ac:dyDescent="0.3">
      <c r="A556" s="139" t="s">
        <v>86</v>
      </c>
      <c r="B556" s="255">
        <v>0</v>
      </c>
      <c r="C556" s="255">
        <v>0</v>
      </c>
      <c r="D556" s="255">
        <v>0</v>
      </c>
    </row>
    <row r="557" spans="1:4" x14ac:dyDescent="0.3">
      <c r="A557" s="138" t="s">
        <v>87</v>
      </c>
      <c r="B557" s="255">
        <v>0</v>
      </c>
      <c r="C557" s="255">
        <v>0</v>
      </c>
      <c r="D557" s="255">
        <v>0</v>
      </c>
    </row>
    <row r="558" spans="1:4" x14ac:dyDescent="0.3">
      <c r="A558" s="139" t="s">
        <v>88</v>
      </c>
      <c r="B558" s="255">
        <v>0</v>
      </c>
      <c r="C558" s="255">
        <v>0</v>
      </c>
      <c r="D558" s="255">
        <v>0</v>
      </c>
    </row>
    <row r="559" spans="1:4" x14ac:dyDescent="0.3">
      <c r="A559" s="139" t="s">
        <v>89</v>
      </c>
      <c r="B559" s="255">
        <v>0</v>
      </c>
      <c r="C559" s="255">
        <v>0</v>
      </c>
      <c r="D559" s="255">
        <v>0</v>
      </c>
    </row>
    <row r="560" spans="1:4" x14ac:dyDescent="0.3">
      <c r="A560" s="139" t="s">
        <v>169</v>
      </c>
      <c r="B560" s="255">
        <v>0</v>
      </c>
      <c r="C560" s="255">
        <v>0</v>
      </c>
      <c r="D560" s="255">
        <v>0</v>
      </c>
    </row>
    <row r="561" spans="1:4" x14ac:dyDescent="0.3">
      <c r="A561" s="138" t="s">
        <v>90</v>
      </c>
      <c r="B561" s="255">
        <v>0</v>
      </c>
      <c r="C561" s="255">
        <v>0</v>
      </c>
      <c r="D561" s="255">
        <v>0</v>
      </c>
    </row>
    <row r="562" spans="1:4" x14ac:dyDescent="0.3">
      <c r="A562" s="139" t="s">
        <v>91</v>
      </c>
      <c r="B562" s="255">
        <v>0</v>
      </c>
      <c r="C562" s="255">
        <v>0</v>
      </c>
      <c r="D562" s="255">
        <v>0</v>
      </c>
    </row>
    <row r="563" spans="1:4" x14ac:dyDescent="0.3">
      <c r="A563" s="139" t="s">
        <v>92</v>
      </c>
      <c r="B563" s="255">
        <v>0</v>
      </c>
      <c r="C563" s="255">
        <v>0</v>
      </c>
      <c r="D563" s="255">
        <v>0</v>
      </c>
    </row>
    <row r="564" spans="1:4" x14ac:dyDescent="0.3">
      <c r="A564" s="139" t="s">
        <v>93</v>
      </c>
      <c r="B564" s="255">
        <v>0</v>
      </c>
      <c r="C564" s="255">
        <v>0</v>
      </c>
      <c r="D564" s="255">
        <v>0</v>
      </c>
    </row>
    <row r="565" spans="1:4" x14ac:dyDescent="0.3">
      <c r="A565" s="7" t="s">
        <v>66</v>
      </c>
      <c r="B565" s="255">
        <v>0</v>
      </c>
      <c r="C565" s="255">
        <v>0</v>
      </c>
      <c r="D565" s="255">
        <v>34.268159649949233</v>
      </c>
    </row>
    <row r="566" spans="1:4" x14ac:dyDescent="0.3">
      <c r="A566" s="138" t="s">
        <v>79</v>
      </c>
      <c r="B566" s="255">
        <v>0</v>
      </c>
      <c r="C566" s="255">
        <v>0</v>
      </c>
      <c r="D566" s="255">
        <v>6.4674655250339521</v>
      </c>
    </row>
    <row r="567" spans="1:4" x14ac:dyDescent="0.3">
      <c r="A567" s="139" t="s">
        <v>80</v>
      </c>
      <c r="B567" s="255">
        <v>0</v>
      </c>
      <c r="C567" s="255">
        <v>0</v>
      </c>
      <c r="D567" s="255">
        <v>0</v>
      </c>
    </row>
    <row r="568" spans="1:4" x14ac:dyDescent="0.3">
      <c r="A568" s="139" t="s">
        <v>81</v>
      </c>
      <c r="B568" s="255">
        <v>0</v>
      </c>
      <c r="C568" s="255">
        <v>0</v>
      </c>
      <c r="D568" s="255">
        <v>3.2472630251216494</v>
      </c>
    </row>
    <row r="569" spans="1:4" x14ac:dyDescent="0.3">
      <c r="A569" s="139" t="s">
        <v>82</v>
      </c>
      <c r="B569" s="255">
        <v>0</v>
      </c>
      <c r="C569" s="255">
        <v>0</v>
      </c>
      <c r="D569" s="255">
        <v>3.2202024999123027</v>
      </c>
    </row>
    <row r="570" spans="1:4" x14ac:dyDescent="0.3">
      <c r="A570" s="138" t="s">
        <v>83</v>
      </c>
      <c r="B570" s="255">
        <v>0</v>
      </c>
      <c r="C570" s="255">
        <v>0</v>
      </c>
      <c r="D570" s="255">
        <v>9.5004900118925999</v>
      </c>
    </row>
    <row r="571" spans="1:4" x14ac:dyDescent="0.3">
      <c r="A571" s="139" t="s">
        <v>84</v>
      </c>
      <c r="B571" s="255">
        <v>0</v>
      </c>
      <c r="C571" s="255">
        <v>0</v>
      </c>
      <c r="D571" s="255">
        <v>3.1933674790797002</v>
      </c>
    </row>
    <row r="572" spans="1:4" x14ac:dyDescent="0.3">
      <c r="A572" s="139" t="s">
        <v>85</v>
      </c>
      <c r="B572" s="255">
        <v>0</v>
      </c>
      <c r="C572" s="255">
        <v>0</v>
      </c>
      <c r="D572" s="255">
        <v>3.1667560834207027</v>
      </c>
    </row>
    <row r="573" spans="1:4" x14ac:dyDescent="0.3">
      <c r="A573" s="139" t="s">
        <v>86</v>
      </c>
      <c r="B573" s="255">
        <v>0</v>
      </c>
      <c r="C573" s="255">
        <v>0</v>
      </c>
      <c r="D573" s="255">
        <v>3.1403664493921966</v>
      </c>
    </row>
    <row r="574" spans="1:4" x14ac:dyDescent="0.3">
      <c r="A574" s="138" t="s">
        <v>87</v>
      </c>
      <c r="B574" s="255">
        <v>0</v>
      </c>
      <c r="C574" s="255">
        <v>0</v>
      </c>
      <c r="D574" s="255">
        <v>9.2649515323790048</v>
      </c>
    </row>
    <row r="575" spans="1:4" x14ac:dyDescent="0.3">
      <c r="A575" s="139" t="s">
        <v>88</v>
      </c>
      <c r="B575" s="255">
        <v>0</v>
      </c>
      <c r="C575" s="255">
        <v>0</v>
      </c>
      <c r="D575" s="255">
        <v>3.1141967289805952</v>
      </c>
    </row>
    <row r="576" spans="1:4" x14ac:dyDescent="0.3">
      <c r="A576" s="139" t="s">
        <v>89</v>
      </c>
      <c r="B576" s="255">
        <v>0</v>
      </c>
      <c r="C576" s="255">
        <v>0</v>
      </c>
      <c r="D576" s="255">
        <v>3.0882450895724234</v>
      </c>
    </row>
    <row r="577" spans="1:4" x14ac:dyDescent="0.3">
      <c r="A577" s="139" t="s">
        <v>169</v>
      </c>
      <c r="B577" s="255">
        <v>0</v>
      </c>
      <c r="C577" s="255">
        <v>0</v>
      </c>
      <c r="D577" s="255">
        <v>3.0625097138259867</v>
      </c>
    </row>
    <row r="578" spans="1:4" x14ac:dyDescent="0.3">
      <c r="A578" s="138" t="s">
        <v>90</v>
      </c>
      <c r="B578" s="255">
        <v>0</v>
      </c>
      <c r="C578" s="255">
        <v>0</v>
      </c>
      <c r="D578" s="255">
        <v>9.035252580643677</v>
      </c>
    </row>
    <row r="579" spans="1:4" x14ac:dyDescent="0.3">
      <c r="A579" s="139" t="s">
        <v>91</v>
      </c>
      <c r="B579" s="255">
        <v>0</v>
      </c>
      <c r="C579" s="255">
        <v>0</v>
      </c>
      <c r="D579" s="255">
        <v>3.0369887995441034</v>
      </c>
    </row>
    <row r="580" spans="1:4" x14ac:dyDescent="0.3">
      <c r="A580" s="139" t="s">
        <v>92</v>
      </c>
      <c r="B580" s="255">
        <v>0</v>
      </c>
      <c r="C580" s="255">
        <v>0</v>
      </c>
      <c r="D580" s="255">
        <v>3.0116805595479028</v>
      </c>
    </row>
    <row r="581" spans="1:4" x14ac:dyDescent="0.3">
      <c r="A581" s="139" t="s">
        <v>93</v>
      </c>
      <c r="B581" s="255">
        <v>0</v>
      </c>
      <c r="C581" s="255">
        <v>0</v>
      </c>
      <c r="D581" s="255">
        <v>2.9865832215516703</v>
      </c>
    </row>
    <row r="582" spans="1:4" x14ac:dyDescent="0.3">
      <c r="A582" s="7" t="s">
        <v>67</v>
      </c>
      <c r="B582" s="255">
        <v>161.7001573957663</v>
      </c>
      <c r="C582" s="255">
        <v>215.60020986102174</v>
      </c>
      <c r="D582" s="255">
        <v>38.064757115128344</v>
      </c>
    </row>
    <row r="583" spans="1:4" x14ac:dyDescent="0.3">
      <c r="A583" s="138" t="s">
        <v>79</v>
      </c>
      <c r="B583" s="255">
        <v>0</v>
      </c>
      <c r="C583" s="255">
        <v>0</v>
      </c>
      <c r="D583" s="255">
        <v>9.586732561144629</v>
      </c>
    </row>
    <row r="584" spans="1:4" x14ac:dyDescent="0.3">
      <c r="A584" s="139" t="s">
        <v>80</v>
      </c>
      <c r="B584" s="255">
        <v>0</v>
      </c>
      <c r="C584" s="255">
        <v>0</v>
      </c>
      <c r="D584" s="255">
        <v>2.96169502803874</v>
      </c>
    </row>
    <row r="585" spans="1:4" x14ac:dyDescent="0.3">
      <c r="A585" s="139" t="s">
        <v>81</v>
      </c>
      <c r="B585" s="255">
        <v>0</v>
      </c>
      <c r="C585" s="255">
        <v>0</v>
      </c>
      <c r="D585" s="255">
        <v>3.3263786777100699</v>
      </c>
    </row>
    <row r="586" spans="1:4" x14ac:dyDescent="0.3">
      <c r="A586" s="139" t="s">
        <v>82</v>
      </c>
      <c r="B586" s="255">
        <v>0</v>
      </c>
      <c r="C586" s="255">
        <v>0</v>
      </c>
      <c r="D586" s="255">
        <v>3.2986588553958196</v>
      </c>
    </row>
    <row r="587" spans="1:4" x14ac:dyDescent="0.3">
      <c r="A587" s="138" t="s">
        <v>83</v>
      </c>
      <c r="B587" s="255">
        <v>36.664287466371434</v>
      </c>
      <c r="C587" s="255">
        <v>48.885716621828578</v>
      </c>
      <c r="D587" s="255">
        <v>9.7319580085980686</v>
      </c>
    </row>
    <row r="588" spans="1:4" x14ac:dyDescent="0.3">
      <c r="A588" s="139" t="s">
        <v>84</v>
      </c>
      <c r="B588" s="255">
        <v>0</v>
      </c>
      <c r="C588" s="255">
        <v>0</v>
      </c>
      <c r="D588" s="255">
        <v>3.2711700316008541</v>
      </c>
    </row>
    <row r="589" spans="1:4" x14ac:dyDescent="0.3">
      <c r="A589" s="139" t="s">
        <v>85</v>
      </c>
      <c r="B589" s="255">
        <v>12.059347426366321</v>
      </c>
      <c r="C589" s="255">
        <v>16.079129901821762</v>
      </c>
      <c r="D589" s="255">
        <v>3.2439102813375138</v>
      </c>
    </row>
    <row r="590" spans="1:4" x14ac:dyDescent="0.3">
      <c r="A590" s="139" t="s">
        <v>86</v>
      </c>
      <c r="B590" s="255">
        <v>24.604940040005111</v>
      </c>
      <c r="C590" s="255">
        <v>32.80658672000682</v>
      </c>
      <c r="D590" s="255">
        <v>3.2168776956597007</v>
      </c>
    </row>
    <row r="591" spans="1:4" x14ac:dyDescent="0.3">
      <c r="A591" s="138" t="s">
        <v>87</v>
      </c>
      <c r="B591" s="255">
        <v>61.706340622378448</v>
      </c>
      <c r="C591" s="255">
        <v>82.275120829837959</v>
      </c>
      <c r="D591" s="255">
        <v>9.4906809177147657</v>
      </c>
    </row>
    <row r="592" spans="1:4" x14ac:dyDescent="0.3">
      <c r="A592" s="139" t="s">
        <v>88</v>
      </c>
      <c r="B592" s="255">
        <v>7.9194294699576853</v>
      </c>
      <c r="C592" s="255">
        <v>10.559239293276915</v>
      </c>
      <c r="D592" s="255">
        <v>3.1900703815292033</v>
      </c>
    </row>
    <row r="593" spans="1:4" x14ac:dyDescent="0.3">
      <c r="A593" s="139" t="s">
        <v>89</v>
      </c>
      <c r="B593" s="255">
        <v>29.281419998355339</v>
      </c>
      <c r="C593" s="255">
        <v>39.041893331140457</v>
      </c>
      <c r="D593" s="255">
        <v>3.1634864616831271</v>
      </c>
    </row>
    <row r="594" spans="1:4" x14ac:dyDescent="0.3">
      <c r="A594" s="139" t="s">
        <v>169</v>
      </c>
      <c r="B594" s="255">
        <v>24.505491154065428</v>
      </c>
      <c r="C594" s="255">
        <v>32.673988205420578</v>
      </c>
      <c r="D594" s="255">
        <v>3.1371240745024345</v>
      </c>
    </row>
    <row r="595" spans="1:4" x14ac:dyDescent="0.3">
      <c r="A595" s="138" t="s">
        <v>90</v>
      </c>
      <c r="B595" s="255">
        <v>63.329529307016401</v>
      </c>
      <c r="C595" s="255">
        <v>84.439372409355201</v>
      </c>
      <c r="D595" s="255">
        <v>9.2553856276708881</v>
      </c>
    </row>
    <row r="596" spans="1:4" x14ac:dyDescent="0.3">
      <c r="A596" s="139" t="s">
        <v>91</v>
      </c>
      <c r="B596" s="255">
        <v>5.3190282513216971</v>
      </c>
      <c r="C596" s="255">
        <v>7.0920376684289295</v>
      </c>
      <c r="D596" s="255">
        <v>3.1109813738815806</v>
      </c>
    </row>
    <row r="597" spans="1:4" x14ac:dyDescent="0.3">
      <c r="A597" s="139" t="s">
        <v>92</v>
      </c>
      <c r="B597" s="255">
        <v>31.544308185005956</v>
      </c>
      <c r="C597" s="255">
        <v>42.059077580007944</v>
      </c>
      <c r="D597" s="255">
        <v>3.085056529099234</v>
      </c>
    </row>
    <row r="598" spans="1:4" x14ac:dyDescent="0.3">
      <c r="A598" s="139" t="s">
        <v>93</v>
      </c>
      <c r="B598" s="255">
        <v>26.466192870688747</v>
      </c>
      <c r="C598" s="255">
        <v>35.288257160918327</v>
      </c>
      <c r="D598" s="255">
        <v>3.059347724690074</v>
      </c>
    </row>
    <row r="599" spans="1:4" x14ac:dyDescent="0.3">
      <c r="A599" s="7" t="s">
        <v>68</v>
      </c>
      <c r="B599" s="255">
        <v>251.73366744949772</v>
      </c>
      <c r="C599" s="255">
        <v>335.64488993266377</v>
      </c>
      <c r="D599" s="255">
        <v>36.344505620903639</v>
      </c>
    </row>
    <row r="600" spans="1:4" x14ac:dyDescent="0.3">
      <c r="A600" s="138" t="s">
        <v>79</v>
      </c>
      <c r="B600" s="255">
        <v>75.374296819038818</v>
      </c>
      <c r="C600" s="255">
        <v>100.49906242538511</v>
      </c>
      <c r="D600" s="255">
        <v>9.3206073544707824</v>
      </c>
    </row>
    <row r="601" spans="1:4" x14ac:dyDescent="0.3">
      <c r="A601" s="139" t="s">
        <v>80</v>
      </c>
      <c r="B601" s="255">
        <v>34.632687946944131</v>
      </c>
      <c r="C601" s="255">
        <v>46.176917262592184</v>
      </c>
      <c r="D601" s="255">
        <v>3.0338531603176566</v>
      </c>
    </row>
    <row r="602" spans="1:4" x14ac:dyDescent="0.3">
      <c r="A602" s="139" t="s">
        <v>81</v>
      </c>
      <c r="B602" s="255">
        <v>20.573397117017112</v>
      </c>
      <c r="C602" s="255">
        <v>27.431196156022818</v>
      </c>
      <c r="D602" s="255">
        <v>3.1565293025036616</v>
      </c>
    </row>
    <row r="603" spans="1:4" x14ac:dyDescent="0.3">
      <c r="A603" s="139" t="s">
        <v>82</v>
      </c>
      <c r="B603" s="255">
        <v>20.168211755077571</v>
      </c>
      <c r="C603" s="255">
        <v>26.8909490067701</v>
      </c>
      <c r="D603" s="255">
        <v>3.1302248916494642</v>
      </c>
    </row>
    <row r="604" spans="1:4" x14ac:dyDescent="0.3">
      <c r="A604" s="138" t="s">
        <v>83</v>
      </c>
      <c r="B604" s="255">
        <v>54.367297503456889</v>
      </c>
      <c r="C604" s="255">
        <v>72.4897300046092</v>
      </c>
      <c r="D604" s="255">
        <v>9.2350311258075291</v>
      </c>
    </row>
    <row r="605" spans="1:4" x14ac:dyDescent="0.3">
      <c r="A605" s="139" t="s">
        <v>84</v>
      </c>
      <c r="B605" s="255">
        <v>15.939024699407309</v>
      </c>
      <c r="C605" s="255">
        <v>21.252032932543081</v>
      </c>
      <c r="D605" s="255">
        <v>3.1041396842190521</v>
      </c>
    </row>
    <row r="606" spans="1:4" x14ac:dyDescent="0.3">
      <c r="A606" s="139" t="s">
        <v>85</v>
      </c>
      <c r="B606" s="255">
        <v>14.391736268068506</v>
      </c>
      <c r="C606" s="255">
        <v>19.188981690758013</v>
      </c>
      <c r="D606" s="255">
        <v>3.0782718535172267</v>
      </c>
    </row>
    <row r="607" spans="1:4" x14ac:dyDescent="0.3">
      <c r="A607" s="139" t="s">
        <v>86</v>
      </c>
      <c r="B607" s="255">
        <v>24.036536535981075</v>
      </c>
      <c r="C607" s="255">
        <v>32.048715381308106</v>
      </c>
      <c r="D607" s="255">
        <v>3.0526195880712499</v>
      </c>
    </row>
    <row r="608" spans="1:4" x14ac:dyDescent="0.3">
      <c r="A608" s="138" t="s">
        <v>87</v>
      </c>
      <c r="B608" s="255">
        <v>60.173430945779813</v>
      </c>
      <c r="C608" s="255">
        <v>80.23124126103977</v>
      </c>
      <c r="D608" s="255">
        <v>9.0060739681335011</v>
      </c>
    </row>
    <row r="609" spans="1:4" x14ac:dyDescent="0.3">
      <c r="A609" s="139" t="s">
        <v>88</v>
      </c>
      <c r="B609" s="255">
        <v>7.483053928932895</v>
      </c>
      <c r="C609" s="255">
        <v>9.9774052385771945</v>
      </c>
      <c r="D609" s="255">
        <v>3.0271810915039894</v>
      </c>
    </row>
    <row r="610" spans="1:4" x14ac:dyDescent="0.3">
      <c r="A610" s="139" t="s">
        <v>89</v>
      </c>
      <c r="B610" s="255">
        <v>28.7166050035657</v>
      </c>
      <c r="C610" s="255">
        <v>38.288806671420936</v>
      </c>
      <c r="D610" s="255">
        <v>3.0019545824081231</v>
      </c>
    </row>
    <row r="611" spans="1:4" x14ac:dyDescent="0.3">
      <c r="A611" s="139" t="s">
        <v>169</v>
      </c>
      <c r="B611" s="255">
        <v>23.973772013281224</v>
      </c>
      <c r="C611" s="255">
        <v>31.965029351041633</v>
      </c>
      <c r="D611" s="255">
        <v>2.9769382942213887</v>
      </c>
    </row>
    <row r="612" spans="1:4" x14ac:dyDescent="0.3">
      <c r="A612" s="138" t="s">
        <v>90</v>
      </c>
      <c r="B612" s="255">
        <v>61.818642181222231</v>
      </c>
      <c r="C612" s="255">
        <v>82.424856241629641</v>
      </c>
      <c r="D612" s="255">
        <v>8.7827931724918304</v>
      </c>
    </row>
    <row r="613" spans="1:4" x14ac:dyDescent="0.3">
      <c r="A613" s="139" t="s">
        <v>91</v>
      </c>
      <c r="B613" s="255">
        <v>4.908164654349048</v>
      </c>
      <c r="C613" s="255">
        <v>6.5442195391320643</v>
      </c>
      <c r="D613" s="255">
        <v>2.952130475102877</v>
      </c>
    </row>
    <row r="614" spans="1:4" x14ac:dyDescent="0.3">
      <c r="A614" s="139" t="s">
        <v>92</v>
      </c>
      <c r="B614" s="255">
        <v>30.977214816315652</v>
      </c>
      <c r="C614" s="255">
        <v>41.302953088420878</v>
      </c>
      <c r="D614" s="255">
        <v>2.927529387810353</v>
      </c>
    </row>
    <row r="615" spans="1:4" x14ac:dyDescent="0.3">
      <c r="A615" s="139" t="s">
        <v>93</v>
      </c>
      <c r="B615" s="255">
        <v>25.933262710557528</v>
      </c>
      <c r="C615" s="255">
        <v>34.577683614076705</v>
      </c>
      <c r="D615" s="255">
        <v>2.9031333095786001</v>
      </c>
    </row>
    <row r="616" spans="1:4" x14ac:dyDescent="0.3">
      <c r="A616" s="7" t="s">
        <v>69</v>
      </c>
      <c r="B616" s="255">
        <v>245.76864810361411</v>
      </c>
      <c r="C616" s="255">
        <v>327.6915308048188</v>
      </c>
      <c r="D616" s="255">
        <v>35.153885335580604</v>
      </c>
    </row>
    <row r="617" spans="1:4" x14ac:dyDescent="0.3">
      <c r="A617" s="138" t="s">
        <v>79</v>
      </c>
      <c r="B617" s="255">
        <v>73.596996217208741</v>
      </c>
      <c r="C617" s="255">
        <v>98.129328289611664</v>
      </c>
      <c r="D617" s="255">
        <v>8.9702245394213485</v>
      </c>
    </row>
    <row r="618" spans="1:4" x14ac:dyDescent="0.3">
      <c r="A618" s="139" t="s">
        <v>80</v>
      </c>
      <c r="B618" s="255">
        <v>34.052396954305685</v>
      </c>
      <c r="C618" s="255">
        <v>45.403195939074251</v>
      </c>
      <c r="D618" s="255">
        <v>2.8789405319987784</v>
      </c>
    </row>
    <row r="619" spans="1:4" x14ac:dyDescent="0.3">
      <c r="A619" s="139" t="s">
        <v>81</v>
      </c>
      <c r="B619" s="255">
        <v>19.860196254205903</v>
      </c>
      <c r="C619" s="255">
        <v>26.480261672274537</v>
      </c>
      <c r="D619" s="255">
        <v>3.0583852756933405</v>
      </c>
    </row>
    <row r="620" spans="1:4" x14ac:dyDescent="0.3">
      <c r="A620" s="139" t="s">
        <v>82</v>
      </c>
      <c r="B620" s="255">
        <v>19.684403008697153</v>
      </c>
      <c r="C620" s="255">
        <v>26.245870678262875</v>
      </c>
      <c r="D620" s="255">
        <v>3.0328987317292295</v>
      </c>
    </row>
    <row r="621" spans="1:4" x14ac:dyDescent="0.3">
      <c r="A621" s="138" t="s">
        <v>83</v>
      </c>
      <c r="B621" s="255">
        <v>52.971888923447523</v>
      </c>
      <c r="C621" s="255">
        <v>70.629185231263364</v>
      </c>
      <c r="D621" s="255">
        <v>8.9478919753214221</v>
      </c>
    </row>
    <row r="622" spans="1:4" x14ac:dyDescent="0.3">
      <c r="A622" s="139" t="s">
        <v>84</v>
      </c>
      <c r="B622" s="255">
        <v>15.484370788532305</v>
      </c>
      <c r="C622" s="255">
        <v>20.645827718043076</v>
      </c>
      <c r="D622" s="255">
        <v>3.0076245756314854</v>
      </c>
    </row>
    <row r="623" spans="1:4" x14ac:dyDescent="0.3">
      <c r="A623" s="139" t="s">
        <v>85</v>
      </c>
      <c r="B623" s="255">
        <v>13.949101633922236</v>
      </c>
      <c r="C623" s="255">
        <v>18.598802178562984</v>
      </c>
      <c r="D623" s="255">
        <v>2.982561037501223</v>
      </c>
    </row>
    <row r="624" spans="1:4" x14ac:dyDescent="0.3">
      <c r="A624" s="139" t="s">
        <v>86</v>
      </c>
      <c r="B624" s="255">
        <v>23.53841650099298</v>
      </c>
      <c r="C624" s="255">
        <v>31.384555334657307</v>
      </c>
      <c r="D624" s="255">
        <v>2.9577063621887127</v>
      </c>
    </row>
    <row r="625" spans="1:4" x14ac:dyDescent="0.3">
      <c r="A625" s="138" t="s">
        <v>87</v>
      </c>
      <c r="B625" s="255">
        <v>58.769216820589776</v>
      </c>
      <c r="C625" s="255">
        <v>78.358955760786387</v>
      </c>
      <c r="D625" s="255">
        <v>8.7260536419216841</v>
      </c>
    </row>
    <row r="626" spans="1:4" x14ac:dyDescent="0.3">
      <c r="A626" s="139" t="s">
        <v>88</v>
      </c>
      <c r="B626" s="255">
        <v>7.0870188251154103</v>
      </c>
      <c r="C626" s="255">
        <v>9.4493584334872143</v>
      </c>
      <c r="D626" s="255">
        <v>2.9330588091704737</v>
      </c>
    </row>
    <row r="627" spans="1:4" x14ac:dyDescent="0.3">
      <c r="A627" s="139" t="s">
        <v>89</v>
      </c>
      <c r="B627" s="255">
        <v>28.196941436648192</v>
      </c>
      <c r="C627" s="255">
        <v>37.59592191553093</v>
      </c>
      <c r="D627" s="255">
        <v>2.9086166524273862</v>
      </c>
    </row>
    <row r="628" spans="1:4" x14ac:dyDescent="0.3">
      <c r="A628" s="139" t="s">
        <v>169</v>
      </c>
      <c r="B628" s="255">
        <v>23.485256558826176</v>
      </c>
      <c r="C628" s="255">
        <v>31.313675411768237</v>
      </c>
      <c r="D628" s="255">
        <v>2.8843781803238246</v>
      </c>
    </row>
    <row r="629" spans="1:4" x14ac:dyDescent="0.3">
      <c r="A629" s="138" t="s">
        <v>90</v>
      </c>
      <c r="B629" s="255">
        <v>60.430546142368073</v>
      </c>
      <c r="C629" s="255">
        <v>80.57406152315744</v>
      </c>
      <c r="D629" s="255">
        <v>8.5097151789161476</v>
      </c>
    </row>
    <row r="630" spans="1:4" x14ac:dyDescent="0.3">
      <c r="A630" s="139" t="s">
        <v>91</v>
      </c>
      <c r="B630" s="255">
        <v>4.5349155973514366</v>
      </c>
      <c r="C630" s="255">
        <v>6.0465541298019163</v>
      </c>
      <c r="D630" s="255">
        <v>2.8603416954877927</v>
      </c>
    </row>
    <row r="631" spans="1:4" x14ac:dyDescent="0.3">
      <c r="A631" s="139" t="s">
        <v>92</v>
      </c>
      <c r="B631" s="255">
        <v>30.453685795424235</v>
      </c>
      <c r="C631" s="255">
        <v>40.60491439389898</v>
      </c>
      <c r="D631" s="255">
        <v>2.8365055146920612</v>
      </c>
    </row>
    <row r="632" spans="1:4" x14ac:dyDescent="0.3">
      <c r="A632" s="139" t="s">
        <v>93</v>
      </c>
      <c r="B632" s="255">
        <v>25.441944749592402</v>
      </c>
      <c r="C632" s="255">
        <v>33.92259299945654</v>
      </c>
      <c r="D632" s="255">
        <v>2.8128679687362941</v>
      </c>
    </row>
    <row r="633" spans="1:4" x14ac:dyDescent="0.3">
      <c r="A633" s="7" t="s">
        <v>70</v>
      </c>
      <c r="B633" s="255">
        <v>240.33474910352609</v>
      </c>
      <c r="C633" s="255">
        <v>320.44633213803485</v>
      </c>
      <c r="D633" s="255">
        <v>34.226589433586817</v>
      </c>
    </row>
    <row r="634" spans="1:4" x14ac:dyDescent="0.3">
      <c r="A634" s="138" t="s">
        <v>79</v>
      </c>
      <c r="B634" s="255">
        <v>72.037256148985122</v>
      </c>
      <c r="C634" s="255">
        <v>96.049674865313506</v>
      </c>
      <c r="D634" s="255">
        <v>8.7225957930161169</v>
      </c>
    </row>
    <row r="635" spans="1:4" x14ac:dyDescent="0.3">
      <c r="A635" s="139" t="s">
        <v>80</v>
      </c>
      <c r="B635" s="255">
        <v>33.515175042749931</v>
      </c>
      <c r="C635" s="255">
        <v>44.686900056999917</v>
      </c>
      <c r="D635" s="255">
        <v>2.7894274023301584</v>
      </c>
    </row>
    <row r="636" spans="1:4" x14ac:dyDescent="0.3">
      <c r="A636" s="139" t="s">
        <v>81</v>
      </c>
      <c r="B636" s="255">
        <v>19.283482271000821</v>
      </c>
      <c r="C636" s="255">
        <v>25.711309694667762</v>
      </c>
      <c r="D636" s="255">
        <v>2.9789966815159623</v>
      </c>
    </row>
    <row r="637" spans="1:4" x14ac:dyDescent="0.3">
      <c r="A637" s="139" t="s">
        <v>82</v>
      </c>
      <c r="B637" s="255">
        <v>19.23859883523437</v>
      </c>
      <c r="C637" s="255">
        <v>25.651465113645827</v>
      </c>
      <c r="D637" s="255">
        <v>2.9541717091699962</v>
      </c>
    </row>
    <row r="638" spans="1:4" x14ac:dyDescent="0.3">
      <c r="A638" s="138" t="s">
        <v>83</v>
      </c>
      <c r="B638" s="255">
        <v>51.685199488583876</v>
      </c>
      <c r="C638" s="255">
        <v>68.913599318111849</v>
      </c>
      <c r="D638" s="255">
        <v>8.7156254357139264</v>
      </c>
    </row>
    <row r="639" spans="1:4" x14ac:dyDescent="0.3">
      <c r="A639" s="139" t="s">
        <v>84</v>
      </c>
      <c r="B639" s="255">
        <v>15.066007923761026</v>
      </c>
      <c r="C639" s="255">
        <v>20.088010565014702</v>
      </c>
      <c r="D639" s="255">
        <v>2.9295536115935796</v>
      </c>
    </row>
    <row r="640" spans="1:4" x14ac:dyDescent="0.3">
      <c r="A640" s="139" t="s">
        <v>85</v>
      </c>
      <c r="B640" s="255">
        <v>13.541776313571699</v>
      </c>
      <c r="C640" s="255">
        <v>18.055701751428934</v>
      </c>
      <c r="D640" s="255">
        <v>2.9051406648302995</v>
      </c>
    </row>
    <row r="641" spans="1:4" x14ac:dyDescent="0.3">
      <c r="A641" s="139" t="s">
        <v>86</v>
      </c>
      <c r="B641" s="255">
        <v>23.077415251251157</v>
      </c>
      <c r="C641" s="255">
        <v>30.769887001668213</v>
      </c>
      <c r="D641" s="255">
        <v>2.8809311592900473</v>
      </c>
    </row>
    <row r="642" spans="1:4" x14ac:dyDescent="0.3">
      <c r="A642" s="138" t="s">
        <v>87</v>
      </c>
      <c r="B642" s="255">
        <v>57.469801743922829</v>
      </c>
      <c r="C642" s="255">
        <v>76.626402325230458</v>
      </c>
      <c r="D642" s="255">
        <v>8.4995455113554659</v>
      </c>
    </row>
    <row r="643" spans="1:4" x14ac:dyDescent="0.3">
      <c r="A643" s="139" t="s">
        <v>88</v>
      </c>
      <c r="B643" s="255">
        <v>6.7234304483311007</v>
      </c>
      <c r="C643" s="255">
        <v>8.9645739311081343</v>
      </c>
      <c r="D643" s="255">
        <v>2.8569233996292969</v>
      </c>
    </row>
    <row r="644" spans="1:4" x14ac:dyDescent="0.3">
      <c r="A644" s="139" t="s">
        <v>89</v>
      </c>
      <c r="B644" s="255">
        <v>27.714323005998402</v>
      </c>
      <c r="C644" s="255">
        <v>36.952430674664541</v>
      </c>
      <c r="D644" s="255">
        <v>2.833115704632386</v>
      </c>
    </row>
    <row r="645" spans="1:4" x14ac:dyDescent="0.3">
      <c r="A645" s="139" t="s">
        <v>169</v>
      </c>
      <c r="B645" s="255">
        <v>23.03204828959333</v>
      </c>
      <c r="C645" s="255">
        <v>30.709397719457776</v>
      </c>
      <c r="D645" s="255">
        <v>2.809506407093783</v>
      </c>
    </row>
    <row r="646" spans="1:4" x14ac:dyDescent="0.3">
      <c r="A646" s="138" t="s">
        <v>90</v>
      </c>
      <c r="B646" s="255">
        <v>59.142491722034265</v>
      </c>
      <c r="C646" s="255">
        <v>78.85665562937902</v>
      </c>
      <c r="D646" s="255">
        <v>8.2888226935013112</v>
      </c>
    </row>
    <row r="647" spans="1:4" x14ac:dyDescent="0.3">
      <c r="A647" s="139" t="s">
        <v>91</v>
      </c>
      <c r="B647" s="255">
        <v>4.1918196105692456</v>
      </c>
      <c r="C647" s="255">
        <v>5.5890928140923286</v>
      </c>
      <c r="D647" s="255">
        <v>2.7860938537013347</v>
      </c>
    </row>
    <row r="648" spans="1:4" x14ac:dyDescent="0.3">
      <c r="A648" s="139" t="s">
        <v>92</v>
      </c>
      <c r="B648" s="255">
        <v>29.965974642983198</v>
      </c>
      <c r="C648" s="255">
        <v>39.954632857310941</v>
      </c>
      <c r="D648" s="255">
        <v>2.7628764049204904</v>
      </c>
    </row>
    <row r="649" spans="1:4" x14ac:dyDescent="0.3">
      <c r="A649" s="139" t="s">
        <v>93</v>
      </c>
      <c r="B649" s="255">
        <v>24.984697468481816</v>
      </c>
      <c r="C649" s="255">
        <v>33.312929957975761</v>
      </c>
      <c r="D649" s="255">
        <v>2.7398524348794862</v>
      </c>
    </row>
    <row r="650" spans="1:4" x14ac:dyDescent="0.3">
      <c r="A650" s="7" t="s">
        <v>71</v>
      </c>
      <c r="B650" s="255">
        <v>235.27921179839336</v>
      </c>
      <c r="C650" s="255">
        <v>313.70561573119119</v>
      </c>
      <c r="D650" s="255">
        <v>33.401225032564284</v>
      </c>
    </row>
    <row r="651" spans="1:4" x14ac:dyDescent="0.3">
      <c r="A651" s="138" t="s">
        <v>79</v>
      </c>
      <c r="B651" s="255">
        <v>70.600835649016645</v>
      </c>
      <c r="C651" s="255">
        <v>94.134447532022222</v>
      </c>
      <c r="D651" s="255">
        <v>8.5080822994488514</v>
      </c>
    </row>
    <row r="652" spans="1:4" x14ac:dyDescent="0.3">
      <c r="A652" s="139" t="s">
        <v>80</v>
      </c>
      <c r="B652" s="255">
        <v>33.013471429599846</v>
      </c>
      <c r="C652" s="255">
        <v>44.017961906133138</v>
      </c>
      <c r="D652" s="255">
        <v>2.7170203312554904</v>
      </c>
    </row>
    <row r="653" spans="1:4" x14ac:dyDescent="0.3">
      <c r="A653" s="139" t="s">
        <v>81</v>
      </c>
      <c r="B653" s="255">
        <v>18.763638352673571</v>
      </c>
      <c r="C653" s="255">
        <v>25.018184470231429</v>
      </c>
      <c r="D653" s="255">
        <v>2.9076461764987585</v>
      </c>
    </row>
    <row r="654" spans="1:4" x14ac:dyDescent="0.3">
      <c r="A654" s="139" t="s">
        <v>82</v>
      </c>
      <c r="B654" s="255">
        <v>18.823725866743235</v>
      </c>
      <c r="C654" s="255">
        <v>25.098301155657648</v>
      </c>
      <c r="D654" s="255">
        <v>2.8834157916946026</v>
      </c>
    </row>
    <row r="655" spans="1:4" x14ac:dyDescent="0.3">
      <c r="A655" s="138" t="s">
        <v>83</v>
      </c>
      <c r="B655" s="255">
        <v>50.486802702713788</v>
      </c>
      <c r="C655" s="255">
        <v>67.315736936951737</v>
      </c>
      <c r="D655" s="255">
        <v>8.5068758656867054</v>
      </c>
    </row>
    <row r="656" spans="1:4" x14ac:dyDescent="0.3">
      <c r="A656" s="139" t="s">
        <v>84</v>
      </c>
      <c r="B656" s="255">
        <v>14.677047700081857</v>
      </c>
      <c r="C656" s="255">
        <v>19.569396933442476</v>
      </c>
      <c r="D656" s="255">
        <v>2.8593873267638141</v>
      </c>
    </row>
    <row r="657" spans="1:4" x14ac:dyDescent="0.3">
      <c r="A657" s="139" t="s">
        <v>85</v>
      </c>
      <c r="B657" s="255">
        <v>13.16300931357514</v>
      </c>
      <c r="C657" s="255">
        <v>17.550679084766852</v>
      </c>
      <c r="D657" s="255">
        <v>2.8355590990407826</v>
      </c>
    </row>
    <row r="658" spans="1:4" x14ac:dyDescent="0.3">
      <c r="A658" s="139" t="s">
        <v>86</v>
      </c>
      <c r="B658" s="255">
        <v>22.646745689056797</v>
      </c>
      <c r="C658" s="255">
        <v>30.195660918742398</v>
      </c>
      <c r="D658" s="255">
        <v>2.8119294398821091</v>
      </c>
    </row>
    <row r="659" spans="1:4" x14ac:dyDescent="0.3">
      <c r="A659" s="138" t="s">
        <v>87</v>
      </c>
      <c r="B659" s="255">
        <v>56.255673172316534</v>
      </c>
      <c r="C659" s="255">
        <v>75.007564229755374</v>
      </c>
      <c r="D659" s="255">
        <v>8.2959713118893195</v>
      </c>
    </row>
    <row r="660" spans="1:4" x14ac:dyDescent="0.3">
      <c r="A660" s="139" t="s">
        <v>88</v>
      </c>
      <c r="B660" s="255">
        <v>6.3858638938110746</v>
      </c>
      <c r="C660" s="255">
        <v>8.5144851917480988</v>
      </c>
      <c r="D660" s="255">
        <v>2.7884966945497585</v>
      </c>
    </row>
    <row r="661" spans="1:4" x14ac:dyDescent="0.3">
      <c r="A661" s="139" t="s">
        <v>89</v>
      </c>
      <c r="B661" s="255">
        <v>27.262116364532176</v>
      </c>
      <c r="C661" s="255">
        <v>36.349488486042901</v>
      </c>
      <c r="D661" s="255">
        <v>2.7652592220951768</v>
      </c>
    </row>
    <row r="662" spans="1:4" x14ac:dyDescent="0.3">
      <c r="A662" s="139" t="s">
        <v>169</v>
      </c>
      <c r="B662" s="255">
        <v>22.607692913973278</v>
      </c>
      <c r="C662" s="255">
        <v>30.143590551964373</v>
      </c>
      <c r="D662" s="255">
        <v>2.7422153952443842</v>
      </c>
    </row>
    <row r="663" spans="1:4" x14ac:dyDescent="0.3">
      <c r="A663" s="138" t="s">
        <v>90</v>
      </c>
      <c r="B663" s="255">
        <v>57.935900274346423</v>
      </c>
      <c r="C663" s="255">
        <v>77.247867032461926</v>
      </c>
      <c r="D663" s="255">
        <v>8.0902955555394058</v>
      </c>
    </row>
    <row r="664" spans="1:4" x14ac:dyDescent="0.3">
      <c r="A664" s="139" t="s">
        <v>91</v>
      </c>
      <c r="B664" s="255">
        <v>3.8728083397287718</v>
      </c>
      <c r="C664" s="255">
        <v>5.163744452971696</v>
      </c>
      <c r="D664" s="255">
        <v>2.719363600284014</v>
      </c>
    </row>
    <row r="665" spans="1:4" x14ac:dyDescent="0.3">
      <c r="A665" s="139" t="s">
        <v>92</v>
      </c>
      <c r="B665" s="255">
        <v>29.507738540243551</v>
      </c>
      <c r="C665" s="255">
        <v>39.343651386991411</v>
      </c>
      <c r="D665" s="255">
        <v>2.696702236948314</v>
      </c>
    </row>
    <row r="666" spans="1:4" x14ac:dyDescent="0.3">
      <c r="A666" s="139" t="s">
        <v>93</v>
      </c>
      <c r="B666" s="255">
        <v>24.555353394374105</v>
      </c>
      <c r="C666" s="255">
        <v>32.740471192498809</v>
      </c>
      <c r="D666" s="255">
        <v>2.6742297183070782</v>
      </c>
    </row>
    <row r="667" spans="1:4" x14ac:dyDescent="0.3">
      <c r="A667" s="7" t="s">
        <v>72</v>
      </c>
      <c r="B667" s="255">
        <v>230.52178457211375</v>
      </c>
      <c r="C667" s="255">
        <v>307.36237942948497</v>
      </c>
      <c r="D667" s="255">
        <v>32.638266823853485</v>
      </c>
    </row>
    <row r="668" spans="1:4" x14ac:dyDescent="0.3">
      <c r="A668" s="138" t="s">
        <v>79</v>
      </c>
      <c r="B668" s="255">
        <v>69.255251493971798</v>
      </c>
      <c r="C668" s="255">
        <v>92.340335325295754</v>
      </c>
      <c r="D668" s="255">
        <v>8.3112943751410473</v>
      </c>
    </row>
    <row r="669" spans="1:4" x14ac:dyDescent="0.3">
      <c r="A669" s="139" t="s">
        <v>80</v>
      </c>
      <c r="B669" s="255">
        <v>32.541097700527821</v>
      </c>
      <c r="C669" s="255">
        <v>43.388130267370435</v>
      </c>
      <c r="D669" s="255">
        <v>2.6519444706545192</v>
      </c>
    </row>
    <row r="670" spans="1:4" x14ac:dyDescent="0.3">
      <c r="A670" s="139" t="s">
        <v>81</v>
      </c>
      <c r="B670" s="255">
        <v>18.280144620545478</v>
      </c>
      <c r="C670" s="255">
        <v>24.373526160727309</v>
      </c>
      <c r="D670" s="255">
        <v>2.8415145963949091</v>
      </c>
    </row>
    <row r="671" spans="1:4" x14ac:dyDescent="0.3">
      <c r="A671" s="139" t="s">
        <v>82</v>
      </c>
      <c r="B671" s="255">
        <v>18.434009172898502</v>
      </c>
      <c r="C671" s="255">
        <v>24.578678897198007</v>
      </c>
      <c r="D671" s="255">
        <v>2.8178353080916185</v>
      </c>
    </row>
    <row r="672" spans="1:4" x14ac:dyDescent="0.3">
      <c r="A672" s="138" t="s">
        <v>83</v>
      </c>
      <c r="B672" s="255">
        <v>49.360031329216824</v>
      </c>
      <c r="C672" s="255">
        <v>65.813375105622441</v>
      </c>
      <c r="D672" s="255">
        <v>8.3133952602085692</v>
      </c>
    </row>
    <row r="673" spans="1:4" x14ac:dyDescent="0.3">
      <c r="A673" s="139" t="s">
        <v>84</v>
      </c>
      <c r="B673" s="255">
        <v>14.311872987649712</v>
      </c>
      <c r="C673" s="255">
        <v>19.082497316866284</v>
      </c>
      <c r="D673" s="255">
        <v>2.7943533471908548</v>
      </c>
    </row>
    <row r="674" spans="1:4" x14ac:dyDescent="0.3">
      <c r="A674" s="139" t="s">
        <v>85</v>
      </c>
      <c r="B674" s="255">
        <v>12.807297932004076</v>
      </c>
      <c r="C674" s="255">
        <v>17.076397242672101</v>
      </c>
      <c r="D674" s="255">
        <v>2.7710670692975974</v>
      </c>
    </row>
    <row r="675" spans="1:4" x14ac:dyDescent="0.3">
      <c r="A675" s="139" t="s">
        <v>86</v>
      </c>
      <c r="B675" s="255">
        <v>22.240860409563037</v>
      </c>
      <c r="C675" s="255">
        <v>29.654480546084052</v>
      </c>
      <c r="D675" s="255">
        <v>2.7479748437201175</v>
      </c>
    </row>
    <row r="676" spans="1:4" x14ac:dyDescent="0.3">
      <c r="A676" s="138" t="s">
        <v>87</v>
      </c>
      <c r="B676" s="255">
        <v>55.110900560286694</v>
      </c>
      <c r="C676" s="255">
        <v>73.481200747048945</v>
      </c>
      <c r="D676" s="255">
        <v>8.1072875250566057</v>
      </c>
    </row>
    <row r="677" spans="1:4" x14ac:dyDescent="0.3">
      <c r="A677" s="139" t="s">
        <v>88</v>
      </c>
      <c r="B677" s="255">
        <v>6.0690930028096313</v>
      </c>
      <c r="C677" s="255">
        <v>8.0921240037461768</v>
      </c>
      <c r="D677" s="255">
        <v>2.7250750533557833</v>
      </c>
    </row>
    <row r="678" spans="1:4" x14ac:dyDescent="0.3">
      <c r="A678" s="139" t="s">
        <v>89</v>
      </c>
      <c r="B678" s="255">
        <v>26.834892603755087</v>
      </c>
      <c r="C678" s="255">
        <v>35.779856805006787</v>
      </c>
      <c r="D678" s="255">
        <v>2.7023660945778185</v>
      </c>
    </row>
    <row r="679" spans="1:4" x14ac:dyDescent="0.3">
      <c r="A679" s="139" t="s">
        <v>169</v>
      </c>
      <c r="B679" s="255">
        <v>22.206914953721981</v>
      </c>
      <c r="C679" s="255">
        <v>29.609219938295976</v>
      </c>
      <c r="D679" s="255">
        <v>2.6798463771230034</v>
      </c>
    </row>
    <row r="680" spans="1:4" x14ac:dyDescent="0.3">
      <c r="A680" s="138" t="s">
        <v>90</v>
      </c>
      <c r="B680" s="255">
        <v>56.795601188638422</v>
      </c>
      <c r="C680" s="255">
        <v>75.727468251517905</v>
      </c>
      <c r="D680" s="255">
        <v>7.9062896634472608</v>
      </c>
    </row>
    <row r="681" spans="1:4" x14ac:dyDescent="0.3">
      <c r="A681" s="139" t="s">
        <v>91</v>
      </c>
      <c r="B681" s="255">
        <v>3.5729501029019954</v>
      </c>
      <c r="C681" s="255">
        <v>4.7639334705359948</v>
      </c>
      <c r="D681" s="255">
        <v>2.6575143239803118</v>
      </c>
    </row>
    <row r="682" spans="1:4" x14ac:dyDescent="0.3">
      <c r="A682" s="139" t="s">
        <v>92</v>
      </c>
      <c r="B682" s="255">
        <v>29.073782710902741</v>
      </c>
      <c r="C682" s="255">
        <v>38.765043614536992</v>
      </c>
      <c r="D682" s="255">
        <v>2.6353683712804763</v>
      </c>
    </row>
    <row r="683" spans="1:4" x14ac:dyDescent="0.3">
      <c r="A683" s="139" t="s">
        <v>93</v>
      </c>
      <c r="B683" s="255">
        <v>24.148868374833683</v>
      </c>
      <c r="C683" s="255">
        <v>32.19849116644491</v>
      </c>
      <c r="D683" s="255">
        <v>2.6134069681864722</v>
      </c>
    </row>
    <row r="684" spans="1:4" x14ac:dyDescent="0.3">
      <c r="A684" s="7" t="s">
        <v>73</v>
      </c>
      <c r="B684" s="255">
        <v>226.00505639489663</v>
      </c>
      <c r="C684" s="255">
        <v>301.3400751931955</v>
      </c>
      <c r="D684" s="255">
        <v>31.922273503494026</v>
      </c>
    </row>
    <row r="685" spans="1:4" x14ac:dyDescent="0.3">
      <c r="A685" s="138" t="s">
        <v>79</v>
      </c>
      <c r="B685" s="255">
        <v>67.982078990150427</v>
      </c>
      <c r="C685" s="255">
        <v>90.642771986867231</v>
      </c>
      <c r="D685" s="255">
        <v>8.1272317964572114</v>
      </c>
    </row>
    <row r="686" spans="1:4" x14ac:dyDescent="0.3">
      <c r="A686" s="139" t="s">
        <v>80</v>
      </c>
      <c r="B686" s="255">
        <v>32.092980106463393</v>
      </c>
      <c r="C686" s="255">
        <v>42.790640141951194</v>
      </c>
      <c r="D686" s="255">
        <v>2.5916285767849181</v>
      </c>
    </row>
    <row r="687" spans="1:4" x14ac:dyDescent="0.3">
      <c r="A687" s="139" t="s">
        <v>81</v>
      </c>
      <c r="B687" s="255">
        <v>17.824364196051466</v>
      </c>
      <c r="C687" s="255">
        <v>23.765818928068622</v>
      </c>
      <c r="D687" s="255">
        <v>2.7793823697099382</v>
      </c>
    </row>
    <row r="688" spans="1:4" x14ac:dyDescent="0.3">
      <c r="A688" s="139" t="s">
        <v>82</v>
      </c>
      <c r="B688" s="255">
        <v>18.064734687635564</v>
      </c>
      <c r="C688" s="255">
        <v>24.086312916847419</v>
      </c>
      <c r="D688" s="255">
        <v>2.7562208499623555</v>
      </c>
    </row>
    <row r="689" spans="1:4" x14ac:dyDescent="0.3">
      <c r="A689" s="138" t="s">
        <v>83</v>
      </c>
      <c r="B689" s="255">
        <v>48.291288935490002</v>
      </c>
      <c r="C689" s="255">
        <v>64.388385247320002</v>
      </c>
      <c r="D689" s="255">
        <v>8.1316155292565018</v>
      </c>
    </row>
    <row r="690" spans="1:4" x14ac:dyDescent="0.3">
      <c r="A690" s="139" t="s">
        <v>84</v>
      </c>
      <c r="B690" s="255">
        <v>13.96590488117822</v>
      </c>
      <c r="C690" s="255">
        <v>18.621206508237631</v>
      </c>
      <c r="D690" s="255">
        <v>2.7332523428793358</v>
      </c>
    </row>
    <row r="691" spans="1:4" x14ac:dyDescent="0.3">
      <c r="A691" s="139" t="s">
        <v>85</v>
      </c>
      <c r="B691" s="255">
        <v>12.470158768613418</v>
      </c>
      <c r="C691" s="255">
        <v>16.626878358151227</v>
      </c>
      <c r="D691" s="255">
        <v>2.7104752400220082</v>
      </c>
    </row>
    <row r="692" spans="1:4" x14ac:dyDescent="0.3">
      <c r="A692" s="139" t="s">
        <v>86</v>
      </c>
      <c r="B692" s="255">
        <v>21.85522528569836</v>
      </c>
      <c r="C692" s="255">
        <v>29.140300380931151</v>
      </c>
      <c r="D692" s="255">
        <v>2.6878879463551582</v>
      </c>
    </row>
    <row r="693" spans="1:4" x14ac:dyDescent="0.3">
      <c r="A693" s="138" t="s">
        <v>87</v>
      </c>
      <c r="B693" s="255">
        <v>54.022479970189949</v>
      </c>
      <c r="C693" s="255">
        <v>72.029973293586593</v>
      </c>
      <c r="D693" s="255">
        <v>7.930014521797661</v>
      </c>
    </row>
    <row r="694" spans="1:4" x14ac:dyDescent="0.3">
      <c r="A694" s="139" t="s">
        <v>88</v>
      </c>
      <c r="B694" s="255">
        <v>5.7688697678328023</v>
      </c>
      <c r="C694" s="255">
        <v>7.6918263571104042</v>
      </c>
      <c r="D694" s="255">
        <v>2.6654888801355319</v>
      </c>
    </row>
    <row r="695" spans="1:4" x14ac:dyDescent="0.3">
      <c r="A695" s="139" t="s">
        <v>89</v>
      </c>
      <c r="B695" s="255">
        <v>26.428207748153682</v>
      </c>
      <c r="C695" s="255">
        <v>35.237610330871576</v>
      </c>
      <c r="D695" s="255">
        <v>2.6432764728010691</v>
      </c>
    </row>
    <row r="696" spans="1:4" x14ac:dyDescent="0.3">
      <c r="A696" s="139" t="s">
        <v>169</v>
      </c>
      <c r="B696" s="255">
        <v>21.825402454203459</v>
      </c>
      <c r="C696" s="255">
        <v>29.100536605604614</v>
      </c>
      <c r="D696" s="255">
        <v>2.6212491688610604</v>
      </c>
    </row>
    <row r="697" spans="1:4" x14ac:dyDescent="0.3">
      <c r="A697" s="138" t="s">
        <v>90</v>
      </c>
      <c r="B697" s="255">
        <v>55.709208499066236</v>
      </c>
      <c r="C697" s="255">
        <v>74.278944665421676</v>
      </c>
      <c r="D697" s="255">
        <v>7.7334116559826533</v>
      </c>
    </row>
    <row r="698" spans="1:4" x14ac:dyDescent="0.3">
      <c r="A698" s="139" t="s">
        <v>91</v>
      </c>
      <c r="B698" s="255">
        <v>3.2882404409293939</v>
      </c>
      <c r="C698" s="255">
        <v>4.3843205879058589</v>
      </c>
      <c r="D698" s="255">
        <v>2.5994054257872179</v>
      </c>
    </row>
    <row r="699" spans="1:4" x14ac:dyDescent="0.3">
      <c r="A699" s="139" t="s">
        <v>92</v>
      </c>
      <c r="B699" s="255">
        <v>28.65985143128032</v>
      </c>
      <c r="C699" s="255">
        <v>38.2131352417071</v>
      </c>
      <c r="D699" s="255">
        <v>2.577743713905658</v>
      </c>
    </row>
    <row r="700" spans="1:4" x14ac:dyDescent="0.3">
      <c r="A700" s="139" t="s">
        <v>93</v>
      </c>
      <c r="B700" s="255">
        <v>23.761116626856527</v>
      </c>
      <c r="C700" s="255">
        <v>31.681488835808707</v>
      </c>
      <c r="D700" s="255">
        <v>2.5562625162897774</v>
      </c>
    </row>
    <row r="701" spans="1:4" x14ac:dyDescent="0.3">
      <c r="A701" s="7" t="s">
        <v>74</v>
      </c>
      <c r="B701" s="255">
        <v>221.68363816133387</v>
      </c>
      <c r="C701" s="255">
        <v>295.57818421511183</v>
      </c>
      <c r="D701" s="255">
        <v>31.243711525059968</v>
      </c>
    </row>
    <row r="702" spans="1:4" x14ac:dyDescent="0.3">
      <c r="A702" s="138" t="s">
        <v>79</v>
      </c>
      <c r="B702" s="255">
        <v>66.76774093942808</v>
      </c>
      <c r="C702" s="255">
        <v>89.023654585904126</v>
      </c>
      <c r="D702" s="255">
        <v>7.9531928957422267</v>
      </c>
    </row>
    <row r="703" spans="1:4" x14ac:dyDescent="0.3">
      <c r="A703" s="139" t="s">
        <v>80</v>
      </c>
      <c r="B703" s="255">
        <v>31.664957013825322</v>
      </c>
      <c r="C703" s="255">
        <v>42.219942685100435</v>
      </c>
      <c r="D703" s="255">
        <v>2.5349603286540292</v>
      </c>
    </row>
    <row r="704" spans="1:4" x14ac:dyDescent="0.3">
      <c r="A704" s="139" t="s">
        <v>81</v>
      </c>
      <c r="B704" s="255">
        <v>17.390728865798565</v>
      </c>
      <c r="C704" s="255">
        <v>23.187638487731419</v>
      </c>
      <c r="D704" s="255">
        <v>2.7204514981195964</v>
      </c>
    </row>
    <row r="705" spans="1:4" x14ac:dyDescent="0.3">
      <c r="A705" s="139" t="s">
        <v>82</v>
      </c>
      <c r="B705" s="255">
        <v>17.712055059804197</v>
      </c>
      <c r="C705" s="255">
        <v>23.616073413072264</v>
      </c>
      <c r="D705" s="255">
        <v>2.6977810689686001</v>
      </c>
    </row>
    <row r="706" spans="1:4" x14ac:dyDescent="0.3">
      <c r="A706" s="138" t="s">
        <v>83</v>
      </c>
      <c r="B706" s="255">
        <v>47.269487323111704</v>
      </c>
      <c r="C706" s="255">
        <v>63.025983097482282</v>
      </c>
      <c r="D706" s="255">
        <v>7.9592019758717436</v>
      </c>
    </row>
    <row r="707" spans="1:4" x14ac:dyDescent="0.3">
      <c r="A707" s="139" t="s">
        <v>84</v>
      </c>
      <c r="B707" s="255">
        <v>13.635412281473009</v>
      </c>
      <c r="C707" s="255">
        <v>18.180549708630679</v>
      </c>
      <c r="D707" s="255">
        <v>2.6752995600605285</v>
      </c>
    </row>
    <row r="708" spans="1:4" x14ac:dyDescent="0.3">
      <c r="A708" s="139" t="s">
        <v>85</v>
      </c>
      <c r="B708" s="255">
        <v>12.147940636007478</v>
      </c>
      <c r="C708" s="255">
        <v>16.197254181343308</v>
      </c>
      <c r="D708" s="255">
        <v>2.6530053970600243</v>
      </c>
    </row>
    <row r="709" spans="1:4" x14ac:dyDescent="0.3">
      <c r="A709" s="139" t="s">
        <v>86</v>
      </c>
      <c r="B709" s="255">
        <v>21.486134405631219</v>
      </c>
      <c r="C709" s="255">
        <v>28.648179207508292</v>
      </c>
      <c r="D709" s="255">
        <v>2.6308970187511909</v>
      </c>
    </row>
    <row r="710" spans="1:4" x14ac:dyDescent="0.3">
      <c r="A710" s="138" t="s">
        <v>87</v>
      </c>
      <c r="B710" s="255">
        <v>52.979798474511966</v>
      </c>
      <c r="C710" s="255">
        <v>70.639731299349307</v>
      </c>
      <c r="D710" s="255">
        <v>7.7618754875335956</v>
      </c>
    </row>
    <row r="711" spans="1:4" x14ac:dyDescent="0.3">
      <c r="A711" s="139" t="s">
        <v>88</v>
      </c>
      <c r="B711" s="255">
        <v>5.4817441561257967</v>
      </c>
      <c r="C711" s="255">
        <v>7.3089922081677292</v>
      </c>
      <c r="D711" s="255">
        <v>2.6089728769282643</v>
      </c>
    </row>
    <row r="712" spans="1:4" x14ac:dyDescent="0.3">
      <c r="A712" s="139" t="s">
        <v>89</v>
      </c>
      <c r="B712" s="255">
        <v>26.038423303664466</v>
      </c>
      <c r="C712" s="255">
        <v>34.717897738219293</v>
      </c>
      <c r="D712" s="255">
        <v>2.5872314362871958</v>
      </c>
    </row>
    <row r="713" spans="1:4" x14ac:dyDescent="0.3">
      <c r="A713" s="139" t="s">
        <v>169</v>
      </c>
      <c r="B713" s="255">
        <v>21.459631014721708</v>
      </c>
      <c r="C713" s="255">
        <v>28.612841352962278</v>
      </c>
      <c r="D713" s="255">
        <v>2.5656711743181355</v>
      </c>
    </row>
    <row r="714" spans="1:4" x14ac:dyDescent="0.3">
      <c r="A714" s="138" t="s">
        <v>90</v>
      </c>
      <c r="B714" s="255">
        <v>54.66661142428211</v>
      </c>
      <c r="C714" s="255">
        <v>72.888815232376146</v>
      </c>
      <c r="D714" s="255">
        <v>7.5694411659123988</v>
      </c>
    </row>
    <row r="715" spans="1:4" x14ac:dyDescent="0.3">
      <c r="A715" s="139" t="s">
        <v>91</v>
      </c>
      <c r="B715" s="255">
        <v>3.0154310650059868</v>
      </c>
      <c r="C715" s="255">
        <v>4.0205747533413163</v>
      </c>
      <c r="D715" s="255">
        <v>2.5442905811988177</v>
      </c>
    </row>
    <row r="716" spans="1:4" x14ac:dyDescent="0.3">
      <c r="A716" s="139" t="s">
        <v>92</v>
      </c>
      <c r="B716" s="255">
        <v>28.262457157386141</v>
      </c>
      <c r="C716" s="255">
        <v>37.683276209848195</v>
      </c>
      <c r="D716" s="255">
        <v>2.5230881596888275</v>
      </c>
    </row>
    <row r="717" spans="1:4" x14ac:dyDescent="0.3">
      <c r="A717" s="139" t="s">
        <v>93</v>
      </c>
      <c r="B717" s="255">
        <v>23.388723201889977</v>
      </c>
      <c r="C717" s="255">
        <v>31.18496426918664</v>
      </c>
      <c r="D717" s="255">
        <v>2.5020624250247536</v>
      </c>
    </row>
    <row r="718" spans="1:4" x14ac:dyDescent="0.3">
      <c r="A718" s="7" t="s">
        <v>75</v>
      </c>
      <c r="B718" s="255">
        <v>13862.384648754054</v>
      </c>
      <c r="C718" s="255">
        <v>18483.179531672064</v>
      </c>
      <c r="D718" s="255">
        <v>1646.4632935646148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F69D0-2A2E-4B46-BE1C-011FA78E93EB}">
  <sheetPr codeName="Sheet16"/>
  <dimension ref="A3:K718"/>
  <sheetViews>
    <sheetView zoomScale="70" zoomScaleNormal="70" workbookViewId="0">
      <selection activeCell="H11" sqref="H11"/>
    </sheetView>
  </sheetViews>
  <sheetFormatPr defaultColWidth="8.6640625" defaultRowHeight="14.4" x14ac:dyDescent="0.3"/>
  <cols>
    <col min="1" max="1" width="13.88671875" bestFit="1" customWidth="1"/>
    <col min="2" max="2" width="34.6640625" bestFit="1" customWidth="1"/>
    <col min="3" max="3" width="21.6640625" bestFit="1" customWidth="1"/>
    <col min="4" max="4" width="13.88671875" bestFit="1" customWidth="1"/>
    <col min="5" max="5" width="26.44140625" bestFit="1" customWidth="1"/>
    <col min="6" max="6" width="33.5546875" bestFit="1" customWidth="1"/>
    <col min="7" max="7" width="32" bestFit="1" customWidth="1"/>
    <col min="8" max="8" width="33.44140625" bestFit="1" customWidth="1"/>
    <col min="10" max="10" width="9.6640625" bestFit="1" customWidth="1"/>
    <col min="11" max="11" width="14.6640625" bestFit="1" customWidth="1"/>
  </cols>
  <sheetData>
    <row r="3" spans="1:11" x14ac:dyDescent="0.3">
      <c r="A3" s="100" t="s">
        <v>94</v>
      </c>
      <c r="B3" s="191" t="s">
        <v>95</v>
      </c>
      <c r="C3" s="256" t="s">
        <v>96</v>
      </c>
      <c r="D3" s="190" t="s">
        <v>97</v>
      </c>
      <c r="E3" s="190" t="s">
        <v>98</v>
      </c>
      <c r="F3" s="190" t="s">
        <v>99</v>
      </c>
      <c r="G3" s="190" t="s">
        <v>100</v>
      </c>
      <c r="J3" s="110"/>
    </row>
    <row r="4" spans="1:11" x14ac:dyDescent="0.3">
      <c r="A4" s="7" t="s">
        <v>33</v>
      </c>
      <c r="B4" s="255">
        <v>1106.81</v>
      </c>
      <c r="C4" s="255">
        <v>800.16167668544972</v>
      </c>
      <c r="D4" s="255">
        <v>11.561288641355166</v>
      </c>
      <c r="E4" s="255">
        <v>-11.611611955905282</v>
      </c>
      <c r="F4" s="255">
        <v>789.63616666666655</v>
      </c>
      <c r="G4" s="255">
        <v>10.575833333333332</v>
      </c>
    </row>
    <row r="5" spans="1:11" x14ac:dyDescent="0.3">
      <c r="A5" s="138" t="s">
        <v>79</v>
      </c>
      <c r="B5" s="255">
        <v>85.88</v>
      </c>
      <c r="C5" s="255">
        <v>147.34543159822579</v>
      </c>
      <c r="D5" s="255">
        <v>11.561288641355166</v>
      </c>
      <c r="E5" s="255">
        <v>-9.7266070431293539</v>
      </c>
      <c r="F5" s="255">
        <v>142.99250000000001</v>
      </c>
      <c r="G5" s="255">
        <v>2.5182500000000001</v>
      </c>
    </row>
    <row r="6" spans="1:11" x14ac:dyDescent="0.3">
      <c r="A6" s="139" t="s">
        <v>80</v>
      </c>
      <c r="B6" s="255"/>
      <c r="C6" s="255"/>
      <c r="D6" s="255"/>
      <c r="E6" s="255"/>
      <c r="F6" s="255"/>
      <c r="G6" s="255"/>
    </row>
    <row r="7" spans="1:11" x14ac:dyDescent="0.3">
      <c r="A7" s="139" t="s">
        <v>81</v>
      </c>
      <c r="B7" s="255">
        <v>0</v>
      </c>
      <c r="C7" s="255">
        <v>78.202834712015999</v>
      </c>
      <c r="D7" s="255">
        <v>11.561288641355166</v>
      </c>
      <c r="E7" s="255">
        <v>-7.2102039293391549</v>
      </c>
      <c r="F7" s="255">
        <v>72.369500000000002</v>
      </c>
      <c r="G7" s="255">
        <v>1.4822500000000001</v>
      </c>
    </row>
    <row r="8" spans="1:11" x14ac:dyDescent="0.3">
      <c r="A8" s="139" t="s">
        <v>82</v>
      </c>
      <c r="B8" s="255">
        <v>85.88</v>
      </c>
      <c r="C8" s="255">
        <v>69.142596886209802</v>
      </c>
      <c r="D8" s="255">
        <v>0</v>
      </c>
      <c r="E8" s="255">
        <v>-2.516403113790199</v>
      </c>
      <c r="F8" s="255">
        <v>70.623000000000005</v>
      </c>
      <c r="G8" s="255">
        <v>1.036</v>
      </c>
      <c r="H8" s="2"/>
      <c r="I8" s="2"/>
      <c r="J8" s="2"/>
      <c r="K8" s="2"/>
    </row>
    <row r="9" spans="1:11" x14ac:dyDescent="0.3">
      <c r="A9" s="138" t="s">
        <v>83</v>
      </c>
      <c r="B9" s="255">
        <v>257.57</v>
      </c>
      <c r="C9" s="255">
        <v>206.06872873619261</v>
      </c>
      <c r="D9" s="255">
        <v>0</v>
      </c>
      <c r="E9" s="255">
        <v>-9.4006045971407382</v>
      </c>
      <c r="F9" s="255">
        <v>213.05199999999999</v>
      </c>
      <c r="G9" s="255">
        <v>2.4173333333333331</v>
      </c>
    </row>
    <row r="10" spans="1:11" x14ac:dyDescent="0.3">
      <c r="A10" s="139" t="s">
        <v>84</v>
      </c>
      <c r="B10" s="255">
        <v>86.07</v>
      </c>
      <c r="C10" s="255">
        <v>81.746420627234571</v>
      </c>
      <c r="D10" s="255">
        <v>0</v>
      </c>
      <c r="E10" s="255">
        <v>10.004003960567905</v>
      </c>
      <c r="F10" s="255">
        <v>70.87733333333334</v>
      </c>
      <c r="G10" s="255">
        <v>0.86508333333333332</v>
      </c>
    </row>
    <row r="11" spans="1:11" x14ac:dyDescent="0.3">
      <c r="A11" s="139" t="s">
        <v>85</v>
      </c>
      <c r="B11" s="255">
        <v>65.95</v>
      </c>
      <c r="C11" s="255">
        <v>58.57394400230848</v>
      </c>
      <c r="D11" s="255">
        <v>0</v>
      </c>
      <c r="E11" s="255">
        <v>-13.171389331024853</v>
      </c>
      <c r="F11" s="255">
        <v>71.130499999999998</v>
      </c>
      <c r="G11" s="255">
        <v>0.61483333333333334</v>
      </c>
    </row>
    <row r="12" spans="1:11" x14ac:dyDescent="0.3">
      <c r="A12" s="139" t="s">
        <v>86</v>
      </c>
      <c r="B12" s="255">
        <v>105.55</v>
      </c>
      <c r="C12" s="255">
        <v>65.748364106649532</v>
      </c>
      <c r="D12" s="255">
        <v>0</v>
      </c>
      <c r="E12" s="255">
        <v>-6.2332192266837891</v>
      </c>
      <c r="F12" s="255">
        <v>71.044166666666655</v>
      </c>
      <c r="G12" s="255">
        <v>0.93741666666666668</v>
      </c>
    </row>
    <row r="13" spans="1:11" x14ac:dyDescent="0.3">
      <c r="A13" s="138" t="s">
        <v>87</v>
      </c>
      <c r="B13" s="255">
        <v>285.05</v>
      </c>
      <c r="C13" s="255">
        <v>228.27856853531659</v>
      </c>
      <c r="D13" s="255">
        <v>0</v>
      </c>
      <c r="E13" s="255">
        <v>10.723818535316608</v>
      </c>
      <c r="F13" s="255">
        <v>214.90816666666666</v>
      </c>
      <c r="G13" s="255">
        <v>2.6465833333333331</v>
      </c>
    </row>
    <row r="14" spans="1:11" x14ac:dyDescent="0.3">
      <c r="A14" s="139" t="s">
        <v>88</v>
      </c>
      <c r="B14" s="255">
        <v>62.1</v>
      </c>
      <c r="C14" s="255">
        <v>83.62842043755262</v>
      </c>
      <c r="D14" s="255">
        <v>0</v>
      </c>
      <c r="E14" s="255">
        <v>11.251920437552629</v>
      </c>
      <c r="F14" s="255">
        <v>71.61933333333333</v>
      </c>
      <c r="G14" s="255">
        <v>0.75716666666666665</v>
      </c>
    </row>
    <row r="15" spans="1:11" x14ac:dyDescent="0.3">
      <c r="A15" s="139" t="s">
        <v>89</v>
      </c>
      <c r="B15" s="255">
        <v>93.51</v>
      </c>
      <c r="C15" s="255">
        <v>71.789083726296582</v>
      </c>
      <c r="D15" s="255">
        <v>0</v>
      </c>
      <c r="E15" s="255">
        <v>-0.55824960703675686</v>
      </c>
      <c r="F15" s="255">
        <v>71.460666666666668</v>
      </c>
      <c r="G15" s="255">
        <v>0.88666666666666671</v>
      </c>
    </row>
    <row r="16" spans="1:11" x14ac:dyDescent="0.3">
      <c r="A16" s="139" t="s">
        <v>169</v>
      </c>
      <c r="B16" s="255">
        <v>129.44</v>
      </c>
      <c r="C16" s="255">
        <v>72.861064371467407</v>
      </c>
      <c r="D16" s="255">
        <v>0</v>
      </c>
      <c r="E16" s="255">
        <v>3.0147704800735486E-2</v>
      </c>
      <c r="F16" s="255">
        <v>71.828166666666661</v>
      </c>
      <c r="G16" s="255">
        <v>1.00275</v>
      </c>
    </row>
    <row r="17" spans="1:7" x14ac:dyDescent="0.3">
      <c r="A17" s="138" t="s">
        <v>90</v>
      </c>
      <c r="B17" s="255">
        <v>478.31</v>
      </c>
      <c r="C17" s="255">
        <v>218.4689478157149</v>
      </c>
      <c r="D17" s="255">
        <v>0</v>
      </c>
      <c r="E17" s="255">
        <v>-3.208218850951801</v>
      </c>
      <c r="F17" s="255">
        <v>218.68350000000001</v>
      </c>
      <c r="G17" s="255">
        <v>2.9936666666666665</v>
      </c>
    </row>
    <row r="18" spans="1:7" x14ac:dyDescent="0.3">
      <c r="A18" s="139" t="s">
        <v>91</v>
      </c>
      <c r="B18" s="255">
        <v>70.62</v>
      </c>
      <c r="C18" s="255">
        <v>82.354014592030737</v>
      </c>
      <c r="D18" s="255">
        <v>0</v>
      </c>
      <c r="E18" s="255">
        <v>8.9508479253640534</v>
      </c>
      <c r="F18" s="255">
        <v>72.788333333333341</v>
      </c>
      <c r="G18" s="255">
        <v>0.61483333333333334</v>
      </c>
    </row>
    <row r="19" spans="1:7" x14ac:dyDescent="0.3">
      <c r="A19" s="139" t="s">
        <v>92</v>
      </c>
      <c r="B19" s="255">
        <v>96.2</v>
      </c>
      <c r="C19" s="255">
        <v>69.317672081696116</v>
      </c>
      <c r="D19" s="255">
        <v>0</v>
      </c>
      <c r="E19" s="255">
        <v>-4.6046612516372045</v>
      </c>
      <c r="F19" s="255">
        <v>72.752166666666668</v>
      </c>
      <c r="G19" s="255">
        <v>1.1701666666666666</v>
      </c>
    </row>
    <row r="20" spans="1:7" x14ac:dyDescent="0.3">
      <c r="A20" s="139" t="s">
        <v>93</v>
      </c>
      <c r="B20" s="255">
        <v>311.49</v>
      </c>
      <c r="C20" s="255">
        <v>66.797261141988031</v>
      </c>
      <c r="D20" s="255">
        <v>0</v>
      </c>
      <c r="E20" s="255">
        <v>-7.5544055246786499</v>
      </c>
      <c r="F20" s="255">
        <v>73.143000000000001</v>
      </c>
      <c r="G20" s="255">
        <v>1.2086666666666666</v>
      </c>
    </row>
    <row r="21" spans="1:7" x14ac:dyDescent="0.3">
      <c r="A21" s="7" t="s">
        <v>34</v>
      </c>
      <c r="B21" s="255">
        <v>1528.05</v>
      </c>
      <c r="C21" s="255">
        <v>800.59395893982719</v>
      </c>
      <c r="D21" s="255">
        <v>12.052300320610277</v>
      </c>
      <c r="E21" s="255">
        <v>-157.77959138078302</v>
      </c>
      <c r="F21" s="255">
        <v>932.00799999999992</v>
      </c>
      <c r="G21" s="255">
        <v>14.31325</v>
      </c>
    </row>
    <row r="22" spans="1:7" x14ac:dyDescent="0.3">
      <c r="A22" s="138" t="s">
        <v>79</v>
      </c>
      <c r="B22" s="255">
        <v>421.95</v>
      </c>
      <c r="C22" s="255">
        <v>182.61905834331483</v>
      </c>
      <c r="D22" s="255">
        <v>12.052300320610277</v>
      </c>
      <c r="E22" s="255">
        <v>-69.285325310628764</v>
      </c>
      <c r="F22" s="255">
        <v>236.05633333333333</v>
      </c>
      <c r="G22" s="255">
        <v>3.79575</v>
      </c>
    </row>
    <row r="23" spans="1:7" x14ac:dyDescent="0.3">
      <c r="A23" s="139" t="s">
        <v>80</v>
      </c>
      <c r="B23" s="255">
        <v>344.94</v>
      </c>
      <c r="C23" s="255">
        <v>65.188955145278015</v>
      </c>
      <c r="D23" s="255">
        <v>12.052300320610277</v>
      </c>
      <c r="E23" s="255">
        <v>-24.712095175332259</v>
      </c>
      <c r="F23" s="255">
        <v>77.115500000000011</v>
      </c>
      <c r="G23" s="255">
        <v>0.73324999999999996</v>
      </c>
    </row>
    <row r="24" spans="1:7" x14ac:dyDescent="0.3">
      <c r="A24" s="139" t="s">
        <v>81</v>
      </c>
      <c r="B24" s="255">
        <v>0</v>
      </c>
      <c r="C24" s="255">
        <v>48.969783919543104</v>
      </c>
      <c r="D24" s="255">
        <v>0</v>
      </c>
      <c r="E24" s="255">
        <v>-34.672049413790234</v>
      </c>
      <c r="F24" s="255">
        <v>81.579166666666666</v>
      </c>
      <c r="G24" s="255">
        <v>2.0626666666666669</v>
      </c>
    </row>
    <row r="25" spans="1:7" x14ac:dyDescent="0.3">
      <c r="A25" s="139" t="s">
        <v>82</v>
      </c>
      <c r="B25" s="255">
        <v>77.010000000000005</v>
      </c>
      <c r="C25" s="255">
        <v>68.460319278493714</v>
      </c>
      <c r="D25" s="255">
        <v>0</v>
      </c>
      <c r="E25" s="255">
        <v>-9.901180721506277</v>
      </c>
      <c r="F25" s="255">
        <v>77.361666666666665</v>
      </c>
      <c r="G25" s="255">
        <v>0.99983333333333335</v>
      </c>
    </row>
    <row r="26" spans="1:7" x14ac:dyDescent="0.3">
      <c r="A26" s="138" t="s">
        <v>83</v>
      </c>
      <c r="B26" s="255">
        <v>205.2</v>
      </c>
      <c r="C26" s="255">
        <v>145.30212108248452</v>
      </c>
      <c r="D26" s="255">
        <v>0</v>
      </c>
      <c r="E26" s="255">
        <v>-89.585795584182165</v>
      </c>
      <c r="F26" s="255">
        <v>232.14800000000002</v>
      </c>
      <c r="G26" s="255">
        <v>2.7399166666666668</v>
      </c>
    </row>
    <row r="27" spans="1:7" x14ac:dyDescent="0.3">
      <c r="A27" s="139" t="s">
        <v>84</v>
      </c>
      <c r="B27" s="255">
        <v>115.44</v>
      </c>
      <c r="C27" s="255">
        <v>32.849934419699018</v>
      </c>
      <c r="D27" s="255">
        <v>0</v>
      </c>
      <c r="E27" s="255">
        <v>-45.345315580300984</v>
      </c>
      <c r="F27" s="255">
        <v>77.355833333333337</v>
      </c>
      <c r="G27" s="255">
        <v>0.8394166666666667</v>
      </c>
    </row>
    <row r="28" spans="1:7" x14ac:dyDescent="0.3">
      <c r="A28" s="139" t="s">
        <v>85</v>
      </c>
      <c r="B28" s="255">
        <v>6.66</v>
      </c>
      <c r="C28" s="255">
        <v>73.285006420421254</v>
      </c>
      <c r="D28" s="255">
        <v>0</v>
      </c>
      <c r="E28" s="255">
        <v>-5.6376602462454208</v>
      </c>
      <c r="F28" s="255">
        <v>77.990500000000011</v>
      </c>
      <c r="G28" s="255">
        <v>0.9321666666666667</v>
      </c>
    </row>
    <row r="29" spans="1:7" x14ac:dyDescent="0.3">
      <c r="A29" s="139" t="s">
        <v>86</v>
      </c>
      <c r="B29" s="255">
        <v>83.1</v>
      </c>
      <c r="C29" s="255">
        <v>39.16718024236426</v>
      </c>
      <c r="D29" s="255">
        <v>0</v>
      </c>
      <c r="E29" s="255">
        <v>-38.60281975763575</v>
      </c>
      <c r="F29" s="255">
        <v>76.801666666666677</v>
      </c>
      <c r="G29" s="255">
        <v>0.96833333333333338</v>
      </c>
    </row>
    <row r="30" spans="1:7" x14ac:dyDescent="0.3">
      <c r="A30" s="138" t="s">
        <v>87</v>
      </c>
      <c r="B30" s="255">
        <v>316.33000000000004</v>
      </c>
      <c r="C30" s="255">
        <v>222.4776143442935</v>
      </c>
      <c r="D30" s="255">
        <v>0</v>
      </c>
      <c r="E30" s="255">
        <v>-12.337385655706463</v>
      </c>
      <c r="F30" s="255">
        <v>231.553</v>
      </c>
      <c r="G30" s="255">
        <v>3.262</v>
      </c>
    </row>
    <row r="31" spans="1:7" x14ac:dyDescent="0.3">
      <c r="A31" s="139" t="s">
        <v>88</v>
      </c>
      <c r="B31" s="255">
        <v>63.75</v>
      </c>
      <c r="C31" s="255">
        <v>78.503604002143859</v>
      </c>
      <c r="D31" s="255">
        <v>0</v>
      </c>
      <c r="E31" s="255">
        <v>0.78027066881053031</v>
      </c>
      <c r="F31" s="255">
        <v>76.906666666666666</v>
      </c>
      <c r="G31" s="255">
        <v>0.81666666666666665</v>
      </c>
    </row>
    <row r="32" spans="1:7" x14ac:dyDescent="0.3">
      <c r="A32" s="139" t="s">
        <v>89</v>
      </c>
      <c r="B32" s="255">
        <v>152.99</v>
      </c>
      <c r="C32" s="255">
        <v>69.050209961267001</v>
      </c>
      <c r="D32" s="255">
        <v>0</v>
      </c>
      <c r="E32" s="255">
        <v>-8.9770400387329889</v>
      </c>
      <c r="F32" s="255">
        <v>76.687333333333328</v>
      </c>
      <c r="G32" s="255">
        <v>1.3399166666666666</v>
      </c>
    </row>
    <row r="33" spans="1:7" x14ac:dyDescent="0.3">
      <c r="A33" s="139" t="s">
        <v>169</v>
      </c>
      <c r="B33" s="255">
        <v>99.59</v>
      </c>
      <c r="C33" s="255">
        <v>74.923800380882668</v>
      </c>
      <c r="D33" s="255">
        <v>0</v>
      </c>
      <c r="E33" s="255">
        <v>-4.140616285784005</v>
      </c>
      <c r="F33" s="255">
        <v>77.959000000000003</v>
      </c>
      <c r="G33" s="255">
        <v>1.1054166666666667</v>
      </c>
    </row>
    <row r="34" spans="1:7" x14ac:dyDescent="0.3">
      <c r="A34" s="138" t="s">
        <v>90</v>
      </c>
      <c r="B34" s="255">
        <v>584.56999999999994</v>
      </c>
      <c r="C34" s="255">
        <v>250.19516516973437</v>
      </c>
      <c r="D34" s="255">
        <v>0</v>
      </c>
      <c r="E34" s="255">
        <v>13.428915169734349</v>
      </c>
      <c r="F34" s="255">
        <v>232.25066666666666</v>
      </c>
      <c r="G34" s="255">
        <v>4.5155833333333328</v>
      </c>
    </row>
    <row r="35" spans="1:7" x14ac:dyDescent="0.3">
      <c r="A35" s="139" t="s">
        <v>91</v>
      </c>
      <c r="B35" s="255">
        <v>73.98</v>
      </c>
      <c r="C35" s="255">
        <v>82.763253704747243</v>
      </c>
      <c r="D35" s="255">
        <v>0</v>
      </c>
      <c r="E35" s="255">
        <v>3.6200870380805732</v>
      </c>
      <c r="F35" s="255">
        <v>78.319500000000005</v>
      </c>
      <c r="G35" s="255">
        <v>0.82366666666666666</v>
      </c>
    </row>
    <row r="36" spans="1:7" x14ac:dyDescent="0.3">
      <c r="A36" s="139" t="s">
        <v>92</v>
      </c>
      <c r="B36" s="255">
        <v>0</v>
      </c>
      <c r="C36" s="255">
        <v>83.960274965412196</v>
      </c>
      <c r="D36" s="255">
        <v>0</v>
      </c>
      <c r="E36" s="255">
        <v>4.6677749654121916</v>
      </c>
      <c r="F36" s="255">
        <v>78.247166666666672</v>
      </c>
      <c r="G36" s="255">
        <v>1.0453333333333332</v>
      </c>
    </row>
    <row r="37" spans="1:7" x14ac:dyDescent="0.3">
      <c r="A37" s="139" t="s">
        <v>93</v>
      </c>
      <c r="B37" s="255">
        <v>510.59</v>
      </c>
      <c r="C37" s="255">
        <v>83.471636499574913</v>
      </c>
      <c r="D37" s="255">
        <v>0</v>
      </c>
      <c r="E37" s="255">
        <v>5.1410531662415835</v>
      </c>
      <c r="F37" s="255">
        <v>75.683999999999997</v>
      </c>
      <c r="G37" s="255">
        <v>2.6465833333333331</v>
      </c>
    </row>
    <row r="38" spans="1:7" x14ac:dyDescent="0.3">
      <c r="A38" s="7" t="s">
        <v>35</v>
      </c>
      <c r="B38" s="255">
        <v>1272.48</v>
      </c>
      <c r="C38" s="255">
        <v>1108.1643086931485</v>
      </c>
      <c r="D38" s="255">
        <v>-37.945112798568957</v>
      </c>
      <c r="E38" s="255">
        <v>135.94700040142803</v>
      </c>
      <c r="F38" s="255">
        <v>996.68449999999984</v>
      </c>
      <c r="G38" s="255">
        <v>13.252749999999999</v>
      </c>
    </row>
    <row r="39" spans="1:7" x14ac:dyDescent="0.3">
      <c r="A39" s="138" t="s">
        <v>79</v>
      </c>
      <c r="B39" s="255">
        <v>302.72999999999996</v>
      </c>
      <c r="C39" s="255">
        <v>259.01615762212236</v>
      </c>
      <c r="D39" s="255">
        <v>-37.945112798568957</v>
      </c>
      <c r="E39" s="255">
        <v>41.352187087358018</v>
      </c>
      <c r="F39" s="255">
        <v>251.56366666666662</v>
      </c>
      <c r="G39" s="255">
        <v>4.0454166666666662</v>
      </c>
    </row>
    <row r="40" spans="1:7" x14ac:dyDescent="0.3">
      <c r="A40" s="139" t="s">
        <v>80</v>
      </c>
      <c r="B40" s="255">
        <v>134.44999999999999</v>
      </c>
      <c r="C40" s="255">
        <v>123.57655304321139</v>
      </c>
      <c r="D40" s="255">
        <v>0</v>
      </c>
      <c r="E40" s="255">
        <v>39.980219709878078</v>
      </c>
      <c r="F40" s="255">
        <v>82.93249999999999</v>
      </c>
      <c r="G40" s="255">
        <v>0.66383333333333328</v>
      </c>
    </row>
    <row r="41" spans="1:7" x14ac:dyDescent="0.3">
      <c r="A41" s="139" t="s">
        <v>81</v>
      </c>
      <c r="B41" s="255">
        <v>146.72</v>
      </c>
      <c r="C41" s="255">
        <v>44.458739595228209</v>
      </c>
      <c r="D41" s="255">
        <v>-37.945112798568957</v>
      </c>
      <c r="E41" s="255">
        <v>-3.4348142728695006</v>
      </c>
      <c r="F41" s="255">
        <v>83.791166666666669</v>
      </c>
      <c r="G41" s="255">
        <v>2.0474999999999999</v>
      </c>
    </row>
    <row r="42" spans="1:7" x14ac:dyDescent="0.3">
      <c r="A42" s="139" t="s">
        <v>82</v>
      </c>
      <c r="B42" s="255">
        <v>21.56</v>
      </c>
      <c r="C42" s="255">
        <v>90.980864983682778</v>
      </c>
      <c r="D42" s="255">
        <v>0</v>
      </c>
      <c r="E42" s="255">
        <v>4.8067816503494463</v>
      </c>
      <c r="F42" s="255">
        <v>84.839999999999989</v>
      </c>
      <c r="G42" s="255">
        <v>1.3340833333333333</v>
      </c>
    </row>
    <row r="43" spans="1:7" x14ac:dyDescent="0.3">
      <c r="A43" s="138" t="s">
        <v>83</v>
      </c>
      <c r="B43" s="255">
        <v>204.66</v>
      </c>
      <c r="C43" s="255">
        <v>225.76155086175254</v>
      </c>
      <c r="D43" s="255">
        <v>0</v>
      </c>
      <c r="E43" s="255">
        <v>-27.746365804914127</v>
      </c>
      <c r="F43" s="255">
        <v>250.2955</v>
      </c>
      <c r="G43" s="255">
        <v>3.2124166666666669</v>
      </c>
    </row>
    <row r="44" spans="1:7" x14ac:dyDescent="0.3">
      <c r="A44" s="139" t="s">
        <v>84</v>
      </c>
      <c r="B44" s="255">
        <v>47.88</v>
      </c>
      <c r="C44" s="255">
        <v>92.67551660278184</v>
      </c>
      <c r="D44" s="255">
        <v>0</v>
      </c>
      <c r="E44" s="255">
        <v>7.7386832694485079</v>
      </c>
      <c r="F44" s="255">
        <v>83.785333333333327</v>
      </c>
      <c r="G44" s="255">
        <v>1.1515</v>
      </c>
    </row>
    <row r="45" spans="1:7" x14ac:dyDescent="0.3">
      <c r="A45" s="139" t="s">
        <v>85</v>
      </c>
      <c r="B45" s="255">
        <v>91.38</v>
      </c>
      <c r="C45" s="255">
        <v>81.92264582724674</v>
      </c>
      <c r="D45" s="255">
        <v>0</v>
      </c>
      <c r="E45" s="255">
        <v>-2.3322708394199276</v>
      </c>
      <c r="F45" s="255">
        <v>83.18683333333334</v>
      </c>
      <c r="G45" s="255">
        <v>1.0680833333333333</v>
      </c>
    </row>
    <row r="46" spans="1:7" x14ac:dyDescent="0.3">
      <c r="A46" s="139" t="s">
        <v>86</v>
      </c>
      <c r="B46" s="255">
        <v>65.400000000000006</v>
      </c>
      <c r="C46" s="255">
        <v>51.163388431723952</v>
      </c>
      <c r="D46" s="255">
        <v>0</v>
      </c>
      <c r="E46" s="255">
        <v>-33.152778234942708</v>
      </c>
      <c r="F46" s="255">
        <v>83.323333333333323</v>
      </c>
      <c r="G46" s="255">
        <v>0.99283333333333335</v>
      </c>
    </row>
    <row r="47" spans="1:7" x14ac:dyDescent="0.3">
      <c r="A47" s="138" t="s">
        <v>87</v>
      </c>
      <c r="B47" s="255">
        <v>187.95</v>
      </c>
      <c r="C47" s="255">
        <v>264.6204730995421</v>
      </c>
      <c r="D47" s="255">
        <v>0</v>
      </c>
      <c r="E47" s="255">
        <v>14.238635342585745</v>
      </c>
      <c r="F47" s="255">
        <v>247.03583333333333</v>
      </c>
      <c r="G47" s="255">
        <v>3.1208333333333336</v>
      </c>
    </row>
    <row r="48" spans="1:7" x14ac:dyDescent="0.3">
      <c r="A48" s="139" t="s">
        <v>88</v>
      </c>
      <c r="B48" s="255">
        <v>0</v>
      </c>
      <c r="C48" s="255">
        <v>92.328371090289679</v>
      </c>
      <c r="D48" s="255">
        <v>0</v>
      </c>
      <c r="E48" s="255">
        <v>8.2163710902896785</v>
      </c>
      <c r="F48" s="255">
        <v>83.024666666666661</v>
      </c>
      <c r="G48" s="255">
        <v>1.0873333333333333</v>
      </c>
    </row>
    <row r="49" spans="1:7" x14ac:dyDescent="0.3">
      <c r="A49" s="139" t="s">
        <v>89</v>
      </c>
      <c r="B49" s="255">
        <v>132.88999999999999</v>
      </c>
      <c r="C49" s="255">
        <v>84.482888534949836</v>
      </c>
      <c r="D49" s="255">
        <v>0</v>
      </c>
      <c r="E49" s="255">
        <v>1.5043007779934998</v>
      </c>
      <c r="F49" s="255">
        <v>81.578000000000003</v>
      </c>
      <c r="G49" s="255">
        <v>1.1754166666666668</v>
      </c>
    </row>
    <row r="50" spans="1:7" x14ac:dyDescent="0.3">
      <c r="A50" s="139" t="s">
        <v>169</v>
      </c>
      <c r="B50" s="255">
        <v>55.06</v>
      </c>
      <c r="C50" s="255">
        <v>87.809213474302567</v>
      </c>
      <c r="D50" s="255">
        <v>0</v>
      </c>
      <c r="E50" s="255">
        <v>4.517963474302567</v>
      </c>
      <c r="F50" s="255">
        <v>82.433166666666665</v>
      </c>
      <c r="G50" s="255">
        <v>0.85808333333333331</v>
      </c>
    </row>
    <row r="51" spans="1:7" x14ac:dyDescent="0.3">
      <c r="A51" s="138" t="s">
        <v>90</v>
      </c>
      <c r="B51" s="255">
        <v>577.14</v>
      </c>
      <c r="C51" s="255">
        <v>358.76612710973171</v>
      </c>
      <c r="D51" s="255">
        <v>0</v>
      </c>
      <c r="E51" s="255">
        <v>108.10254377639841</v>
      </c>
      <c r="F51" s="255">
        <v>247.7895</v>
      </c>
      <c r="G51" s="255">
        <v>2.8740833333333331</v>
      </c>
    </row>
    <row r="52" spans="1:7" x14ac:dyDescent="0.3">
      <c r="A52" s="139" t="s">
        <v>91</v>
      </c>
      <c r="B52" s="255">
        <v>95.28</v>
      </c>
      <c r="C52" s="255">
        <v>102.07768800715895</v>
      </c>
      <c r="D52" s="255">
        <v>0</v>
      </c>
      <c r="E52" s="255">
        <v>19.208771340492294</v>
      </c>
      <c r="F52" s="255">
        <v>81.977000000000004</v>
      </c>
      <c r="G52" s="255">
        <v>0.89191666666666669</v>
      </c>
    </row>
    <row r="53" spans="1:7" x14ac:dyDescent="0.3">
      <c r="A53" s="139" t="s">
        <v>92</v>
      </c>
      <c r="B53" s="255">
        <v>167.11</v>
      </c>
      <c r="C53" s="255">
        <v>85.220366680365544</v>
      </c>
      <c r="D53" s="255">
        <v>0</v>
      </c>
      <c r="E53" s="255">
        <v>2.0714500136988856</v>
      </c>
      <c r="F53" s="255">
        <v>82.198666666666668</v>
      </c>
      <c r="G53" s="255">
        <v>0.95025000000000004</v>
      </c>
    </row>
    <row r="54" spans="1:7" x14ac:dyDescent="0.3">
      <c r="A54" s="139" t="s">
        <v>93</v>
      </c>
      <c r="B54" s="255">
        <v>314.75</v>
      </c>
      <c r="C54" s="255">
        <v>171.46807242220723</v>
      </c>
      <c r="D54" s="255">
        <v>0</v>
      </c>
      <c r="E54" s="255">
        <v>86.822322422207222</v>
      </c>
      <c r="F54" s="255">
        <v>83.613833333333332</v>
      </c>
      <c r="G54" s="255">
        <v>1.0319166666666666</v>
      </c>
    </row>
    <row r="55" spans="1:7" x14ac:dyDescent="0.3">
      <c r="A55" s="7" t="s">
        <v>36</v>
      </c>
      <c r="B55" s="255">
        <v>1810.5500000000002</v>
      </c>
      <c r="C55" s="255">
        <v>1481.129460151629</v>
      </c>
      <c r="D55" s="255">
        <v>-5.5654928264866719</v>
      </c>
      <c r="E55" s="255">
        <v>281.02838256101546</v>
      </c>
      <c r="F55" s="255">
        <v>1085.7536666666667</v>
      </c>
      <c r="G55" s="255">
        <v>13.418999999999999</v>
      </c>
    </row>
    <row r="56" spans="1:7" x14ac:dyDescent="0.3">
      <c r="A56" s="138" t="s">
        <v>79</v>
      </c>
      <c r="B56" s="255">
        <v>524.84</v>
      </c>
      <c r="C56" s="255">
        <v>450.16167757268363</v>
      </c>
      <c r="D56" s="255">
        <v>-5.5654928264866719</v>
      </c>
      <c r="E56" s="255">
        <v>102.67886725141386</v>
      </c>
      <c r="F56" s="255">
        <v>271.91966666666667</v>
      </c>
      <c r="G56" s="255">
        <v>3.0158333333333331</v>
      </c>
    </row>
    <row r="57" spans="1:7" x14ac:dyDescent="0.3">
      <c r="A57" s="139" t="s">
        <v>80</v>
      </c>
      <c r="B57" s="255">
        <v>509.01</v>
      </c>
      <c r="C57" s="255">
        <v>132.79047382224999</v>
      </c>
      <c r="D57" s="255">
        <v>0</v>
      </c>
      <c r="E57" s="255">
        <v>44.457473822249995</v>
      </c>
      <c r="F57" s="255">
        <v>87.466166666666666</v>
      </c>
      <c r="G57" s="255">
        <v>0.86683333333333334</v>
      </c>
    </row>
    <row r="58" spans="1:7" x14ac:dyDescent="0.3">
      <c r="A58" s="139" t="s">
        <v>81</v>
      </c>
      <c r="B58" s="255">
        <v>0</v>
      </c>
      <c r="C58" s="255">
        <v>147.33580314775645</v>
      </c>
      <c r="D58" s="255">
        <v>-5.5654928264866719</v>
      </c>
      <c r="E58" s="255">
        <v>57.28712930757645</v>
      </c>
      <c r="F58" s="255">
        <v>94.491833333333332</v>
      </c>
      <c r="G58" s="255">
        <v>1.1223333333333334</v>
      </c>
    </row>
    <row r="59" spans="1:7" x14ac:dyDescent="0.3">
      <c r="A59" s="139" t="s">
        <v>82</v>
      </c>
      <c r="B59" s="255">
        <v>15.83</v>
      </c>
      <c r="C59" s="255">
        <v>170.03540060267719</v>
      </c>
      <c r="D59" s="255">
        <v>0</v>
      </c>
      <c r="E59" s="255">
        <v>0.934264121587422</v>
      </c>
      <c r="F59" s="255">
        <v>89.961666666666659</v>
      </c>
      <c r="G59" s="255">
        <v>1.0266666666666666</v>
      </c>
    </row>
    <row r="60" spans="1:7" x14ac:dyDescent="0.3">
      <c r="A60" s="138" t="s">
        <v>83</v>
      </c>
      <c r="B60" s="255">
        <v>325.81</v>
      </c>
      <c r="C60" s="255">
        <v>314.23742170914301</v>
      </c>
      <c r="D60" s="255">
        <v>0</v>
      </c>
      <c r="E60" s="255">
        <v>13.583154439799175</v>
      </c>
      <c r="F60" s="255">
        <v>268.96683333333334</v>
      </c>
      <c r="G60" s="255">
        <v>3.3063333333333329</v>
      </c>
    </row>
    <row r="61" spans="1:7" x14ac:dyDescent="0.3">
      <c r="A61" s="139" t="s">
        <v>84</v>
      </c>
      <c r="B61" s="255">
        <v>180.08</v>
      </c>
      <c r="C61" s="255">
        <v>126.25106879690958</v>
      </c>
      <c r="D61" s="255">
        <v>0</v>
      </c>
      <c r="E61" s="255">
        <v>7.6516348608990912</v>
      </c>
      <c r="F61" s="255">
        <v>88.726166666666657</v>
      </c>
      <c r="G61" s="255">
        <v>1.4921666666666666</v>
      </c>
    </row>
    <row r="62" spans="1:7" x14ac:dyDescent="0.3">
      <c r="A62" s="139" t="s">
        <v>85</v>
      </c>
      <c r="B62" s="255">
        <v>74.849999999999994</v>
      </c>
      <c r="C62" s="255">
        <v>88.346220542104049</v>
      </c>
      <c r="D62" s="255">
        <v>0</v>
      </c>
      <c r="E62" s="255">
        <v>-2.7815294578959464</v>
      </c>
      <c r="F62" s="255">
        <v>90.248666666666665</v>
      </c>
      <c r="G62" s="255">
        <v>0.87908333333333333</v>
      </c>
    </row>
    <row r="63" spans="1:7" x14ac:dyDescent="0.3">
      <c r="A63" s="139" t="s">
        <v>86</v>
      </c>
      <c r="B63" s="255">
        <v>70.88</v>
      </c>
      <c r="C63" s="255">
        <v>99.640132370129379</v>
      </c>
      <c r="D63" s="255">
        <v>0</v>
      </c>
      <c r="E63" s="255">
        <v>8.7130490367960309</v>
      </c>
      <c r="F63" s="255">
        <v>89.992000000000004</v>
      </c>
      <c r="G63" s="255">
        <v>0.93508333333333327</v>
      </c>
    </row>
    <row r="64" spans="1:7" x14ac:dyDescent="0.3">
      <c r="A64" s="138" t="s">
        <v>87</v>
      </c>
      <c r="B64" s="255">
        <v>313.34000000000003</v>
      </c>
      <c r="C64" s="255">
        <v>400.0199532772391</v>
      </c>
      <c r="D64" s="255">
        <v>0</v>
      </c>
      <c r="E64" s="255">
        <v>126.28961994390579</v>
      </c>
      <c r="F64" s="255">
        <v>269.94566666666668</v>
      </c>
      <c r="G64" s="255">
        <v>3.7846666666666664</v>
      </c>
    </row>
    <row r="65" spans="1:7" x14ac:dyDescent="0.3">
      <c r="A65" s="139" t="s">
        <v>88</v>
      </c>
      <c r="B65" s="255">
        <v>112.91</v>
      </c>
      <c r="C65" s="255">
        <v>161.19707347155233</v>
      </c>
      <c r="D65" s="255">
        <v>0</v>
      </c>
      <c r="E65" s="255">
        <v>70.412323471552327</v>
      </c>
      <c r="F65" s="255">
        <v>89.673500000000004</v>
      </c>
      <c r="G65" s="255">
        <v>1.1112499999999998</v>
      </c>
    </row>
    <row r="66" spans="1:7" x14ac:dyDescent="0.3">
      <c r="A66" s="139" t="s">
        <v>89</v>
      </c>
      <c r="B66" s="255">
        <v>99.09</v>
      </c>
      <c r="C66" s="255">
        <v>100.72597350608473</v>
      </c>
      <c r="D66" s="255">
        <v>0</v>
      </c>
      <c r="E66" s="255">
        <v>9.3573068394180723</v>
      </c>
      <c r="F66" s="255">
        <v>90.060833333333321</v>
      </c>
      <c r="G66" s="255">
        <v>1.3078333333333334</v>
      </c>
    </row>
    <row r="67" spans="1:7" x14ac:dyDescent="0.3">
      <c r="A67" s="139" t="s">
        <v>169</v>
      </c>
      <c r="B67" s="255">
        <v>101.34</v>
      </c>
      <c r="C67" s="255">
        <v>138.09690629960207</v>
      </c>
      <c r="D67" s="255">
        <v>0</v>
      </c>
      <c r="E67" s="255">
        <v>46.519989632935399</v>
      </c>
      <c r="F67" s="255">
        <v>90.211333333333343</v>
      </c>
      <c r="G67" s="255">
        <v>1.3655833333333334</v>
      </c>
    </row>
    <row r="68" spans="1:7" x14ac:dyDescent="0.3">
      <c r="A68" s="138" t="s">
        <v>90</v>
      </c>
      <c r="B68" s="255">
        <v>646.55999999999995</v>
      </c>
      <c r="C68" s="255">
        <v>316.71040759256323</v>
      </c>
      <c r="D68" s="255">
        <v>0</v>
      </c>
      <c r="E68" s="255">
        <v>38.476740925896593</v>
      </c>
      <c r="F68" s="255">
        <v>274.92149999999998</v>
      </c>
      <c r="G68" s="255">
        <v>3.3121666666666667</v>
      </c>
    </row>
    <row r="69" spans="1:7" x14ac:dyDescent="0.3">
      <c r="A69" s="139" t="s">
        <v>91</v>
      </c>
      <c r="B69" s="255">
        <v>191.69</v>
      </c>
      <c r="C69" s="255">
        <v>132.66549562937988</v>
      </c>
      <c r="D69" s="255">
        <v>0</v>
      </c>
      <c r="E69" s="255">
        <v>40.766578962713218</v>
      </c>
      <c r="F69" s="255">
        <v>90.396833333333333</v>
      </c>
      <c r="G69" s="255">
        <v>1.5020833333333334</v>
      </c>
    </row>
    <row r="70" spans="1:7" x14ac:dyDescent="0.3">
      <c r="A70" s="139" t="s">
        <v>92</v>
      </c>
      <c r="B70" s="255">
        <v>113.37</v>
      </c>
      <c r="C70" s="255">
        <v>91.182424997798023</v>
      </c>
      <c r="D70" s="255">
        <v>0</v>
      </c>
      <c r="E70" s="255">
        <v>-1.7723250022019792</v>
      </c>
      <c r="F70" s="255">
        <v>92.085000000000008</v>
      </c>
      <c r="G70" s="255">
        <v>0.86975000000000002</v>
      </c>
    </row>
    <row r="71" spans="1:7" x14ac:dyDescent="0.3">
      <c r="A71" s="139" t="s">
        <v>93</v>
      </c>
      <c r="B71" s="255">
        <v>341.5</v>
      </c>
      <c r="C71" s="255">
        <v>92.862486965385344</v>
      </c>
      <c r="D71" s="255">
        <v>0</v>
      </c>
      <c r="E71" s="255">
        <v>-0.51751303461464726</v>
      </c>
      <c r="F71" s="255">
        <v>92.439666666666668</v>
      </c>
      <c r="G71" s="255">
        <v>0.94033333333333335</v>
      </c>
    </row>
    <row r="72" spans="1:7" x14ac:dyDescent="0.3">
      <c r="A72" s="7" t="s">
        <v>37</v>
      </c>
      <c r="B72" s="255">
        <v>1774.41</v>
      </c>
      <c r="C72" s="255">
        <v>1367.8194900544963</v>
      </c>
      <c r="D72" s="255">
        <v>13.748890960870302</v>
      </c>
      <c r="E72" s="255">
        <v>120.42064322713409</v>
      </c>
      <c r="F72" s="255">
        <v>1177.3323333333335</v>
      </c>
      <c r="G72" s="255">
        <v>18.335333333333331</v>
      </c>
    </row>
    <row r="73" spans="1:7" x14ac:dyDescent="0.3">
      <c r="A73" s="138" t="s">
        <v>79</v>
      </c>
      <c r="B73" s="255">
        <v>443.28</v>
      </c>
      <c r="C73" s="255">
        <v>387.31578027006492</v>
      </c>
      <c r="D73" s="255">
        <v>13.748890960870302</v>
      </c>
      <c r="E73" s="255">
        <v>38.291100109369353</v>
      </c>
      <c r="F73" s="255">
        <v>293.92533333333336</v>
      </c>
      <c r="G73" s="255">
        <v>3.3681666666666672</v>
      </c>
    </row>
    <row r="74" spans="1:7" x14ac:dyDescent="0.3">
      <c r="A74" s="139" t="s">
        <v>80</v>
      </c>
      <c r="B74" s="255">
        <v>338.02</v>
      </c>
      <c r="C74" s="255">
        <v>99.343906517988827</v>
      </c>
      <c r="D74" s="255">
        <v>13.748890960870302</v>
      </c>
      <c r="E74" s="255">
        <v>-11.765651109548129</v>
      </c>
      <c r="F74" s="255">
        <v>96.590666666666664</v>
      </c>
      <c r="G74" s="255">
        <v>0.77</v>
      </c>
    </row>
    <row r="75" spans="1:7" x14ac:dyDescent="0.3">
      <c r="A75" s="139" t="s">
        <v>81</v>
      </c>
      <c r="B75" s="255">
        <v>0</v>
      </c>
      <c r="C75" s="255">
        <v>105.11018919982523</v>
      </c>
      <c r="D75" s="255">
        <v>0</v>
      </c>
      <c r="E75" s="255">
        <v>2.9405225331585649</v>
      </c>
      <c r="F75" s="255">
        <v>100.61449999999999</v>
      </c>
      <c r="G75" s="255">
        <v>1.5551666666666668</v>
      </c>
    </row>
    <row r="76" spans="1:7" x14ac:dyDescent="0.3">
      <c r="A76" s="139" t="s">
        <v>82</v>
      </c>
      <c r="B76" s="255">
        <v>105.26</v>
      </c>
      <c r="C76" s="255">
        <v>182.86168455225084</v>
      </c>
      <c r="D76" s="255">
        <v>0</v>
      </c>
      <c r="E76" s="255">
        <v>47.116228685758919</v>
      </c>
      <c r="F76" s="255">
        <v>96.720166666666671</v>
      </c>
      <c r="G76" s="255">
        <v>1.0429999999999999</v>
      </c>
    </row>
    <row r="77" spans="1:7" x14ac:dyDescent="0.3">
      <c r="A77" s="138" t="s">
        <v>83</v>
      </c>
      <c r="B77" s="255">
        <v>334.52</v>
      </c>
      <c r="C77" s="255">
        <v>329.46596198155288</v>
      </c>
      <c r="D77" s="255">
        <v>0</v>
      </c>
      <c r="E77" s="255">
        <v>32.698628648219596</v>
      </c>
      <c r="F77" s="255">
        <v>293.01416666666665</v>
      </c>
      <c r="G77" s="255">
        <v>3.753166666666667</v>
      </c>
    </row>
    <row r="78" spans="1:7" x14ac:dyDescent="0.3">
      <c r="A78" s="139" t="s">
        <v>84</v>
      </c>
      <c r="B78" s="255">
        <v>163.36000000000001</v>
      </c>
      <c r="C78" s="255">
        <v>133.25718844319792</v>
      </c>
      <c r="D78" s="255">
        <v>0</v>
      </c>
      <c r="E78" s="255">
        <v>34.788188443197924</v>
      </c>
      <c r="F78" s="255">
        <v>96.862499999999997</v>
      </c>
      <c r="G78" s="255">
        <v>1.6065</v>
      </c>
    </row>
    <row r="79" spans="1:7" x14ac:dyDescent="0.3">
      <c r="A79" s="139" t="s">
        <v>85</v>
      </c>
      <c r="B79" s="255">
        <v>110.57</v>
      </c>
      <c r="C79" s="255">
        <v>97.06114185375786</v>
      </c>
      <c r="D79" s="255">
        <v>0</v>
      </c>
      <c r="E79" s="255">
        <v>-1.8611081462421273</v>
      </c>
      <c r="F79" s="255">
        <v>97.970833333333331</v>
      </c>
      <c r="G79" s="255">
        <v>0.95141666666666669</v>
      </c>
    </row>
    <row r="80" spans="1:7" x14ac:dyDescent="0.3">
      <c r="A80" s="139" t="s">
        <v>86</v>
      </c>
      <c r="B80" s="255">
        <v>60.59</v>
      </c>
      <c r="C80" s="255">
        <v>99.14763168459713</v>
      </c>
      <c r="D80" s="255">
        <v>0</v>
      </c>
      <c r="E80" s="255">
        <v>-0.22845164873620458</v>
      </c>
      <c r="F80" s="255">
        <v>98.180833333333339</v>
      </c>
      <c r="G80" s="255">
        <v>1.1952500000000001</v>
      </c>
    </row>
    <row r="81" spans="1:7" x14ac:dyDescent="0.3">
      <c r="A81" s="138" t="s">
        <v>87</v>
      </c>
      <c r="B81" s="255">
        <v>318.54999999999995</v>
      </c>
      <c r="C81" s="255">
        <v>321.37775464680465</v>
      </c>
      <c r="D81" s="255">
        <v>0</v>
      </c>
      <c r="E81" s="255">
        <v>21.945171313471327</v>
      </c>
      <c r="F81" s="255">
        <v>294.40016666666668</v>
      </c>
      <c r="G81" s="255">
        <v>5.0324166666666663</v>
      </c>
    </row>
    <row r="82" spans="1:7" x14ac:dyDescent="0.3">
      <c r="A82" s="139" t="s">
        <v>88</v>
      </c>
      <c r="B82" s="255">
        <v>156.69999999999999</v>
      </c>
      <c r="C82" s="255">
        <v>123.66242527753136</v>
      </c>
      <c r="D82" s="255">
        <v>0</v>
      </c>
      <c r="E82" s="255">
        <v>24.25834194419803</v>
      </c>
      <c r="F82" s="255">
        <v>97.554333333333332</v>
      </c>
      <c r="G82" s="255">
        <v>1.84975</v>
      </c>
    </row>
    <row r="83" spans="1:7" x14ac:dyDescent="0.3">
      <c r="A83" s="139" t="s">
        <v>89</v>
      </c>
      <c r="B83" s="255">
        <v>84.47</v>
      </c>
      <c r="C83" s="255">
        <v>100.95133129702505</v>
      </c>
      <c r="D83" s="255">
        <v>0</v>
      </c>
      <c r="E83" s="255">
        <v>1.0811646303583857</v>
      </c>
      <c r="F83" s="255">
        <v>98.540166666666664</v>
      </c>
      <c r="G83" s="255">
        <v>1.3299999999999998</v>
      </c>
    </row>
    <row r="84" spans="1:7" x14ac:dyDescent="0.3">
      <c r="A84" s="139" t="s">
        <v>169</v>
      </c>
      <c r="B84" s="255">
        <v>77.38</v>
      </c>
      <c r="C84" s="255">
        <v>96.763998072248242</v>
      </c>
      <c r="D84" s="255">
        <v>0</v>
      </c>
      <c r="E84" s="255">
        <v>-3.3943352610850894</v>
      </c>
      <c r="F84" s="255">
        <v>98.305666666666667</v>
      </c>
      <c r="G84" s="255">
        <v>1.8526666666666667</v>
      </c>
    </row>
    <row r="85" spans="1:7" x14ac:dyDescent="0.3">
      <c r="A85" s="138" t="s">
        <v>90</v>
      </c>
      <c r="B85" s="255">
        <v>678.06</v>
      </c>
      <c r="C85" s="255">
        <v>329.65999315607382</v>
      </c>
      <c r="D85" s="255">
        <v>0</v>
      </c>
      <c r="E85" s="255">
        <v>27.485743156073831</v>
      </c>
      <c r="F85" s="255">
        <v>295.99266666666665</v>
      </c>
      <c r="G85" s="255">
        <v>6.1815833333333323</v>
      </c>
    </row>
    <row r="86" spans="1:7" x14ac:dyDescent="0.3">
      <c r="A86" s="139" t="s">
        <v>91</v>
      </c>
      <c r="B86" s="255">
        <v>135.97</v>
      </c>
      <c r="C86" s="255">
        <v>132.25813868062571</v>
      </c>
      <c r="D86" s="255">
        <v>0</v>
      </c>
      <c r="E86" s="255">
        <v>32.112055347292369</v>
      </c>
      <c r="F86" s="255">
        <v>97.956833333333336</v>
      </c>
      <c r="G86" s="255">
        <v>2.1892499999999999</v>
      </c>
    </row>
    <row r="87" spans="1:7" x14ac:dyDescent="0.3">
      <c r="A87" s="139" t="s">
        <v>92</v>
      </c>
      <c r="B87" s="255">
        <v>149.9</v>
      </c>
      <c r="C87" s="255">
        <v>98.489217391082263</v>
      </c>
      <c r="D87" s="255">
        <v>0</v>
      </c>
      <c r="E87" s="255">
        <v>-2.2116159422510706</v>
      </c>
      <c r="F87" s="255">
        <v>98.590333333333334</v>
      </c>
      <c r="G87" s="255">
        <v>2.1105</v>
      </c>
    </row>
    <row r="88" spans="1:7" x14ac:dyDescent="0.3">
      <c r="A88" s="139" t="s">
        <v>93</v>
      </c>
      <c r="B88" s="255">
        <v>392.19</v>
      </c>
      <c r="C88" s="255">
        <v>98.912637084365855</v>
      </c>
      <c r="D88" s="255">
        <v>0</v>
      </c>
      <c r="E88" s="255">
        <v>-2.4146962489674664</v>
      </c>
      <c r="F88" s="255">
        <v>99.445499999999996</v>
      </c>
      <c r="G88" s="255">
        <v>1.8818333333333332</v>
      </c>
    </row>
    <row r="89" spans="1:7" x14ac:dyDescent="0.3">
      <c r="A89" s="7" t="s">
        <v>38</v>
      </c>
      <c r="B89" s="255">
        <v>1596.5200000000002</v>
      </c>
      <c r="C89" s="255">
        <v>983.26322452483339</v>
      </c>
      <c r="D89" s="255">
        <v>-28.750776624174328</v>
      </c>
      <c r="E89" s="255">
        <v>-268.255665517659</v>
      </c>
      <c r="F89" s="255">
        <v>1261.7896666666668</v>
      </c>
      <c r="G89" s="255">
        <v>18.48</v>
      </c>
    </row>
    <row r="90" spans="1:7" x14ac:dyDescent="0.3">
      <c r="A90" s="138" t="s">
        <v>79</v>
      </c>
      <c r="B90" s="255">
        <v>358.59000000000003</v>
      </c>
      <c r="C90" s="255">
        <v>171.82019134764528</v>
      </c>
      <c r="D90" s="255">
        <v>-28.750776624174328</v>
      </c>
      <c r="E90" s="255">
        <v>-119.61894869484706</v>
      </c>
      <c r="F90" s="255">
        <v>315.13066666666668</v>
      </c>
      <c r="G90" s="255">
        <v>5.0592500000000005</v>
      </c>
    </row>
    <row r="91" spans="1:7" x14ac:dyDescent="0.3">
      <c r="A91" s="139" t="s">
        <v>80</v>
      </c>
      <c r="B91" s="255">
        <v>154.65</v>
      </c>
      <c r="C91" s="255">
        <v>27.961493757396696</v>
      </c>
      <c r="D91" s="255">
        <v>0</v>
      </c>
      <c r="E91" s="255">
        <v>-77.128339575936636</v>
      </c>
      <c r="F91" s="255">
        <v>104.3245</v>
      </c>
      <c r="G91" s="255">
        <v>0.76533333333333331</v>
      </c>
    </row>
    <row r="92" spans="1:7" x14ac:dyDescent="0.3">
      <c r="A92" s="139" t="s">
        <v>81</v>
      </c>
      <c r="B92" s="255">
        <v>133.93</v>
      </c>
      <c r="C92" s="255">
        <v>33.083663655266193</v>
      </c>
      <c r="D92" s="255">
        <v>-28.750776624174328</v>
      </c>
      <c r="E92" s="255">
        <v>-45.749726387226147</v>
      </c>
      <c r="F92" s="255">
        <v>105.16333333333334</v>
      </c>
      <c r="G92" s="255">
        <v>2.4208333333333334</v>
      </c>
    </row>
    <row r="93" spans="1:7" x14ac:dyDescent="0.3">
      <c r="A93" s="139" t="s">
        <v>82</v>
      </c>
      <c r="B93" s="255">
        <v>70.010000000000005</v>
      </c>
      <c r="C93" s="255">
        <v>110.77503393498237</v>
      </c>
      <c r="D93" s="255">
        <v>0</v>
      </c>
      <c r="E93" s="255">
        <v>3.2591172683157255</v>
      </c>
      <c r="F93" s="255">
        <v>105.64283333333333</v>
      </c>
      <c r="G93" s="255">
        <v>1.8730833333333334</v>
      </c>
    </row>
    <row r="94" spans="1:7" x14ac:dyDescent="0.3">
      <c r="A94" s="138" t="s">
        <v>83</v>
      </c>
      <c r="B94" s="255">
        <v>280.48</v>
      </c>
      <c r="C94" s="255">
        <v>269.75982641764483</v>
      </c>
      <c r="D94" s="255">
        <v>0</v>
      </c>
      <c r="E94" s="255">
        <v>-49.654256915688521</v>
      </c>
      <c r="F94" s="255">
        <v>314.78066666666666</v>
      </c>
      <c r="G94" s="255">
        <v>4.6334166666666672</v>
      </c>
    </row>
    <row r="95" spans="1:7" x14ac:dyDescent="0.3">
      <c r="A95" s="139" t="s">
        <v>84</v>
      </c>
      <c r="B95" s="255">
        <v>115.9</v>
      </c>
      <c r="C95" s="255">
        <v>80.912708513852891</v>
      </c>
      <c r="D95" s="255">
        <v>0</v>
      </c>
      <c r="E95" s="255">
        <v>-25.497208152813776</v>
      </c>
      <c r="F95" s="255">
        <v>105.04899999999999</v>
      </c>
      <c r="G95" s="255">
        <v>1.3609166666666668</v>
      </c>
    </row>
    <row r="96" spans="1:7" x14ac:dyDescent="0.3">
      <c r="A96" s="139" t="s">
        <v>85</v>
      </c>
      <c r="B96" s="255">
        <v>61.55</v>
      </c>
      <c r="C96" s="255">
        <v>85.431366503635289</v>
      </c>
      <c r="D96" s="255">
        <v>0</v>
      </c>
      <c r="E96" s="255">
        <v>-21.125550163031374</v>
      </c>
      <c r="F96" s="255">
        <v>105.22983333333333</v>
      </c>
      <c r="G96" s="255">
        <v>1.3270833333333334</v>
      </c>
    </row>
    <row r="97" spans="1:7" x14ac:dyDescent="0.3">
      <c r="A97" s="139" t="s">
        <v>86</v>
      </c>
      <c r="B97" s="255">
        <v>103.03</v>
      </c>
      <c r="C97" s="255">
        <v>103.41575140015662</v>
      </c>
      <c r="D97" s="255">
        <v>0</v>
      </c>
      <c r="E97" s="255">
        <v>-3.0314985998433714</v>
      </c>
      <c r="F97" s="255">
        <v>104.50183333333332</v>
      </c>
      <c r="G97" s="255">
        <v>1.9454166666666666</v>
      </c>
    </row>
    <row r="98" spans="1:7" x14ac:dyDescent="0.3">
      <c r="A98" s="138" t="s">
        <v>87</v>
      </c>
      <c r="B98" s="255">
        <v>390.81</v>
      </c>
      <c r="C98" s="255">
        <v>300.16207472139621</v>
      </c>
      <c r="D98" s="255">
        <v>0</v>
      </c>
      <c r="E98" s="255">
        <v>-18.797008611937137</v>
      </c>
      <c r="F98" s="255">
        <v>314.29300000000001</v>
      </c>
      <c r="G98" s="255">
        <v>4.6660833333333329</v>
      </c>
    </row>
    <row r="99" spans="1:7" x14ac:dyDescent="0.3">
      <c r="A99" s="139" t="s">
        <v>88</v>
      </c>
      <c r="B99" s="255">
        <v>145.36000000000001</v>
      </c>
      <c r="C99" s="255">
        <v>139.61882862020875</v>
      </c>
      <c r="D99" s="255">
        <v>0</v>
      </c>
      <c r="E99" s="255">
        <v>33.294078620208751</v>
      </c>
      <c r="F99" s="255">
        <v>104.47733333333333</v>
      </c>
      <c r="G99" s="255">
        <v>1.8474166666666667</v>
      </c>
    </row>
    <row r="100" spans="1:7" x14ac:dyDescent="0.3">
      <c r="A100" s="139" t="s">
        <v>89</v>
      </c>
      <c r="B100" s="255">
        <v>75.06</v>
      </c>
      <c r="C100" s="255">
        <v>54.63022136187751</v>
      </c>
      <c r="D100" s="255">
        <v>0</v>
      </c>
      <c r="E100" s="255">
        <v>-51.849695304789172</v>
      </c>
      <c r="F100" s="255">
        <v>105.15866666666668</v>
      </c>
      <c r="G100" s="255">
        <v>1.32125</v>
      </c>
    </row>
    <row r="101" spans="1:7" x14ac:dyDescent="0.3">
      <c r="A101" s="139" t="s">
        <v>169</v>
      </c>
      <c r="B101" s="255">
        <v>170.39</v>
      </c>
      <c r="C101" s="255">
        <v>105.91302473930995</v>
      </c>
      <c r="D101" s="255">
        <v>0</v>
      </c>
      <c r="E101" s="255">
        <v>-0.24139192735671677</v>
      </c>
      <c r="F101" s="255">
        <v>104.657</v>
      </c>
      <c r="G101" s="255">
        <v>1.4974166666666666</v>
      </c>
    </row>
    <row r="102" spans="1:7" x14ac:dyDescent="0.3">
      <c r="A102" s="138" t="s">
        <v>90</v>
      </c>
      <c r="B102" s="255">
        <v>566.64</v>
      </c>
      <c r="C102" s="255">
        <v>241.52113203814707</v>
      </c>
      <c r="D102" s="255">
        <v>0</v>
      </c>
      <c r="E102" s="255">
        <v>-80.185451295186283</v>
      </c>
      <c r="F102" s="255">
        <v>317.58533333333332</v>
      </c>
      <c r="G102" s="255">
        <v>4.1212499999999999</v>
      </c>
    </row>
    <row r="103" spans="1:7" x14ac:dyDescent="0.3">
      <c r="A103" s="139" t="s">
        <v>91</v>
      </c>
      <c r="B103" s="255">
        <v>135.01</v>
      </c>
      <c r="C103" s="255">
        <v>114.76419924485238</v>
      </c>
      <c r="D103" s="255">
        <v>0</v>
      </c>
      <c r="E103" s="255">
        <v>7.8129492448523772</v>
      </c>
      <c r="F103" s="255">
        <v>105.7525</v>
      </c>
      <c r="G103" s="255">
        <v>1.19875</v>
      </c>
    </row>
    <row r="104" spans="1:7" x14ac:dyDescent="0.3">
      <c r="A104" s="139" t="s">
        <v>92</v>
      </c>
      <c r="B104" s="255">
        <v>67.39</v>
      </c>
      <c r="C104" s="255">
        <v>17.710973909026634</v>
      </c>
      <c r="D104" s="255">
        <v>0</v>
      </c>
      <c r="E104" s="255">
        <v>-89.711026090973363</v>
      </c>
      <c r="F104" s="255">
        <v>106.24016666666667</v>
      </c>
      <c r="G104" s="255">
        <v>1.1818333333333333</v>
      </c>
    </row>
    <row r="105" spans="1:7" x14ac:dyDescent="0.3">
      <c r="A105" s="139" t="s">
        <v>93</v>
      </c>
      <c r="B105" s="255">
        <v>364.24</v>
      </c>
      <c r="C105" s="255">
        <v>109.04595888426805</v>
      </c>
      <c r="D105" s="255">
        <v>0</v>
      </c>
      <c r="E105" s="255">
        <v>1.7126255509347081</v>
      </c>
      <c r="F105" s="255">
        <v>105.59266666666667</v>
      </c>
      <c r="G105" s="255">
        <v>1.7406666666666666</v>
      </c>
    </row>
    <row r="106" spans="1:7" x14ac:dyDescent="0.3">
      <c r="A106" s="7" t="s">
        <v>39</v>
      </c>
      <c r="B106" s="255">
        <v>2081.2600000000002</v>
      </c>
      <c r="C106" s="255">
        <v>1432.4663754317785</v>
      </c>
      <c r="D106" s="255">
        <v>-3.3983148543882677</v>
      </c>
      <c r="E106" s="255">
        <v>77.165856952833195</v>
      </c>
      <c r="F106" s="255">
        <v>1341.1381666666666</v>
      </c>
      <c r="G106" s="255">
        <v>17.56066666666667</v>
      </c>
    </row>
    <row r="107" spans="1:7" x14ac:dyDescent="0.3">
      <c r="A107" s="138" t="s">
        <v>79</v>
      </c>
      <c r="B107" s="255">
        <v>762.65</v>
      </c>
      <c r="C107" s="255">
        <v>319.01346227498362</v>
      </c>
      <c r="D107" s="255">
        <v>-3.3983148543882677</v>
      </c>
      <c r="E107" s="255">
        <v>-24.040389537294793</v>
      </c>
      <c r="F107" s="255">
        <v>341.87650000000002</v>
      </c>
      <c r="G107" s="255">
        <v>4.5756666666666668</v>
      </c>
    </row>
    <row r="108" spans="1:7" x14ac:dyDescent="0.3">
      <c r="A108" s="139" t="s">
        <v>80</v>
      </c>
      <c r="B108" s="255">
        <v>734.93</v>
      </c>
      <c r="C108" s="255">
        <v>81.861812453672073</v>
      </c>
      <c r="D108" s="255">
        <v>-3.3983148543882677</v>
      </c>
      <c r="E108" s="255">
        <v>-25.226122691939665</v>
      </c>
      <c r="F108" s="255">
        <v>109.90349999999999</v>
      </c>
      <c r="G108" s="255">
        <v>0.5827500000000001</v>
      </c>
    </row>
    <row r="109" spans="1:7" x14ac:dyDescent="0.3">
      <c r="A109" s="139" t="s">
        <v>81</v>
      </c>
      <c r="B109" s="255">
        <v>0</v>
      </c>
      <c r="C109" s="255">
        <v>121.82349125186852</v>
      </c>
      <c r="D109" s="255">
        <v>0</v>
      </c>
      <c r="E109" s="255">
        <v>-0.59834208146481915</v>
      </c>
      <c r="F109" s="255">
        <v>120.32066666666667</v>
      </c>
      <c r="G109" s="255">
        <v>2.1011666666666664</v>
      </c>
    </row>
    <row r="110" spans="1:7" x14ac:dyDescent="0.3">
      <c r="A110" s="139" t="s">
        <v>82</v>
      </c>
      <c r="B110" s="255">
        <v>27.72</v>
      </c>
      <c r="C110" s="255">
        <v>115.32815856944303</v>
      </c>
      <c r="D110" s="255">
        <v>0</v>
      </c>
      <c r="E110" s="255">
        <v>1.784075236109691</v>
      </c>
      <c r="F110" s="255">
        <v>111.65233333333335</v>
      </c>
      <c r="G110" s="255">
        <v>1.8917499999999998</v>
      </c>
    </row>
    <row r="111" spans="1:7" x14ac:dyDescent="0.3">
      <c r="A111" s="138" t="s">
        <v>83</v>
      </c>
      <c r="B111" s="255">
        <v>382.36</v>
      </c>
      <c r="C111" s="255">
        <v>385.17282170492683</v>
      </c>
      <c r="D111" s="255">
        <v>0</v>
      </c>
      <c r="E111" s="255">
        <v>48.340988371593468</v>
      </c>
      <c r="F111" s="255">
        <v>332.58983333333333</v>
      </c>
      <c r="G111" s="255">
        <v>4.242</v>
      </c>
    </row>
    <row r="112" spans="1:7" x14ac:dyDescent="0.3">
      <c r="A112" s="139" t="s">
        <v>84</v>
      </c>
      <c r="B112" s="255">
        <v>211.26</v>
      </c>
      <c r="C112" s="255">
        <v>134.3110781923524</v>
      </c>
      <c r="D112" s="255">
        <v>0</v>
      </c>
      <c r="E112" s="255">
        <v>22.523994859019055</v>
      </c>
      <c r="F112" s="255">
        <v>110.2535</v>
      </c>
      <c r="G112" s="255">
        <v>1.5335833333333333</v>
      </c>
    </row>
    <row r="113" spans="1:7" x14ac:dyDescent="0.3">
      <c r="A113" s="139" t="s">
        <v>85</v>
      </c>
      <c r="B113" s="255">
        <v>19.68</v>
      </c>
      <c r="C113" s="255">
        <v>110.58062407200539</v>
      </c>
      <c r="D113" s="255">
        <v>0</v>
      </c>
      <c r="E113" s="255">
        <v>-2.2932092613279473</v>
      </c>
      <c r="F113" s="255">
        <v>111.937</v>
      </c>
      <c r="G113" s="255">
        <v>0.9368333333333333</v>
      </c>
    </row>
    <row r="114" spans="1:7" x14ac:dyDescent="0.3">
      <c r="A114" s="139" t="s">
        <v>86</v>
      </c>
      <c r="B114" s="255">
        <v>151.41999999999999</v>
      </c>
      <c r="C114" s="255">
        <v>140.28111944056903</v>
      </c>
      <c r="D114" s="255">
        <v>0</v>
      </c>
      <c r="E114" s="255">
        <v>28.110202773902365</v>
      </c>
      <c r="F114" s="255">
        <v>110.39933333333333</v>
      </c>
      <c r="G114" s="255">
        <v>1.7715833333333333</v>
      </c>
    </row>
    <row r="115" spans="1:7" x14ac:dyDescent="0.3">
      <c r="A115" s="138" t="s">
        <v>87</v>
      </c>
      <c r="B115" s="255">
        <v>375.78999999999996</v>
      </c>
      <c r="C115" s="255">
        <v>382.43525122765334</v>
      </c>
      <c r="D115" s="255">
        <v>0</v>
      </c>
      <c r="E115" s="255">
        <v>45.974417894320062</v>
      </c>
      <c r="F115" s="255">
        <v>332.87683333333337</v>
      </c>
      <c r="G115" s="255">
        <v>3.5839999999999996</v>
      </c>
    </row>
    <row r="116" spans="1:7" x14ac:dyDescent="0.3">
      <c r="A116" s="139" t="s">
        <v>88</v>
      </c>
      <c r="B116" s="255">
        <v>93.37</v>
      </c>
      <c r="C116" s="255">
        <v>150.98568549569944</v>
      </c>
      <c r="D116" s="255">
        <v>0</v>
      </c>
      <c r="E116" s="255">
        <v>38.835768829032787</v>
      </c>
      <c r="F116" s="255">
        <v>111.083</v>
      </c>
      <c r="G116" s="255">
        <v>1.0669166666666667</v>
      </c>
    </row>
    <row r="117" spans="1:7" x14ac:dyDescent="0.3">
      <c r="A117" s="139" t="s">
        <v>89</v>
      </c>
      <c r="B117" s="255">
        <v>123.88</v>
      </c>
      <c r="C117" s="255">
        <v>119.11985869521801</v>
      </c>
      <c r="D117" s="255">
        <v>0</v>
      </c>
      <c r="E117" s="255">
        <v>7.1741086952180151</v>
      </c>
      <c r="F117" s="255">
        <v>110.78783333333334</v>
      </c>
      <c r="G117" s="255">
        <v>1.1579166666666665</v>
      </c>
    </row>
    <row r="118" spans="1:7" x14ac:dyDescent="0.3">
      <c r="A118" s="139" t="s">
        <v>169</v>
      </c>
      <c r="B118" s="255">
        <v>158.54</v>
      </c>
      <c r="C118" s="255">
        <v>112.32970703673593</v>
      </c>
      <c r="D118" s="255">
        <v>0</v>
      </c>
      <c r="E118" s="255">
        <v>-3.5459629930742413E-2</v>
      </c>
      <c r="F118" s="255">
        <v>111.006</v>
      </c>
      <c r="G118" s="255">
        <v>1.3591666666666666</v>
      </c>
    </row>
    <row r="119" spans="1:7" x14ac:dyDescent="0.3">
      <c r="A119" s="138" t="s">
        <v>90</v>
      </c>
      <c r="B119" s="255">
        <v>560.46</v>
      </c>
      <c r="C119" s="255">
        <v>345.84484022421447</v>
      </c>
      <c r="D119" s="255">
        <v>0</v>
      </c>
      <c r="E119" s="255">
        <v>6.8908402242144655</v>
      </c>
      <c r="F119" s="255">
        <v>333.79500000000002</v>
      </c>
      <c r="G119" s="255">
        <v>5.1589999999999998</v>
      </c>
    </row>
    <row r="120" spans="1:7" x14ac:dyDescent="0.3">
      <c r="A120" s="139" t="s">
        <v>91</v>
      </c>
      <c r="B120" s="255">
        <v>35.01</v>
      </c>
      <c r="C120" s="255">
        <v>118.79423415307782</v>
      </c>
      <c r="D120" s="255">
        <v>0</v>
      </c>
      <c r="E120" s="255">
        <v>5.8008174864111508</v>
      </c>
      <c r="F120" s="255">
        <v>111.79816666666667</v>
      </c>
      <c r="G120" s="255">
        <v>1.1952500000000001</v>
      </c>
    </row>
    <row r="121" spans="1:7" x14ac:dyDescent="0.3">
      <c r="A121" s="139" t="s">
        <v>92</v>
      </c>
      <c r="B121" s="255">
        <v>168.13</v>
      </c>
      <c r="C121" s="255">
        <v>111.30309648223799</v>
      </c>
      <c r="D121" s="255">
        <v>0</v>
      </c>
      <c r="E121" s="255">
        <v>-1.2919035177620206</v>
      </c>
      <c r="F121" s="255">
        <v>110.51833333333335</v>
      </c>
      <c r="G121" s="255">
        <v>2.0766666666666667</v>
      </c>
    </row>
    <row r="122" spans="1:7" x14ac:dyDescent="0.3">
      <c r="A122" s="139" t="s">
        <v>93</v>
      </c>
      <c r="B122" s="255">
        <v>357.32</v>
      </c>
      <c r="C122" s="255">
        <v>115.74750958889867</v>
      </c>
      <c r="D122" s="255">
        <v>0</v>
      </c>
      <c r="E122" s="255">
        <v>2.3819262555653351</v>
      </c>
      <c r="F122" s="255">
        <v>111.4785</v>
      </c>
      <c r="G122" s="255">
        <v>1.8870833333333332</v>
      </c>
    </row>
    <row r="123" spans="1:7" x14ac:dyDescent="0.3">
      <c r="A123" s="7" t="s">
        <v>40</v>
      </c>
      <c r="B123" s="255">
        <v>2090.8199999999997</v>
      </c>
      <c r="C123" s="255">
        <v>1327.128904349544</v>
      </c>
      <c r="D123" s="255">
        <v>-102.33369976153308</v>
      </c>
      <c r="E123" s="255">
        <v>24.018354111077116</v>
      </c>
      <c r="F123" s="255">
        <v>1381.2691666666667</v>
      </c>
      <c r="G123" s="255">
        <v>24.175083333333333</v>
      </c>
    </row>
    <row r="124" spans="1:7" x14ac:dyDescent="0.3">
      <c r="A124" s="138" t="s">
        <v>79</v>
      </c>
      <c r="B124" s="255">
        <v>486.46</v>
      </c>
      <c r="C124" s="255">
        <v>245.05144130052446</v>
      </c>
      <c r="D124" s="255">
        <v>-102.33369976153308</v>
      </c>
      <c r="E124" s="255">
        <v>-6.6596922712758051</v>
      </c>
      <c r="F124" s="255">
        <v>348.93600000000004</v>
      </c>
      <c r="G124" s="255">
        <v>5.1088333333333331</v>
      </c>
    </row>
    <row r="125" spans="1:7" x14ac:dyDescent="0.3">
      <c r="A125" s="139" t="s">
        <v>80</v>
      </c>
      <c r="B125" s="255">
        <v>0</v>
      </c>
      <c r="C125" s="255">
        <v>112.20842298558038</v>
      </c>
      <c r="D125" s="255">
        <v>0</v>
      </c>
      <c r="E125" s="255">
        <v>-4.227243681086275</v>
      </c>
      <c r="F125" s="255">
        <v>115.57583333333334</v>
      </c>
      <c r="G125" s="255">
        <v>0.85983333333333334</v>
      </c>
    </row>
    <row r="126" spans="1:7" x14ac:dyDescent="0.3">
      <c r="A126" s="139" t="s">
        <v>81</v>
      </c>
      <c r="B126" s="255">
        <v>486.46</v>
      </c>
      <c r="C126" s="255">
        <v>8.5952442471057093</v>
      </c>
      <c r="D126" s="255">
        <v>-102.33369976153308</v>
      </c>
      <c r="E126" s="255">
        <v>-5.2162226580278759</v>
      </c>
      <c r="F126" s="255">
        <v>113.57266666666666</v>
      </c>
      <c r="G126" s="255">
        <v>2.5724999999999998</v>
      </c>
    </row>
    <row r="127" spans="1:7" x14ac:dyDescent="0.3">
      <c r="A127" s="139" t="s">
        <v>82</v>
      </c>
      <c r="B127" s="255">
        <v>0</v>
      </c>
      <c r="C127" s="255">
        <v>124.24777406783835</v>
      </c>
      <c r="D127" s="255">
        <v>0</v>
      </c>
      <c r="E127" s="255">
        <v>2.7837740678383454</v>
      </c>
      <c r="F127" s="255">
        <v>119.78749999999999</v>
      </c>
      <c r="G127" s="255">
        <v>1.6765000000000001</v>
      </c>
    </row>
    <row r="128" spans="1:7" x14ac:dyDescent="0.3">
      <c r="A128" s="138" t="s">
        <v>83</v>
      </c>
      <c r="B128" s="255">
        <v>677.34</v>
      </c>
      <c r="C128" s="255">
        <v>353.97813718696955</v>
      </c>
      <c r="D128" s="255">
        <v>0</v>
      </c>
      <c r="E128" s="255">
        <v>5.2713871869695694</v>
      </c>
      <c r="F128" s="255">
        <v>338.32866666666666</v>
      </c>
      <c r="G128" s="255">
        <v>10.378083333333334</v>
      </c>
    </row>
    <row r="129" spans="1:7" x14ac:dyDescent="0.3">
      <c r="A129" s="139" t="s">
        <v>84</v>
      </c>
      <c r="B129" s="255">
        <v>139.74</v>
      </c>
      <c r="C129" s="255">
        <v>123.56861311511715</v>
      </c>
      <c r="D129" s="255">
        <v>0</v>
      </c>
      <c r="E129" s="255">
        <v>8.9791964484504749</v>
      </c>
      <c r="F129" s="255">
        <v>110.55216666666666</v>
      </c>
      <c r="G129" s="255">
        <v>4.0372500000000002</v>
      </c>
    </row>
    <row r="130" spans="1:7" x14ac:dyDescent="0.3">
      <c r="A130" s="139" t="s">
        <v>85</v>
      </c>
      <c r="B130" s="255">
        <v>452.99</v>
      </c>
      <c r="C130" s="255">
        <v>112.56904143622573</v>
      </c>
      <c r="D130" s="255">
        <v>0</v>
      </c>
      <c r="E130" s="255">
        <v>-3.0662918971075848</v>
      </c>
      <c r="F130" s="255">
        <v>111.03866666666666</v>
      </c>
      <c r="G130" s="255">
        <v>4.5966666666666667</v>
      </c>
    </row>
    <row r="131" spans="1:7" x14ac:dyDescent="0.3">
      <c r="A131" s="139" t="s">
        <v>86</v>
      </c>
      <c r="B131" s="255">
        <v>84.61</v>
      </c>
      <c r="C131" s="255">
        <v>117.84048263562669</v>
      </c>
      <c r="D131" s="255">
        <v>0</v>
      </c>
      <c r="E131" s="255">
        <v>-0.64151736437332152</v>
      </c>
      <c r="F131" s="255">
        <v>116.73783333333334</v>
      </c>
      <c r="G131" s="255">
        <v>1.7441666666666669</v>
      </c>
    </row>
    <row r="132" spans="1:7" x14ac:dyDescent="0.3">
      <c r="A132" s="138" t="s">
        <v>87</v>
      </c>
      <c r="B132" s="255">
        <v>289.79000000000002</v>
      </c>
      <c r="C132" s="255">
        <v>362.95207247363936</v>
      </c>
      <c r="D132" s="255">
        <v>0</v>
      </c>
      <c r="E132" s="255">
        <v>11.660572473639363</v>
      </c>
      <c r="F132" s="255">
        <v>347.33416666666665</v>
      </c>
      <c r="G132" s="255">
        <v>3.9573333333333331</v>
      </c>
    </row>
    <row r="133" spans="1:7" x14ac:dyDescent="0.3">
      <c r="A133" s="139" t="s">
        <v>88</v>
      </c>
      <c r="B133" s="255">
        <v>51.17</v>
      </c>
      <c r="C133" s="255">
        <v>130.11919282312948</v>
      </c>
      <c r="D133" s="255">
        <v>0</v>
      </c>
      <c r="E133" s="255">
        <v>12.86569282312948</v>
      </c>
      <c r="F133" s="255">
        <v>116.20233333333334</v>
      </c>
      <c r="G133" s="255">
        <v>1.0511666666666666</v>
      </c>
    </row>
    <row r="134" spans="1:7" x14ac:dyDescent="0.3">
      <c r="A134" s="139" t="s">
        <v>89</v>
      </c>
      <c r="B134" s="255">
        <v>168.81</v>
      </c>
      <c r="C134" s="255">
        <v>115.94712082469229</v>
      </c>
      <c r="D134" s="255">
        <v>0</v>
      </c>
      <c r="E134" s="255">
        <v>-0.90854584197437838</v>
      </c>
      <c r="F134" s="255">
        <v>115.1185</v>
      </c>
      <c r="G134" s="255">
        <v>1.7371666666666667</v>
      </c>
    </row>
    <row r="135" spans="1:7" x14ac:dyDescent="0.3">
      <c r="A135" s="139" t="s">
        <v>169</v>
      </c>
      <c r="B135" s="255">
        <v>69.81</v>
      </c>
      <c r="C135" s="255">
        <v>116.88575882581759</v>
      </c>
      <c r="D135" s="255">
        <v>0</v>
      </c>
      <c r="E135" s="255">
        <v>-0.29657450751574016</v>
      </c>
      <c r="F135" s="255">
        <v>116.01333333333334</v>
      </c>
      <c r="G135" s="255">
        <v>1.169</v>
      </c>
    </row>
    <row r="136" spans="1:7" x14ac:dyDescent="0.3">
      <c r="A136" s="138" t="s">
        <v>90</v>
      </c>
      <c r="B136" s="255">
        <v>637.23</v>
      </c>
      <c r="C136" s="255">
        <v>365.14725338841066</v>
      </c>
      <c r="D136" s="255">
        <v>0</v>
      </c>
      <c r="E136" s="255">
        <v>13.746086721743993</v>
      </c>
      <c r="F136" s="255">
        <v>346.67033333333336</v>
      </c>
      <c r="G136" s="255">
        <v>4.730833333333333</v>
      </c>
    </row>
    <row r="137" spans="1:7" x14ac:dyDescent="0.3">
      <c r="A137" s="139" t="s">
        <v>91</v>
      </c>
      <c r="B137" s="255">
        <v>100.89</v>
      </c>
      <c r="C137" s="255">
        <v>133.07567539494173</v>
      </c>
      <c r="D137" s="255">
        <v>0</v>
      </c>
      <c r="E137" s="255">
        <v>16.548425394941717</v>
      </c>
      <c r="F137" s="255">
        <v>115.24333333333334</v>
      </c>
      <c r="G137" s="255">
        <v>1.2839166666666666</v>
      </c>
    </row>
    <row r="138" spans="1:7" x14ac:dyDescent="0.3">
      <c r="A138" s="139" t="s">
        <v>92</v>
      </c>
      <c r="B138" s="255">
        <v>200.12</v>
      </c>
      <c r="C138" s="255">
        <v>115.17535484846499</v>
      </c>
      <c r="D138" s="255">
        <v>0</v>
      </c>
      <c r="E138" s="255">
        <v>-1.5840618182016755</v>
      </c>
      <c r="F138" s="255">
        <v>115.00416666666666</v>
      </c>
      <c r="G138" s="255">
        <v>1.75525</v>
      </c>
    </row>
    <row r="139" spans="1:7" x14ac:dyDescent="0.3">
      <c r="A139" s="139" t="s">
        <v>93</v>
      </c>
      <c r="B139" s="255">
        <v>336.22</v>
      </c>
      <c r="C139" s="255">
        <v>116.89622314500394</v>
      </c>
      <c r="D139" s="255">
        <v>0</v>
      </c>
      <c r="E139" s="255">
        <v>-1.2182768549960477</v>
      </c>
      <c r="F139" s="255">
        <v>116.42283333333333</v>
      </c>
      <c r="G139" s="255">
        <v>1.6916666666666667</v>
      </c>
    </row>
    <row r="140" spans="1:7" x14ac:dyDescent="0.3">
      <c r="A140" s="7" t="s">
        <v>41</v>
      </c>
      <c r="B140" s="255">
        <v>1780.75</v>
      </c>
      <c r="C140" s="255">
        <v>1372.8325426262636</v>
      </c>
      <c r="D140" s="255">
        <v>-70.639584387670567</v>
      </c>
      <c r="E140" s="255">
        <v>-89.074207871995853</v>
      </c>
      <c r="F140" s="255">
        <v>1478.5761666666667</v>
      </c>
      <c r="G140" s="255">
        <v>17.521000000000001</v>
      </c>
    </row>
    <row r="141" spans="1:7" x14ac:dyDescent="0.3">
      <c r="A141" s="138" t="s">
        <v>79</v>
      </c>
      <c r="B141" s="255">
        <v>677.83</v>
      </c>
      <c r="C141" s="255">
        <v>304.79901621321392</v>
      </c>
      <c r="D141" s="255">
        <v>-70.639584387670567</v>
      </c>
      <c r="E141" s="255">
        <v>-4.7057327324488938</v>
      </c>
      <c r="F141" s="255">
        <v>375.14866666666671</v>
      </c>
      <c r="G141" s="255">
        <v>4.9956666666666667</v>
      </c>
    </row>
    <row r="142" spans="1:7" x14ac:dyDescent="0.3">
      <c r="A142" s="139" t="s">
        <v>80</v>
      </c>
      <c r="B142" s="255">
        <v>619.82000000000005</v>
      </c>
      <c r="C142" s="255">
        <v>116.84350637273756</v>
      </c>
      <c r="D142" s="255">
        <v>0</v>
      </c>
      <c r="E142" s="255">
        <v>-4.5714936272624414</v>
      </c>
      <c r="F142" s="255">
        <v>120.08616666666667</v>
      </c>
      <c r="G142" s="255">
        <v>1.3288333333333333</v>
      </c>
    </row>
    <row r="143" spans="1:7" x14ac:dyDescent="0.3">
      <c r="A143" s="139" t="s">
        <v>81</v>
      </c>
      <c r="B143" s="255">
        <v>22.36</v>
      </c>
      <c r="C143" s="255">
        <v>56.178992711441765</v>
      </c>
      <c r="D143" s="255">
        <v>-70.639584387670567</v>
      </c>
      <c r="E143" s="255">
        <v>-3.3790895675543289</v>
      </c>
      <c r="F143" s="255">
        <v>128.41499999999999</v>
      </c>
      <c r="G143" s="255">
        <v>1.7826666666666666</v>
      </c>
    </row>
    <row r="144" spans="1:7" x14ac:dyDescent="0.3">
      <c r="A144" s="139" t="s">
        <v>82</v>
      </c>
      <c r="B144" s="255">
        <v>35.65</v>
      </c>
      <c r="C144" s="255">
        <v>131.77651712903454</v>
      </c>
      <c r="D144" s="255">
        <v>0</v>
      </c>
      <c r="E144" s="255">
        <v>3.2448504623678773</v>
      </c>
      <c r="F144" s="255">
        <v>126.64750000000001</v>
      </c>
      <c r="G144" s="255">
        <v>1.8841666666666665</v>
      </c>
    </row>
    <row r="145" spans="1:7" x14ac:dyDescent="0.3">
      <c r="A145" s="138" t="s">
        <v>83</v>
      </c>
      <c r="B145" s="255">
        <v>220.64</v>
      </c>
      <c r="C145" s="255">
        <v>429.83669861403712</v>
      </c>
      <c r="D145" s="255">
        <v>0</v>
      </c>
      <c r="E145" s="255">
        <v>27.662258190354294</v>
      </c>
      <c r="F145" s="255">
        <v>372.96816666666666</v>
      </c>
      <c r="G145" s="255">
        <v>4.0564999999999998</v>
      </c>
    </row>
    <row r="146" spans="1:7" x14ac:dyDescent="0.3">
      <c r="A146" s="139" t="s">
        <v>84</v>
      </c>
      <c r="B146" s="255">
        <v>48.48</v>
      </c>
      <c r="C146" s="255">
        <v>159.63275662798156</v>
      </c>
      <c r="D146" s="255">
        <v>0</v>
      </c>
      <c r="E146" s="255">
        <v>30.243989498947002</v>
      </c>
      <c r="F146" s="255">
        <v>125.13083333333334</v>
      </c>
      <c r="G146" s="255">
        <v>1.4029166666666666</v>
      </c>
    </row>
    <row r="147" spans="1:7" x14ac:dyDescent="0.3">
      <c r="A147" s="139" t="s">
        <v>85</v>
      </c>
      <c r="B147" s="255">
        <v>131.69</v>
      </c>
      <c r="C147" s="255">
        <v>146.10984752380875</v>
      </c>
      <c r="D147" s="255">
        <v>0</v>
      </c>
      <c r="E147" s="255">
        <v>-1.3979924375061672</v>
      </c>
      <c r="F147" s="255">
        <v>123.85333333333332</v>
      </c>
      <c r="G147" s="255">
        <v>1.3597499999999998</v>
      </c>
    </row>
    <row r="148" spans="1:7" x14ac:dyDescent="0.3">
      <c r="A148" s="139" t="s">
        <v>86</v>
      </c>
      <c r="B148" s="255">
        <v>40.47</v>
      </c>
      <c r="C148" s="255">
        <v>124.0940944622468</v>
      </c>
      <c r="D148" s="255">
        <v>0</v>
      </c>
      <c r="E148" s="255">
        <v>-1.1837388710865395</v>
      </c>
      <c r="F148" s="255">
        <v>123.98399999999999</v>
      </c>
      <c r="G148" s="255">
        <v>1.2938333333333332</v>
      </c>
    </row>
    <row r="149" spans="1:7" x14ac:dyDescent="0.3">
      <c r="A149" s="138" t="s">
        <v>87</v>
      </c>
      <c r="B149" s="255">
        <v>243.24</v>
      </c>
      <c r="C149" s="255">
        <v>397.97164367466416</v>
      </c>
      <c r="D149" s="255">
        <v>0</v>
      </c>
      <c r="E149" s="255">
        <v>16.379249212417427</v>
      </c>
      <c r="F149" s="255">
        <v>366.52466666666669</v>
      </c>
      <c r="G149" s="255">
        <v>3.7683333333333331</v>
      </c>
    </row>
    <row r="150" spans="1:7" x14ac:dyDescent="0.3">
      <c r="A150" s="139" t="s">
        <v>88</v>
      </c>
      <c r="B150" s="255">
        <v>48.18</v>
      </c>
      <c r="C150" s="255">
        <v>155.30148937884763</v>
      </c>
      <c r="D150" s="255">
        <v>0</v>
      </c>
      <c r="E150" s="255">
        <v>20.194261583267522</v>
      </c>
      <c r="F150" s="255">
        <v>122.59216666666666</v>
      </c>
      <c r="G150" s="255">
        <v>1.2156666666666667</v>
      </c>
    </row>
    <row r="151" spans="1:7" x14ac:dyDescent="0.3">
      <c r="A151" s="139" t="s">
        <v>89</v>
      </c>
      <c r="B151" s="255">
        <v>195.06</v>
      </c>
      <c r="C151" s="255">
        <v>120.6697993649977</v>
      </c>
      <c r="D151" s="255">
        <v>0</v>
      </c>
      <c r="E151" s="255">
        <v>-2.3639506350022965</v>
      </c>
      <c r="F151" s="255">
        <v>121.352</v>
      </c>
      <c r="G151" s="255">
        <v>1.6817500000000001</v>
      </c>
    </row>
    <row r="152" spans="1:7" x14ac:dyDescent="0.3">
      <c r="A152" s="139" t="s">
        <v>169</v>
      </c>
      <c r="B152" s="255">
        <v>0</v>
      </c>
      <c r="C152" s="255">
        <v>122.00035493081887</v>
      </c>
      <c r="D152" s="255">
        <v>0</v>
      </c>
      <c r="E152" s="255">
        <v>-1.4510617358477969</v>
      </c>
      <c r="F152" s="255">
        <v>122.5805</v>
      </c>
      <c r="G152" s="255">
        <v>0.87091666666666667</v>
      </c>
    </row>
    <row r="153" spans="1:7" x14ac:dyDescent="0.3">
      <c r="A153" s="138" t="s">
        <v>90</v>
      </c>
      <c r="B153" s="255">
        <v>639.04</v>
      </c>
      <c r="C153" s="255">
        <v>240.225184124348</v>
      </c>
      <c r="D153" s="255">
        <v>0</v>
      </c>
      <c r="E153" s="255">
        <v>-128.40998254231869</v>
      </c>
      <c r="F153" s="255">
        <v>363.93466666666666</v>
      </c>
      <c r="G153" s="255">
        <v>4.7005000000000008</v>
      </c>
    </row>
    <row r="154" spans="1:7" x14ac:dyDescent="0.3">
      <c r="A154" s="139" t="s">
        <v>91</v>
      </c>
      <c r="B154" s="255">
        <v>211.64</v>
      </c>
      <c r="C154" s="255">
        <v>114.90624720364571</v>
      </c>
      <c r="D154" s="255">
        <v>0</v>
      </c>
      <c r="E154" s="255">
        <v>-7.1725861296876463</v>
      </c>
      <c r="F154" s="255">
        <v>120.29266666666668</v>
      </c>
      <c r="G154" s="255">
        <v>1.7861666666666667</v>
      </c>
    </row>
    <row r="155" spans="1:7" x14ac:dyDescent="0.3">
      <c r="A155" s="139" t="s">
        <v>92</v>
      </c>
      <c r="B155" s="255">
        <v>122.52</v>
      </c>
      <c r="C155" s="255">
        <v>112.68083088562119</v>
      </c>
      <c r="D155" s="255">
        <v>0</v>
      </c>
      <c r="E155" s="255">
        <v>-10.504002447712132</v>
      </c>
      <c r="F155" s="255">
        <v>121.81516666666667</v>
      </c>
      <c r="G155" s="255">
        <v>1.3696666666666668</v>
      </c>
    </row>
    <row r="156" spans="1:7" x14ac:dyDescent="0.3">
      <c r="A156" s="139" t="s">
        <v>93</v>
      </c>
      <c r="B156" s="255">
        <v>304.88</v>
      </c>
      <c r="C156" s="255">
        <v>12.638106035081094</v>
      </c>
      <c r="D156" s="255">
        <v>0</v>
      </c>
      <c r="E156" s="255">
        <v>-110.7333939649189</v>
      </c>
      <c r="F156" s="255">
        <v>121.82683333333333</v>
      </c>
      <c r="G156" s="255">
        <v>1.5446666666666669</v>
      </c>
    </row>
    <row r="157" spans="1:7" x14ac:dyDescent="0.3">
      <c r="A157" s="7" t="s">
        <v>42</v>
      </c>
      <c r="B157" s="255">
        <v>1704.3400000000001</v>
      </c>
      <c r="C157" s="255">
        <v>2700.0394937337683</v>
      </c>
      <c r="D157" s="255">
        <v>17.198466717467451</v>
      </c>
      <c r="E157" s="255">
        <v>662.43429776146104</v>
      </c>
      <c r="F157" s="255">
        <v>1460.8591666666666</v>
      </c>
      <c r="G157" s="255">
        <v>16.969750000000001</v>
      </c>
    </row>
    <row r="158" spans="1:7" x14ac:dyDescent="0.3">
      <c r="A158" s="138" t="s">
        <v>79</v>
      </c>
      <c r="B158" s="255">
        <v>847.56</v>
      </c>
      <c r="C158" s="255">
        <v>328.52488764248233</v>
      </c>
      <c r="D158" s="255">
        <v>17.198466717467451</v>
      </c>
      <c r="E158" s="255">
        <v>-163.55697341985564</v>
      </c>
      <c r="F158" s="255">
        <v>387.46866666666665</v>
      </c>
      <c r="G158" s="255">
        <v>5.1444166666666673</v>
      </c>
    </row>
    <row r="159" spans="1:7" x14ac:dyDescent="0.3">
      <c r="A159" s="139" t="s">
        <v>80</v>
      </c>
      <c r="B159" s="255">
        <v>847.56</v>
      </c>
      <c r="C159" s="255">
        <v>-24.337107390237094</v>
      </c>
      <c r="D159" s="255">
        <v>17.198466717467451</v>
      </c>
      <c r="E159" s="255">
        <v>-167.72165744103788</v>
      </c>
      <c r="F159" s="255">
        <v>124.87766666666667</v>
      </c>
      <c r="G159" s="255">
        <v>1.3084166666666666</v>
      </c>
    </row>
    <row r="160" spans="1:7" x14ac:dyDescent="0.3">
      <c r="A160" s="139" t="s">
        <v>81</v>
      </c>
      <c r="B160" s="255">
        <v>0</v>
      </c>
      <c r="C160" s="255">
        <v>134.82911101153721</v>
      </c>
      <c r="D160" s="255">
        <v>0</v>
      </c>
      <c r="E160" s="255">
        <v>-4.8628889884628084</v>
      </c>
      <c r="F160" s="255">
        <v>136.92233333333334</v>
      </c>
      <c r="G160" s="255">
        <v>2.7696666666666667</v>
      </c>
    </row>
    <row r="161" spans="1:7" x14ac:dyDescent="0.3">
      <c r="A161" s="139" t="s">
        <v>82</v>
      </c>
      <c r="B161" s="255">
        <v>0</v>
      </c>
      <c r="C161" s="255">
        <v>218.03288402118224</v>
      </c>
      <c r="D161" s="255">
        <v>0</v>
      </c>
      <c r="E161" s="255">
        <v>9.0275730096450246</v>
      </c>
      <c r="F161" s="255">
        <v>125.66866666666667</v>
      </c>
      <c r="G161" s="255">
        <v>1.0663333333333334</v>
      </c>
    </row>
    <row r="162" spans="1:7" x14ac:dyDescent="0.3">
      <c r="A162" s="138" t="s">
        <v>83</v>
      </c>
      <c r="B162" s="255">
        <v>155.5</v>
      </c>
      <c r="C162" s="255">
        <v>616.35847474832576</v>
      </c>
      <c r="D162" s="255">
        <v>0</v>
      </c>
      <c r="E162" s="255">
        <v>0.76393962897782908</v>
      </c>
      <c r="F162" s="255">
        <v>364.54716666666667</v>
      </c>
      <c r="G162" s="255">
        <v>4.1381666666666668</v>
      </c>
    </row>
    <row r="163" spans="1:7" x14ac:dyDescent="0.3">
      <c r="A163" s="139" t="s">
        <v>84</v>
      </c>
      <c r="B163" s="255">
        <v>102.24</v>
      </c>
      <c r="C163" s="255">
        <v>252.69412831283424</v>
      </c>
      <c r="D163" s="255">
        <v>0</v>
      </c>
      <c r="E163" s="255">
        <v>5.318177624985343</v>
      </c>
      <c r="F163" s="255">
        <v>122.11733333333333</v>
      </c>
      <c r="G163" s="255">
        <v>1.3953333333333333</v>
      </c>
    </row>
    <row r="164" spans="1:7" x14ac:dyDescent="0.3">
      <c r="A164" s="139" t="s">
        <v>85</v>
      </c>
      <c r="B164" s="255">
        <v>53.26</v>
      </c>
      <c r="C164" s="255">
        <v>209.53388945199805</v>
      </c>
      <c r="D164" s="255">
        <v>0</v>
      </c>
      <c r="E164" s="255">
        <v>-4.9968388608362018</v>
      </c>
      <c r="F164" s="255">
        <v>121.786</v>
      </c>
      <c r="G164" s="255">
        <v>1.099</v>
      </c>
    </row>
    <row r="165" spans="1:7" x14ac:dyDescent="0.3">
      <c r="A165" s="139" t="s">
        <v>86</v>
      </c>
      <c r="B165" s="255">
        <v>0</v>
      </c>
      <c r="C165" s="255">
        <v>154.13045698349345</v>
      </c>
      <c r="D165" s="255">
        <v>0</v>
      </c>
      <c r="E165" s="255">
        <v>0.44260086482868782</v>
      </c>
      <c r="F165" s="255">
        <v>120.64383333333333</v>
      </c>
      <c r="G165" s="255">
        <v>1.6438333333333333</v>
      </c>
    </row>
    <row r="166" spans="1:7" x14ac:dyDescent="0.3">
      <c r="A166" s="138" t="s">
        <v>87</v>
      </c>
      <c r="B166" s="255">
        <v>317.22000000000003</v>
      </c>
      <c r="C166" s="255">
        <v>414.22351142923958</v>
      </c>
      <c r="D166" s="255">
        <v>0</v>
      </c>
      <c r="E166" s="255">
        <v>55.409928095906245</v>
      </c>
      <c r="F166" s="255">
        <v>354.18366666666662</v>
      </c>
      <c r="G166" s="255">
        <v>4.6299166666666665</v>
      </c>
    </row>
    <row r="167" spans="1:7" x14ac:dyDescent="0.3">
      <c r="A167" s="139" t="s">
        <v>88</v>
      </c>
      <c r="B167" s="255">
        <v>116.91</v>
      </c>
      <c r="C167" s="255">
        <v>122.83186201052018</v>
      </c>
      <c r="D167" s="255">
        <v>0</v>
      </c>
      <c r="E167" s="255">
        <v>2.8711120105201906</v>
      </c>
      <c r="F167" s="255">
        <v>117.95816666666666</v>
      </c>
      <c r="G167" s="255">
        <v>2.0025833333333334</v>
      </c>
    </row>
    <row r="168" spans="1:7" x14ac:dyDescent="0.3">
      <c r="A168" s="139" t="s">
        <v>89</v>
      </c>
      <c r="B168" s="255">
        <v>138.59</v>
      </c>
      <c r="C168" s="255">
        <v>120.27265489869478</v>
      </c>
      <c r="D168" s="255">
        <v>0</v>
      </c>
      <c r="E168" s="255">
        <v>0.79898823202812697</v>
      </c>
      <c r="F168" s="255">
        <v>117.94066666666666</v>
      </c>
      <c r="G168" s="255">
        <v>1.5330000000000001</v>
      </c>
    </row>
    <row r="169" spans="1:7" x14ac:dyDescent="0.3">
      <c r="A169" s="139" t="s">
        <v>169</v>
      </c>
      <c r="B169" s="255">
        <v>61.72</v>
      </c>
      <c r="C169" s="255">
        <v>171.11899452002461</v>
      </c>
      <c r="D169" s="255">
        <v>0</v>
      </c>
      <c r="E169" s="255">
        <v>51.73982785335793</v>
      </c>
      <c r="F169" s="255">
        <v>118.28483333333334</v>
      </c>
      <c r="G169" s="255">
        <v>1.0943333333333334</v>
      </c>
    </row>
    <row r="170" spans="1:7" x14ac:dyDescent="0.3">
      <c r="A170" s="138" t="s">
        <v>90</v>
      </c>
      <c r="B170" s="255">
        <v>384.06</v>
      </c>
      <c r="C170" s="255">
        <v>1340.9326199137206</v>
      </c>
      <c r="D170" s="255">
        <v>0</v>
      </c>
      <c r="E170" s="255">
        <v>769.81740345643254</v>
      </c>
      <c r="F170" s="255">
        <v>354.65966666666668</v>
      </c>
      <c r="G170" s="255">
        <v>3.0572499999999998</v>
      </c>
    </row>
    <row r="171" spans="1:7" x14ac:dyDescent="0.3">
      <c r="A171" s="139" t="s">
        <v>91</v>
      </c>
      <c r="B171" s="255">
        <v>184.89</v>
      </c>
      <c r="C171" s="255">
        <v>219.55500667896911</v>
      </c>
      <c r="D171" s="255">
        <v>0</v>
      </c>
      <c r="E171" s="255">
        <v>79.429045492277822</v>
      </c>
      <c r="F171" s="255">
        <v>117.34216666666666</v>
      </c>
      <c r="G171" s="255">
        <v>1.3195000000000001</v>
      </c>
    </row>
    <row r="172" spans="1:7" x14ac:dyDescent="0.3">
      <c r="A172" s="139" t="s">
        <v>92</v>
      </c>
      <c r="B172" s="255">
        <v>141.36000000000001</v>
      </c>
      <c r="C172" s="255">
        <v>358.02430527059676</v>
      </c>
      <c r="D172" s="255">
        <v>0</v>
      </c>
      <c r="E172" s="255">
        <v>238.61888860393009</v>
      </c>
      <c r="F172" s="255">
        <v>118.468</v>
      </c>
      <c r="G172" s="255">
        <v>0.93741666666666668</v>
      </c>
    </row>
    <row r="173" spans="1:7" x14ac:dyDescent="0.3">
      <c r="A173" s="139" t="s">
        <v>93</v>
      </c>
      <c r="B173" s="255">
        <v>57.81</v>
      </c>
      <c r="C173" s="255">
        <v>763.35330796415474</v>
      </c>
      <c r="D173" s="255">
        <v>0</v>
      </c>
      <c r="E173" s="255">
        <v>451.76946936022466</v>
      </c>
      <c r="F173" s="255">
        <v>118.84950000000001</v>
      </c>
      <c r="G173" s="255">
        <v>0.80033333333333334</v>
      </c>
    </row>
    <row r="174" spans="1:7" x14ac:dyDescent="0.3">
      <c r="A174" s="7" t="s">
        <v>43</v>
      </c>
      <c r="B174" s="255">
        <v>2264.98</v>
      </c>
      <c r="C174" s="255">
        <v>2057.6519897156213</v>
      </c>
      <c r="D174" s="255">
        <v>-116.96491256054657</v>
      </c>
      <c r="E174" s="255">
        <v>83.675839940217529</v>
      </c>
      <c r="F174" s="255">
        <v>1468.6583333333335</v>
      </c>
      <c r="G174" s="255">
        <v>29.05875</v>
      </c>
    </row>
    <row r="175" spans="1:7" x14ac:dyDescent="0.3">
      <c r="A175" s="138" t="s">
        <v>79</v>
      </c>
      <c r="B175" s="255">
        <v>508.45000000000005</v>
      </c>
      <c r="C175" s="255">
        <v>854.76536076356308</v>
      </c>
      <c r="D175" s="255">
        <v>-116.96491256054657</v>
      </c>
      <c r="E175" s="255">
        <v>11.952460988159476</v>
      </c>
      <c r="F175" s="255">
        <v>355.28383333333335</v>
      </c>
      <c r="G175" s="255">
        <v>11.27</v>
      </c>
    </row>
    <row r="176" spans="1:7" x14ac:dyDescent="0.3">
      <c r="A176" s="139" t="s">
        <v>80</v>
      </c>
      <c r="B176" s="255">
        <v>143.87</v>
      </c>
      <c r="C176" s="255">
        <v>604.80167103846202</v>
      </c>
      <c r="D176" s="255">
        <v>0</v>
      </c>
      <c r="E176" s="255">
        <v>-1.0551035923594467</v>
      </c>
      <c r="F176" s="255">
        <v>117.83216666666667</v>
      </c>
      <c r="G176" s="255">
        <v>2.4219999999999997</v>
      </c>
    </row>
    <row r="177" spans="1:7" x14ac:dyDescent="0.3">
      <c r="A177" s="139" t="s">
        <v>81</v>
      </c>
      <c r="B177" s="255">
        <v>173.43</v>
      </c>
      <c r="C177" s="255">
        <v>111.27368489849087</v>
      </c>
      <c r="D177" s="255">
        <v>-116.96491256054657</v>
      </c>
      <c r="E177" s="255">
        <v>-1.1845235794246067</v>
      </c>
      <c r="F177" s="255">
        <v>118.26616666666668</v>
      </c>
      <c r="G177" s="255">
        <v>3.5355833333333333</v>
      </c>
    </row>
    <row r="178" spans="1:7" x14ac:dyDescent="0.3">
      <c r="A178" s="139" t="s">
        <v>82</v>
      </c>
      <c r="B178" s="255">
        <v>191.15</v>
      </c>
      <c r="C178" s="255">
        <v>138.69000482661019</v>
      </c>
      <c r="D178" s="255">
        <v>0</v>
      </c>
      <c r="E178" s="255">
        <v>14.192088159943529</v>
      </c>
      <c r="F178" s="255">
        <v>119.1855</v>
      </c>
      <c r="G178" s="255">
        <v>5.3124166666666666</v>
      </c>
    </row>
    <row r="179" spans="1:7" x14ac:dyDescent="0.3">
      <c r="A179" s="138" t="s">
        <v>83</v>
      </c>
      <c r="B179" s="255">
        <v>534.78</v>
      </c>
      <c r="C179" s="255">
        <v>410.34597016842497</v>
      </c>
      <c r="D179" s="255">
        <v>0</v>
      </c>
      <c r="E179" s="255">
        <v>36.552970168424942</v>
      </c>
      <c r="F179" s="255">
        <v>365.3895</v>
      </c>
      <c r="G179" s="255">
        <v>8.4035000000000011</v>
      </c>
    </row>
    <row r="180" spans="1:7" x14ac:dyDescent="0.3">
      <c r="A180" s="139" t="s">
        <v>84</v>
      </c>
      <c r="B180" s="255">
        <v>201.93</v>
      </c>
      <c r="C180" s="255">
        <v>161.83151899540525</v>
      </c>
      <c r="D180" s="255">
        <v>0</v>
      </c>
      <c r="E180" s="255">
        <v>37.82476899540525</v>
      </c>
      <c r="F180" s="255">
        <v>120.38483333333333</v>
      </c>
      <c r="G180" s="255">
        <v>3.6219166666666665</v>
      </c>
    </row>
    <row r="181" spans="1:7" x14ac:dyDescent="0.3">
      <c r="A181" s="139" t="s">
        <v>85</v>
      </c>
      <c r="B181" s="255">
        <v>212.74</v>
      </c>
      <c r="C181" s="255">
        <v>122.05331097262024</v>
      </c>
      <c r="D181" s="255">
        <v>0</v>
      </c>
      <c r="E181" s="255">
        <v>-2.2456890273797718</v>
      </c>
      <c r="F181" s="255">
        <v>121.744</v>
      </c>
      <c r="G181" s="255">
        <v>2.5550000000000002</v>
      </c>
    </row>
    <row r="182" spans="1:7" x14ac:dyDescent="0.3">
      <c r="A182" s="139" t="s">
        <v>86</v>
      </c>
      <c r="B182" s="255">
        <v>120.11</v>
      </c>
      <c r="C182" s="255">
        <v>126.46114020039946</v>
      </c>
      <c r="D182" s="255">
        <v>0</v>
      </c>
      <c r="E182" s="255">
        <v>0.97389020039945684</v>
      </c>
      <c r="F182" s="255">
        <v>123.26066666666667</v>
      </c>
      <c r="G182" s="255">
        <v>2.2265833333333331</v>
      </c>
    </row>
    <row r="183" spans="1:7" x14ac:dyDescent="0.3">
      <c r="A183" s="138" t="s">
        <v>87</v>
      </c>
      <c r="B183" s="255">
        <v>471.31</v>
      </c>
      <c r="C183" s="255">
        <v>404.21651179610922</v>
      </c>
      <c r="D183" s="255">
        <v>0</v>
      </c>
      <c r="E183" s="255">
        <v>28.810595129442575</v>
      </c>
      <c r="F183" s="255">
        <v>371.13533333333328</v>
      </c>
      <c r="G183" s="255">
        <v>4.2705833333333327</v>
      </c>
    </row>
    <row r="184" spans="1:7" x14ac:dyDescent="0.3">
      <c r="A184" s="139" t="s">
        <v>88</v>
      </c>
      <c r="B184" s="255">
        <v>171.16</v>
      </c>
      <c r="C184" s="255">
        <v>153.89563665786514</v>
      </c>
      <c r="D184" s="255">
        <v>0</v>
      </c>
      <c r="E184" s="255">
        <v>29.054719991198482</v>
      </c>
      <c r="F184" s="255">
        <v>123.20816666666666</v>
      </c>
      <c r="G184" s="255">
        <v>1.6327500000000001</v>
      </c>
    </row>
    <row r="185" spans="1:7" x14ac:dyDescent="0.3">
      <c r="A185" s="139" t="s">
        <v>89</v>
      </c>
      <c r="B185" s="255">
        <v>118.76</v>
      </c>
      <c r="C185" s="255">
        <v>124.83475560699632</v>
      </c>
      <c r="D185" s="255">
        <v>0</v>
      </c>
      <c r="E185" s="255">
        <v>-0.62332772633700162</v>
      </c>
      <c r="F185" s="255">
        <v>124.00733333333332</v>
      </c>
      <c r="G185" s="255">
        <v>1.45075</v>
      </c>
    </row>
    <row r="186" spans="1:7" x14ac:dyDescent="0.3">
      <c r="A186" s="139" t="s">
        <v>169</v>
      </c>
      <c r="B186" s="255">
        <v>181.39</v>
      </c>
      <c r="C186" s="255">
        <v>125.48611953124777</v>
      </c>
      <c r="D186" s="255">
        <v>0</v>
      </c>
      <c r="E186" s="255">
        <v>0.37920286458109731</v>
      </c>
      <c r="F186" s="255">
        <v>123.91983333333333</v>
      </c>
      <c r="G186" s="255">
        <v>1.1870833333333333</v>
      </c>
    </row>
    <row r="187" spans="1:7" x14ac:dyDescent="0.3">
      <c r="A187" s="138" t="s">
        <v>90</v>
      </c>
      <c r="B187" s="255">
        <v>750.44</v>
      </c>
      <c r="C187" s="255">
        <v>388.32414698752387</v>
      </c>
      <c r="D187" s="255">
        <v>0</v>
      </c>
      <c r="E187" s="255">
        <v>6.3598136541905133</v>
      </c>
      <c r="F187" s="255">
        <v>376.84966666666668</v>
      </c>
      <c r="G187" s="255">
        <v>5.1146666666666665</v>
      </c>
    </row>
    <row r="188" spans="1:7" x14ac:dyDescent="0.3">
      <c r="A188" s="139" t="s">
        <v>91</v>
      </c>
      <c r="B188" s="255">
        <v>167.65</v>
      </c>
      <c r="C188" s="255">
        <v>134.76936803690592</v>
      </c>
      <c r="D188" s="255">
        <v>0</v>
      </c>
      <c r="E188" s="255">
        <v>8.0600347035725921</v>
      </c>
      <c r="F188" s="255">
        <v>124.87766666666667</v>
      </c>
      <c r="G188" s="255">
        <v>1.8316666666666668</v>
      </c>
    </row>
    <row r="189" spans="1:7" x14ac:dyDescent="0.3">
      <c r="A189" s="139" t="s">
        <v>92</v>
      </c>
      <c r="B189" s="255">
        <v>173.05</v>
      </c>
      <c r="C189" s="255">
        <v>126.51895864692867</v>
      </c>
      <c r="D189" s="255">
        <v>0</v>
      </c>
      <c r="E189" s="255">
        <v>-0.73462468640467016</v>
      </c>
      <c r="F189" s="255">
        <v>125.59050000000001</v>
      </c>
      <c r="G189" s="255">
        <v>1.6630833333333332</v>
      </c>
    </row>
    <row r="190" spans="1:7" x14ac:dyDescent="0.3">
      <c r="A190" s="139" t="s">
        <v>93</v>
      </c>
      <c r="B190" s="255">
        <v>409.74</v>
      </c>
      <c r="C190" s="255">
        <v>127.03582030368926</v>
      </c>
      <c r="D190" s="255">
        <v>0</v>
      </c>
      <c r="E190" s="255">
        <v>-0.96559636297740903</v>
      </c>
      <c r="F190" s="255">
        <v>126.3815</v>
      </c>
      <c r="G190" s="255">
        <v>1.6199166666666664</v>
      </c>
    </row>
    <row r="191" spans="1:7" x14ac:dyDescent="0.3">
      <c r="A191" s="7" t="s">
        <v>44</v>
      </c>
      <c r="B191" s="255">
        <v>1564.8</v>
      </c>
      <c r="C191" s="255">
        <v>1653.4003958039611</v>
      </c>
      <c r="D191" s="255">
        <v>6.89605465679589</v>
      </c>
      <c r="E191" s="255">
        <v>58.516424480498699</v>
      </c>
      <c r="F191" s="255">
        <v>1543.2911666666669</v>
      </c>
      <c r="G191" s="255">
        <v>44.696750000000002</v>
      </c>
    </row>
    <row r="192" spans="1:7" x14ac:dyDescent="0.3">
      <c r="A192" s="138" t="s">
        <v>79</v>
      </c>
      <c r="B192" s="255">
        <v>214.64999999999998</v>
      </c>
      <c r="C192" s="255">
        <v>397.0364217856694</v>
      </c>
      <c r="D192" s="255">
        <v>6.89605465679589</v>
      </c>
      <c r="E192" s="255">
        <v>-22.519549537793157</v>
      </c>
      <c r="F192" s="255">
        <v>386.55983333333336</v>
      </c>
      <c r="G192" s="255">
        <v>26.10008333333333</v>
      </c>
    </row>
    <row r="193" spans="1:7" x14ac:dyDescent="0.3">
      <c r="A193" s="139" t="s">
        <v>80</v>
      </c>
      <c r="B193" s="255">
        <v>0</v>
      </c>
      <c r="C193" s="255">
        <v>145.88076077033861</v>
      </c>
      <c r="D193" s="255">
        <v>0</v>
      </c>
      <c r="E193" s="255">
        <v>2.4490107703386088</v>
      </c>
      <c r="F193" s="255">
        <v>131.10416666666666</v>
      </c>
      <c r="G193" s="255">
        <v>12.327583333333333</v>
      </c>
    </row>
    <row r="194" spans="1:7" x14ac:dyDescent="0.3">
      <c r="A194" s="139" t="s">
        <v>81</v>
      </c>
      <c r="B194" s="255">
        <v>106.07</v>
      </c>
      <c r="C194" s="255">
        <v>115.50936627773322</v>
      </c>
      <c r="D194" s="255">
        <v>6.89605465679589</v>
      </c>
      <c r="E194" s="255">
        <v>-28.386605045729333</v>
      </c>
      <c r="F194" s="255">
        <v>127.90983333333334</v>
      </c>
      <c r="G194" s="255">
        <v>9.0900833333333324</v>
      </c>
    </row>
    <row r="195" spans="1:7" x14ac:dyDescent="0.3">
      <c r="A195" s="139" t="s">
        <v>82</v>
      </c>
      <c r="B195" s="255">
        <v>108.58</v>
      </c>
      <c r="C195" s="255">
        <v>135.64629473759757</v>
      </c>
      <c r="D195" s="255">
        <v>0</v>
      </c>
      <c r="E195" s="255">
        <v>3.4180447375975662</v>
      </c>
      <c r="F195" s="255">
        <v>127.54583333333333</v>
      </c>
      <c r="G195" s="255">
        <v>4.6824166666666667</v>
      </c>
    </row>
    <row r="196" spans="1:7" x14ac:dyDescent="0.3">
      <c r="A196" s="138" t="s">
        <v>83</v>
      </c>
      <c r="B196" s="255">
        <v>435.21000000000004</v>
      </c>
      <c r="C196" s="255">
        <v>425.17972413717507</v>
      </c>
      <c r="D196" s="255">
        <v>0</v>
      </c>
      <c r="E196" s="255">
        <v>34.626974137175097</v>
      </c>
      <c r="F196" s="255">
        <v>381.44400000000002</v>
      </c>
      <c r="G196" s="255">
        <v>9.1087500000000006</v>
      </c>
    </row>
    <row r="197" spans="1:7" x14ac:dyDescent="0.3">
      <c r="A197" s="139" t="s">
        <v>84</v>
      </c>
      <c r="B197" s="255">
        <v>123.38</v>
      </c>
      <c r="C197" s="255">
        <v>163.37154447642405</v>
      </c>
      <c r="D197" s="255">
        <v>0</v>
      </c>
      <c r="E197" s="255">
        <v>32.626127809757371</v>
      </c>
      <c r="F197" s="255">
        <v>127.22966666666666</v>
      </c>
      <c r="G197" s="255">
        <v>3.5157499999999997</v>
      </c>
    </row>
    <row r="198" spans="1:7" x14ac:dyDescent="0.3">
      <c r="A198" s="139" t="s">
        <v>85</v>
      </c>
      <c r="B198" s="255">
        <v>120.17</v>
      </c>
      <c r="C198" s="255">
        <v>133.77439094032968</v>
      </c>
      <c r="D198" s="255">
        <v>0</v>
      </c>
      <c r="E198" s="255">
        <v>3.6572242736630169</v>
      </c>
      <c r="F198" s="255">
        <v>127.16550000000001</v>
      </c>
      <c r="G198" s="255">
        <v>2.9516666666666667</v>
      </c>
    </row>
    <row r="199" spans="1:7" x14ac:dyDescent="0.3">
      <c r="A199" s="139" t="s">
        <v>86</v>
      </c>
      <c r="B199" s="255">
        <v>191.66</v>
      </c>
      <c r="C199" s="255">
        <v>128.03378872042137</v>
      </c>
      <c r="D199" s="255">
        <v>0</v>
      </c>
      <c r="E199" s="255">
        <v>-1.656377946245295</v>
      </c>
      <c r="F199" s="255">
        <v>127.04883333333333</v>
      </c>
      <c r="G199" s="255">
        <v>2.6413333333333333</v>
      </c>
    </row>
    <row r="200" spans="1:7" x14ac:dyDescent="0.3">
      <c r="A200" s="138" t="s">
        <v>87</v>
      </c>
      <c r="B200" s="255">
        <v>487.90999999999997</v>
      </c>
      <c r="C200" s="255">
        <v>424.12902217761791</v>
      </c>
      <c r="D200" s="255">
        <v>0</v>
      </c>
      <c r="E200" s="255">
        <v>33.105522177617921</v>
      </c>
      <c r="F200" s="255">
        <v>386.34283333333326</v>
      </c>
      <c r="G200" s="255">
        <v>4.6806666666666672</v>
      </c>
    </row>
    <row r="201" spans="1:7" x14ac:dyDescent="0.3">
      <c r="A201" s="139" t="s">
        <v>88</v>
      </c>
      <c r="B201" s="255">
        <v>199.32</v>
      </c>
      <c r="C201" s="255">
        <v>168.97219449980619</v>
      </c>
      <c r="D201" s="255">
        <v>0</v>
      </c>
      <c r="E201" s="255">
        <v>38.810694499806196</v>
      </c>
      <c r="F201" s="255">
        <v>128.12566666666666</v>
      </c>
      <c r="G201" s="255">
        <v>2.0358333333333336</v>
      </c>
    </row>
    <row r="202" spans="1:7" x14ac:dyDescent="0.3">
      <c r="A202" s="139" t="s">
        <v>89</v>
      </c>
      <c r="B202" s="255">
        <v>104.88</v>
      </c>
      <c r="C202" s="255">
        <v>125.13990011233082</v>
      </c>
      <c r="D202" s="255">
        <v>0</v>
      </c>
      <c r="E202" s="255">
        <v>-5.4550165543358311</v>
      </c>
      <c r="F202" s="255">
        <v>129.31216666666666</v>
      </c>
      <c r="G202" s="255">
        <v>1.2827500000000001</v>
      </c>
    </row>
    <row r="203" spans="1:7" x14ac:dyDescent="0.3">
      <c r="A203" s="139" t="s">
        <v>169</v>
      </c>
      <c r="B203" s="255">
        <v>183.71</v>
      </c>
      <c r="C203" s="255">
        <v>130.0169275654809</v>
      </c>
      <c r="D203" s="255">
        <v>0</v>
      </c>
      <c r="E203" s="255">
        <v>-0.25015576785244364</v>
      </c>
      <c r="F203" s="255">
        <v>128.905</v>
      </c>
      <c r="G203" s="255">
        <v>1.3620833333333333</v>
      </c>
    </row>
    <row r="204" spans="1:7" x14ac:dyDescent="0.3">
      <c r="A204" s="138" t="s">
        <v>90</v>
      </c>
      <c r="B204" s="255">
        <v>427.03</v>
      </c>
      <c r="C204" s="255">
        <v>407.05522770349882</v>
      </c>
      <c r="D204" s="255">
        <v>0</v>
      </c>
      <c r="E204" s="255">
        <v>13.303477703498833</v>
      </c>
      <c r="F204" s="255">
        <v>388.94450000000001</v>
      </c>
      <c r="G204" s="255">
        <v>4.8072499999999998</v>
      </c>
    </row>
    <row r="205" spans="1:7" x14ac:dyDescent="0.3">
      <c r="A205" s="139" t="s">
        <v>91</v>
      </c>
      <c r="B205" s="255">
        <v>129.82</v>
      </c>
      <c r="C205" s="255">
        <v>148.30412484797498</v>
      </c>
      <c r="D205" s="255">
        <v>0</v>
      </c>
      <c r="E205" s="255">
        <v>17.380791514641619</v>
      </c>
      <c r="F205" s="255">
        <v>129.8185</v>
      </c>
      <c r="G205" s="255">
        <v>1.1048333333333333</v>
      </c>
    </row>
    <row r="206" spans="1:7" x14ac:dyDescent="0.3">
      <c r="A206" s="139" t="s">
        <v>92</v>
      </c>
      <c r="B206" s="255">
        <v>99.16</v>
      </c>
      <c r="C206" s="255">
        <v>129.04830458878774</v>
      </c>
      <c r="D206" s="255">
        <v>0</v>
      </c>
      <c r="E206" s="255">
        <v>-2.3131120778789032</v>
      </c>
      <c r="F206" s="255">
        <v>129.8185</v>
      </c>
      <c r="G206" s="255">
        <v>1.5429166666666667</v>
      </c>
    </row>
    <row r="207" spans="1:7" x14ac:dyDescent="0.3">
      <c r="A207" s="139" t="s">
        <v>93</v>
      </c>
      <c r="B207" s="255">
        <v>198.05</v>
      </c>
      <c r="C207" s="255">
        <v>129.70279826673612</v>
      </c>
      <c r="D207" s="255">
        <v>0</v>
      </c>
      <c r="E207" s="255">
        <v>-1.7642017332638809</v>
      </c>
      <c r="F207" s="255">
        <v>129.3075</v>
      </c>
      <c r="G207" s="255">
        <v>2.1595</v>
      </c>
    </row>
    <row r="208" spans="1:7" x14ac:dyDescent="0.3">
      <c r="A208" s="7" t="s">
        <v>45</v>
      </c>
      <c r="B208" s="255">
        <v>1996.12</v>
      </c>
      <c r="C208" s="255">
        <v>2454.380043983293</v>
      </c>
      <c r="D208" s="255">
        <v>18.456387739199297</v>
      </c>
      <c r="E208" s="255">
        <v>553.38429578293233</v>
      </c>
      <c r="F208" s="255">
        <v>1589.4923333333334</v>
      </c>
      <c r="G208" s="255">
        <v>36.474666666666657</v>
      </c>
    </row>
    <row r="209" spans="1:7" x14ac:dyDescent="0.3">
      <c r="A209" s="138" t="s">
        <v>79</v>
      </c>
      <c r="B209" s="255">
        <v>472.36</v>
      </c>
      <c r="C209" s="255">
        <v>392.12866770387495</v>
      </c>
      <c r="D209" s="255">
        <v>18.456387739199297</v>
      </c>
      <c r="E209" s="255">
        <v>-34.756720035324356</v>
      </c>
      <c r="F209" s="255">
        <v>390.73883333333333</v>
      </c>
      <c r="G209" s="255">
        <v>17.690166666666666</v>
      </c>
    </row>
    <row r="210" spans="1:7" x14ac:dyDescent="0.3">
      <c r="A210" s="139" t="s">
        <v>80</v>
      </c>
      <c r="B210" s="255">
        <v>150.47</v>
      </c>
      <c r="C210" s="255">
        <v>119.56839613190469</v>
      </c>
      <c r="D210" s="255">
        <v>18.456387739199297</v>
      </c>
      <c r="E210" s="255">
        <v>-34.876991607294585</v>
      </c>
      <c r="F210" s="255">
        <v>130.45316666666665</v>
      </c>
      <c r="G210" s="255">
        <v>5.5358333333333327</v>
      </c>
    </row>
    <row r="211" spans="1:7" x14ac:dyDescent="0.3">
      <c r="A211" s="139" t="s">
        <v>81</v>
      </c>
      <c r="B211" s="255">
        <v>53.51</v>
      </c>
      <c r="C211" s="255">
        <v>141.00029316446901</v>
      </c>
      <c r="D211" s="255">
        <v>0</v>
      </c>
      <c r="E211" s="255">
        <v>1.9657098311356929</v>
      </c>
      <c r="F211" s="255">
        <v>130.78683333333333</v>
      </c>
      <c r="G211" s="255">
        <v>8.2477499999999999</v>
      </c>
    </row>
    <row r="212" spans="1:7" x14ac:dyDescent="0.3">
      <c r="A212" s="139" t="s">
        <v>82</v>
      </c>
      <c r="B212" s="255">
        <v>268.38</v>
      </c>
      <c r="C212" s="255">
        <v>131.55997840750123</v>
      </c>
      <c r="D212" s="255">
        <v>0</v>
      </c>
      <c r="E212" s="255">
        <v>-1.8454382591654606</v>
      </c>
      <c r="F212" s="255">
        <v>129.49883333333335</v>
      </c>
      <c r="G212" s="255">
        <v>3.9065833333333333</v>
      </c>
    </row>
    <row r="213" spans="1:7" x14ac:dyDescent="0.3">
      <c r="A213" s="138" t="s">
        <v>83</v>
      </c>
      <c r="B213" s="255">
        <v>474.54999999999995</v>
      </c>
      <c r="C213" s="255">
        <v>396.12338519626383</v>
      </c>
      <c r="D213" s="255">
        <v>0</v>
      </c>
      <c r="E213" s="255">
        <v>-7.4738648037362374</v>
      </c>
      <c r="F213" s="255">
        <v>396.07749999999999</v>
      </c>
      <c r="G213" s="255">
        <v>7.5197500000000002</v>
      </c>
    </row>
    <row r="214" spans="1:7" x14ac:dyDescent="0.3">
      <c r="A214" s="139" t="s">
        <v>84</v>
      </c>
      <c r="B214" s="255">
        <v>158.34</v>
      </c>
      <c r="C214" s="255">
        <v>116.92845596918666</v>
      </c>
      <c r="D214" s="255">
        <v>0</v>
      </c>
      <c r="E214" s="255">
        <v>-17.252794030813345</v>
      </c>
      <c r="F214" s="255">
        <v>131.8135</v>
      </c>
      <c r="G214" s="255">
        <v>2.36775</v>
      </c>
    </row>
    <row r="215" spans="1:7" x14ac:dyDescent="0.3">
      <c r="A215" s="139" t="s">
        <v>85</v>
      </c>
      <c r="B215" s="255">
        <v>117.42</v>
      </c>
      <c r="C215" s="255">
        <v>139.01997575558957</v>
      </c>
      <c r="D215" s="255">
        <v>0</v>
      </c>
      <c r="E215" s="255">
        <v>4.1422257555895667</v>
      </c>
      <c r="F215" s="255">
        <v>132.25566666666666</v>
      </c>
      <c r="G215" s="255">
        <v>2.6220833333333333</v>
      </c>
    </row>
    <row r="216" spans="1:7" x14ac:dyDescent="0.3">
      <c r="A216" s="139" t="s">
        <v>86</v>
      </c>
      <c r="B216" s="255">
        <v>198.79</v>
      </c>
      <c r="C216" s="255">
        <v>140.17495347148756</v>
      </c>
      <c r="D216" s="255">
        <v>0</v>
      </c>
      <c r="E216" s="255">
        <v>5.6367034714875395</v>
      </c>
      <c r="F216" s="255">
        <v>132.00833333333333</v>
      </c>
      <c r="G216" s="255">
        <v>2.5299166666666664</v>
      </c>
    </row>
    <row r="217" spans="1:7" x14ac:dyDescent="0.3">
      <c r="A217" s="138" t="s">
        <v>87</v>
      </c>
      <c r="B217" s="255">
        <v>426.42</v>
      </c>
      <c r="C217" s="255">
        <v>628.79766900802963</v>
      </c>
      <c r="D217" s="255">
        <v>0</v>
      </c>
      <c r="E217" s="255">
        <v>223.86925234136302</v>
      </c>
      <c r="F217" s="255">
        <v>398.70249999999999</v>
      </c>
      <c r="G217" s="255">
        <v>6.2259166666666665</v>
      </c>
    </row>
    <row r="218" spans="1:7" x14ac:dyDescent="0.3">
      <c r="A218" s="139" t="s">
        <v>88</v>
      </c>
      <c r="B218" s="255">
        <v>123.53</v>
      </c>
      <c r="C218" s="255">
        <v>115.81627467001113</v>
      </c>
      <c r="D218" s="255">
        <v>0</v>
      </c>
      <c r="E218" s="255">
        <v>-19.367725329988879</v>
      </c>
      <c r="F218" s="255">
        <v>133.12133333333333</v>
      </c>
      <c r="G218" s="255">
        <v>2.0626666666666669</v>
      </c>
    </row>
    <row r="219" spans="1:7" x14ac:dyDescent="0.3">
      <c r="A219" s="139" t="s">
        <v>89</v>
      </c>
      <c r="B219" s="255">
        <v>112.45</v>
      </c>
      <c r="C219" s="255">
        <v>135.79409374828631</v>
      </c>
      <c r="D219" s="255">
        <v>0</v>
      </c>
      <c r="E219" s="255">
        <v>0.59726041495299698</v>
      </c>
      <c r="F219" s="255">
        <v>132.9615</v>
      </c>
      <c r="G219" s="255">
        <v>2.2353333333333336</v>
      </c>
    </row>
    <row r="220" spans="1:7" x14ac:dyDescent="0.3">
      <c r="A220" s="139" t="s">
        <v>169</v>
      </c>
      <c r="B220" s="255">
        <v>190.44</v>
      </c>
      <c r="C220" s="255">
        <v>377.18730058973222</v>
      </c>
      <c r="D220" s="255">
        <v>0</v>
      </c>
      <c r="E220" s="255">
        <v>242.63971725639891</v>
      </c>
      <c r="F220" s="255">
        <v>132.61966666666666</v>
      </c>
      <c r="G220" s="255">
        <v>1.9279166666666667</v>
      </c>
    </row>
    <row r="221" spans="1:7" x14ac:dyDescent="0.3">
      <c r="A221" s="138" t="s">
        <v>90</v>
      </c>
      <c r="B221" s="255">
        <v>622.79</v>
      </c>
      <c r="C221" s="255">
        <v>1037.3303220751247</v>
      </c>
      <c r="D221" s="255">
        <v>0</v>
      </c>
      <c r="E221" s="255">
        <v>371.74562828062994</v>
      </c>
      <c r="F221" s="255">
        <v>403.97350000000006</v>
      </c>
      <c r="G221" s="255">
        <v>5.0388333333333328</v>
      </c>
    </row>
    <row r="222" spans="1:7" x14ac:dyDescent="0.3">
      <c r="A222" s="139" t="s">
        <v>91</v>
      </c>
      <c r="B222" s="255">
        <v>186.85</v>
      </c>
      <c r="C222" s="255">
        <v>440.94235987142918</v>
      </c>
      <c r="D222" s="255">
        <v>0</v>
      </c>
      <c r="E222" s="255">
        <v>212.75389261503031</v>
      </c>
      <c r="F222" s="255">
        <v>133.58333333333334</v>
      </c>
      <c r="G222" s="255">
        <v>1.4478333333333333</v>
      </c>
    </row>
    <row r="223" spans="1:7" x14ac:dyDescent="0.3">
      <c r="A223" s="139" t="s">
        <v>92</v>
      </c>
      <c r="B223" s="255">
        <v>221.34</v>
      </c>
      <c r="C223" s="255">
        <v>346.39275025671128</v>
      </c>
      <c r="D223" s="255">
        <v>0</v>
      </c>
      <c r="E223" s="255">
        <v>47.078523718615436</v>
      </c>
      <c r="F223" s="255">
        <v>134.47116666666668</v>
      </c>
      <c r="G223" s="255">
        <v>1.4280000000000002</v>
      </c>
    </row>
    <row r="224" spans="1:7" x14ac:dyDescent="0.3">
      <c r="A224" s="139" t="s">
        <v>93</v>
      </c>
      <c r="B224" s="255">
        <v>214.6</v>
      </c>
      <c r="C224" s="255">
        <v>249.99521194698417</v>
      </c>
      <c r="D224" s="255">
        <v>0</v>
      </c>
      <c r="E224" s="255">
        <v>111.91321194698415</v>
      </c>
      <c r="F224" s="255">
        <v>135.91900000000001</v>
      </c>
      <c r="G224" s="255">
        <v>2.1629999999999998</v>
      </c>
    </row>
    <row r="225" spans="1:7" x14ac:dyDescent="0.3">
      <c r="A225" s="7" t="s">
        <v>46</v>
      </c>
      <c r="B225" s="255">
        <v>2056.62</v>
      </c>
      <c r="C225" s="255">
        <v>2194.9946654754203</v>
      </c>
      <c r="D225" s="255">
        <v>13.087748645810935</v>
      </c>
      <c r="E225" s="255">
        <v>464.02367608040305</v>
      </c>
      <c r="F225" s="255">
        <v>1678.3363333333334</v>
      </c>
      <c r="G225" s="255">
        <v>34.75266666666667</v>
      </c>
    </row>
    <row r="226" spans="1:7" x14ac:dyDescent="0.3">
      <c r="A226" s="138" t="s">
        <v>79</v>
      </c>
      <c r="B226" s="255">
        <v>502.48</v>
      </c>
      <c r="C226" s="255">
        <v>542.66435699135513</v>
      </c>
      <c r="D226" s="255">
        <v>13.087748645810935</v>
      </c>
      <c r="E226" s="255">
        <v>104.98869167887761</v>
      </c>
      <c r="F226" s="255">
        <v>408.74866666666662</v>
      </c>
      <c r="G226" s="255">
        <v>15.83925</v>
      </c>
    </row>
    <row r="227" spans="1:7" x14ac:dyDescent="0.3">
      <c r="A227" s="139" t="s">
        <v>80</v>
      </c>
      <c r="B227" s="255">
        <v>61.7</v>
      </c>
      <c r="C227" s="255">
        <v>179.01310634016832</v>
      </c>
      <c r="D227" s="255">
        <v>0</v>
      </c>
      <c r="E227" s="255">
        <v>38.103689673501663</v>
      </c>
      <c r="F227" s="255">
        <v>137.23033333333333</v>
      </c>
      <c r="G227" s="255">
        <v>3.6790833333333333</v>
      </c>
    </row>
    <row r="228" spans="1:7" x14ac:dyDescent="0.3">
      <c r="A228" s="139" t="s">
        <v>81</v>
      </c>
      <c r="B228" s="255">
        <v>110.49</v>
      </c>
      <c r="C228" s="255">
        <v>177.3577129993721</v>
      </c>
      <c r="D228" s="255">
        <v>13.087748645810935</v>
      </c>
      <c r="E228" s="255">
        <v>23.247381020227831</v>
      </c>
      <c r="F228" s="255">
        <v>135.97149999999999</v>
      </c>
      <c r="G228" s="255">
        <v>5.0510833333333336</v>
      </c>
    </row>
    <row r="229" spans="1:7" x14ac:dyDescent="0.3">
      <c r="A229" s="139" t="s">
        <v>82</v>
      </c>
      <c r="B229" s="255">
        <v>330.29</v>
      </c>
      <c r="C229" s="255">
        <v>186.2935376518148</v>
      </c>
      <c r="D229" s="255">
        <v>0</v>
      </c>
      <c r="E229" s="255">
        <v>43.637620985148111</v>
      </c>
      <c r="F229" s="255">
        <v>135.54683333333335</v>
      </c>
      <c r="G229" s="255">
        <v>7.1090833333333334</v>
      </c>
    </row>
    <row r="230" spans="1:7" x14ac:dyDescent="0.3">
      <c r="A230" s="138" t="s">
        <v>83</v>
      </c>
      <c r="B230" s="255">
        <v>529.35</v>
      </c>
      <c r="C230" s="255">
        <v>535.96050748592052</v>
      </c>
      <c r="D230" s="255">
        <v>0</v>
      </c>
      <c r="E230" s="255">
        <v>109.59050748592054</v>
      </c>
      <c r="F230" s="255">
        <v>417.42983333333331</v>
      </c>
      <c r="G230" s="255">
        <v>8.9401666666666664</v>
      </c>
    </row>
    <row r="231" spans="1:7" x14ac:dyDescent="0.3">
      <c r="A231" s="139" t="s">
        <v>84</v>
      </c>
      <c r="B231" s="255">
        <v>152.02000000000001</v>
      </c>
      <c r="C231" s="255">
        <v>194.27885808703414</v>
      </c>
      <c r="D231" s="255">
        <v>0</v>
      </c>
      <c r="E231" s="255">
        <v>52.045858087034141</v>
      </c>
      <c r="F231" s="255">
        <v>138.79249999999999</v>
      </c>
      <c r="G231" s="255">
        <v>3.4405000000000001</v>
      </c>
    </row>
    <row r="232" spans="1:7" x14ac:dyDescent="0.3">
      <c r="A232" s="139" t="s">
        <v>85</v>
      </c>
      <c r="B232" s="255">
        <v>175.69</v>
      </c>
      <c r="C232" s="255">
        <v>198.47334699566483</v>
      </c>
      <c r="D232" s="255">
        <v>0</v>
      </c>
      <c r="E232" s="255">
        <v>56.64693032899816</v>
      </c>
      <c r="F232" s="255">
        <v>139.01300000000001</v>
      </c>
      <c r="G232" s="255">
        <v>2.8134166666666669</v>
      </c>
    </row>
    <row r="233" spans="1:7" x14ac:dyDescent="0.3">
      <c r="A233" s="139" t="s">
        <v>86</v>
      </c>
      <c r="B233" s="255">
        <v>201.64</v>
      </c>
      <c r="C233" s="255">
        <v>143.20830240322155</v>
      </c>
      <c r="D233" s="255">
        <v>0</v>
      </c>
      <c r="E233" s="255">
        <v>0.89771906988823957</v>
      </c>
      <c r="F233" s="255">
        <v>139.62433333333331</v>
      </c>
      <c r="G233" s="255">
        <v>2.6862500000000002</v>
      </c>
    </row>
    <row r="234" spans="1:7" x14ac:dyDescent="0.3">
      <c r="A234" s="138" t="s">
        <v>87</v>
      </c>
      <c r="B234" s="255">
        <v>528.28</v>
      </c>
      <c r="C234" s="255">
        <v>680.90038498225545</v>
      </c>
      <c r="D234" s="255">
        <v>0</v>
      </c>
      <c r="E234" s="255">
        <v>247.43022756638237</v>
      </c>
      <c r="F234" s="255">
        <v>422.85599999999999</v>
      </c>
      <c r="G234" s="255">
        <v>5.8199166666666668</v>
      </c>
    </row>
    <row r="235" spans="1:7" x14ac:dyDescent="0.3">
      <c r="A235" s="139" t="s">
        <v>88</v>
      </c>
      <c r="B235" s="255">
        <v>119.59</v>
      </c>
      <c r="C235" s="255">
        <v>292.06014074920643</v>
      </c>
      <c r="D235" s="255">
        <v>0</v>
      </c>
      <c r="E235" s="255">
        <v>149.28639074920648</v>
      </c>
      <c r="F235" s="255">
        <v>140.65799999999999</v>
      </c>
      <c r="G235" s="255">
        <v>2.1157499999999998</v>
      </c>
    </row>
    <row r="236" spans="1:7" x14ac:dyDescent="0.3">
      <c r="A236" s="139" t="s">
        <v>89</v>
      </c>
      <c r="B236" s="255">
        <v>235.37</v>
      </c>
      <c r="C236" s="255">
        <v>243.41496398948786</v>
      </c>
      <c r="D236" s="255">
        <v>0</v>
      </c>
      <c r="E236" s="255">
        <v>96.215056573614746</v>
      </c>
      <c r="F236" s="255">
        <v>140.30683333333334</v>
      </c>
      <c r="G236" s="255">
        <v>2.0988333333333333</v>
      </c>
    </row>
    <row r="237" spans="1:7" x14ac:dyDescent="0.3">
      <c r="A237" s="139" t="s">
        <v>169</v>
      </c>
      <c r="B237" s="255">
        <v>173.32</v>
      </c>
      <c r="C237" s="255">
        <v>145.42528024356116</v>
      </c>
      <c r="D237" s="255">
        <v>0</v>
      </c>
      <c r="E237" s="255">
        <v>1.9287802435611747</v>
      </c>
      <c r="F237" s="255">
        <v>141.89116666666666</v>
      </c>
      <c r="G237" s="255">
        <v>1.6053333333333333</v>
      </c>
    </row>
    <row r="238" spans="1:7" x14ac:dyDescent="0.3">
      <c r="A238" s="138" t="s">
        <v>90</v>
      </c>
      <c r="B238" s="255">
        <v>496.51</v>
      </c>
      <c r="C238" s="255">
        <v>435.46941601588912</v>
      </c>
      <c r="D238" s="255">
        <v>0</v>
      </c>
      <c r="E238" s="255">
        <v>2.014249349222502</v>
      </c>
      <c r="F238" s="255">
        <v>429.30183333333332</v>
      </c>
      <c r="G238" s="255">
        <v>4.1533333333333333</v>
      </c>
    </row>
    <row r="239" spans="1:7" x14ac:dyDescent="0.3">
      <c r="A239" s="139" t="s">
        <v>91</v>
      </c>
      <c r="B239" s="255">
        <v>155.09</v>
      </c>
      <c r="C239" s="255">
        <v>149.02757348305056</v>
      </c>
      <c r="D239" s="255">
        <v>0</v>
      </c>
      <c r="E239" s="255">
        <v>5.4266568163839155</v>
      </c>
      <c r="F239" s="255">
        <v>142.41499999999999</v>
      </c>
      <c r="G239" s="255">
        <v>1.1859166666666667</v>
      </c>
    </row>
    <row r="240" spans="1:7" x14ac:dyDescent="0.3">
      <c r="A240" s="139" t="s">
        <v>92</v>
      </c>
      <c r="B240" s="255">
        <v>240.7</v>
      </c>
      <c r="C240" s="255">
        <v>140.60919388319908</v>
      </c>
      <c r="D240" s="255">
        <v>0</v>
      </c>
      <c r="E240" s="255">
        <v>-3.4747227834675614</v>
      </c>
      <c r="F240" s="255">
        <v>142.62616666666665</v>
      </c>
      <c r="G240" s="255">
        <v>1.4577500000000001</v>
      </c>
    </row>
    <row r="241" spans="1:7" x14ac:dyDescent="0.3">
      <c r="A241" s="139" t="s">
        <v>93</v>
      </c>
      <c r="B241" s="255">
        <v>100.72</v>
      </c>
      <c r="C241" s="255">
        <v>145.83264864963948</v>
      </c>
      <c r="D241" s="255">
        <v>0</v>
      </c>
      <c r="E241" s="255">
        <v>6.2315316306147707E-2</v>
      </c>
      <c r="F241" s="255">
        <v>144.26066666666665</v>
      </c>
      <c r="G241" s="255">
        <v>1.5096666666666667</v>
      </c>
    </row>
    <row r="242" spans="1:7" x14ac:dyDescent="0.3">
      <c r="A242" s="7" t="s">
        <v>47</v>
      </c>
      <c r="B242" s="255">
        <v>2130.5499999999997</v>
      </c>
      <c r="C242" s="255">
        <v>4792.6673711108715</v>
      </c>
      <c r="D242" s="255">
        <v>18.743799490729057</v>
      </c>
      <c r="E242" s="255">
        <v>1409.0969463877545</v>
      </c>
      <c r="F242" s="255">
        <v>1767.5898333333334</v>
      </c>
      <c r="G242" s="255">
        <v>37.755083333333332</v>
      </c>
    </row>
    <row r="243" spans="1:7" x14ac:dyDescent="0.3">
      <c r="A243" s="138" t="s">
        <v>79</v>
      </c>
      <c r="B243" s="255">
        <v>581.91999999999996</v>
      </c>
      <c r="C243" s="255">
        <v>829.96714712933601</v>
      </c>
      <c r="D243" s="255">
        <v>18.743799490729057</v>
      </c>
      <c r="E243" s="255">
        <v>354.82334763860695</v>
      </c>
      <c r="F243" s="255">
        <v>436.45350000000002</v>
      </c>
      <c r="G243" s="255">
        <v>19.9465</v>
      </c>
    </row>
    <row r="244" spans="1:7" x14ac:dyDescent="0.3">
      <c r="A244" s="139" t="s">
        <v>80</v>
      </c>
      <c r="B244" s="255">
        <v>271.01</v>
      </c>
      <c r="C244" s="255">
        <v>125.30539760562192</v>
      </c>
      <c r="D244" s="255">
        <v>0</v>
      </c>
      <c r="E244" s="255">
        <v>-21.179519061044747</v>
      </c>
      <c r="F244" s="255">
        <v>143.535</v>
      </c>
      <c r="G244" s="255">
        <v>2.9499166666666667</v>
      </c>
    </row>
    <row r="245" spans="1:7" x14ac:dyDescent="0.3">
      <c r="A245" s="139" t="s">
        <v>81</v>
      </c>
      <c r="B245" s="255">
        <v>241.63</v>
      </c>
      <c r="C245" s="255">
        <v>280.61306697517392</v>
      </c>
      <c r="D245" s="255">
        <v>18.743799490729057</v>
      </c>
      <c r="E245" s="255">
        <v>107.30576748444487</v>
      </c>
      <c r="F245" s="255">
        <v>145.65950000000001</v>
      </c>
      <c r="G245" s="255">
        <v>8.9039999999999999</v>
      </c>
    </row>
    <row r="246" spans="1:7" x14ac:dyDescent="0.3">
      <c r="A246" s="139" t="s">
        <v>82</v>
      </c>
      <c r="B246" s="255">
        <v>69.28</v>
      </c>
      <c r="C246" s="255">
        <v>424.04868254854017</v>
      </c>
      <c r="D246" s="255">
        <v>0</v>
      </c>
      <c r="E246" s="255">
        <v>268.69709921520683</v>
      </c>
      <c r="F246" s="255">
        <v>147.25900000000001</v>
      </c>
      <c r="G246" s="255">
        <v>8.0925833333333337</v>
      </c>
    </row>
    <row r="247" spans="1:7" x14ac:dyDescent="0.3">
      <c r="A247" s="138" t="s">
        <v>83</v>
      </c>
      <c r="B247" s="255">
        <v>517.81999999999994</v>
      </c>
      <c r="C247" s="255">
        <v>1801.7131882000997</v>
      </c>
      <c r="D247" s="255">
        <v>0</v>
      </c>
      <c r="E247" s="255">
        <v>750.5617396063401</v>
      </c>
      <c r="F247" s="255">
        <v>438.99916666666667</v>
      </c>
      <c r="G247" s="255">
        <v>6.6832499999999992</v>
      </c>
    </row>
    <row r="248" spans="1:7" x14ac:dyDescent="0.3">
      <c r="A248" s="139" t="s">
        <v>84</v>
      </c>
      <c r="B248" s="255">
        <v>158.84</v>
      </c>
      <c r="C248" s="255">
        <v>307.88979137096658</v>
      </c>
      <c r="D248" s="255">
        <v>0</v>
      </c>
      <c r="E248" s="255">
        <v>-11.979574510906872</v>
      </c>
      <c r="F248" s="255">
        <v>145.95933333333332</v>
      </c>
      <c r="G248" s="255">
        <v>2.2557499999999999</v>
      </c>
    </row>
    <row r="249" spans="1:7" x14ac:dyDescent="0.3">
      <c r="A249" s="139" t="s">
        <v>85</v>
      </c>
      <c r="B249" s="255">
        <v>187.68</v>
      </c>
      <c r="C249" s="255">
        <v>807.98524937855291</v>
      </c>
      <c r="D249" s="255">
        <v>0</v>
      </c>
      <c r="E249" s="255">
        <v>659.67216604521957</v>
      </c>
      <c r="F249" s="255">
        <v>146.17400000000001</v>
      </c>
      <c r="G249" s="255">
        <v>2.1390833333333332</v>
      </c>
    </row>
    <row r="250" spans="1:7" x14ac:dyDescent="0.3">
      <c r="A250" s="139" t="s">
        <v>86</v>
      </c>
      <c r="B250" s="255">
        <v>171.3</v>
      </c>
      <c r="C250" s="255">
        <v>685.83814745058021</v>
      </c>
      <c r="D250" s="255">
        <v>0</v>
      </c>
      <c r="E250" s="255">
        <v>102.86914807202737</v>
      </c>
      <c r="F250" s="255">
        <v>146.86583333333334</v>
      </c>
      <c r="G250" s="255">
        <v>2.288416666666667</v>
      </c>
    </row>
    <row r="251" spans="1:7" x14ac:dyDescent="0.3">
      <c r="A251" s="138" t="s">
        <v>87</v>
      </c>
      <c r="B251" s="255">
        <v>559.24</v>
      </c>
      <c r="C251" s="255">
        <v>1552.9198867906271</v>
      </c>
      <c r="D251" s="255">
        <v>0</v>
      </c>
      <c r="E251" s="255">
        <v>227.41503453036384</v>
      </c>
      <c r="F251" s="255">
        <v>444.01583333333332</v>
      </c>
      <c r="G251" s="255">
        <v>5.8735833333333334</v>
      </c>
    </row>
    <row r="252" spans="1:7" x14ac:dyDescent="0.3">
      <c r="A252" s="139" t="s">
        <v>88</v>
      </c>
      <c r="B252" s="255">
        <v>172.61</v>
      </c>
      <c r="C252" s="255">
        <v>627.08350526749587</v>
      </c>
      <c r="D252" s="255">
        <v>0</v>
      </c>
      <c r="E252" s="255">
        <v>124.65664115024896</v>
      </c>
      <c r="F252" s="255">
        <v>147.273</v>
      </c>
      <c r="G252" s="255">
        <v>2.0819166666666669</v>
      </c>
    </row>
    <row r="253" spans="1:7" x14ac:dyDescent="0.3">
      <c r="A253" s="139" t="s">
        <v>89</v>
      </c>
      <c r="B253" s="255">
        <v>228.83</v>
      </c>
      <c r="C253" s="255">
        <v>573.85428287552043</v>
      </c>
      <c r="D253" s="255">
        <v>0</v>
      </c>
      <c r="E253" s="255">
        <v>105.13216094135795</v>
      </c>
      <c r="F253" s="255">
        <v>147.69533333333331</v>
      </c>
      <c r="G253" s="255">
        <v>1.8660833333333333</v>
      </c>
    </row>
    <row r="254" spans="1:7" x14ac:dyDescent="0.3">
      <c r="A254" s="139" t="s">
        <v>169</v>
      </c>
      <c r="B254" s="255">
        <v>157.80000000000001</v>
      </c>
      <c r="C254" s="255">
        <v>351.98209864761066</v>
      </c>
      <c r="D254" s="255">
        <v>0</v>
      </c>
      <c r="E254" s="255">
        <v>-2.3737675612430587</v>
      </c>
      <c r="F254" s="255">
        <v>149.04750000000001</v>
      </c>
      <c r="G254" s="255">
        <v>1.9255833333333332</v>
      </c>
    </row>
    <row r="255" spans="1:7" x14ac:dyDescent="0.3">
      <c r="A255" s="138" t="s">
        <v>90</v>
      </c>
      <c r="B255" s="255">
        <v>471.57</v>
      </c>
      <c r="C255" s="255">
        <v>608.06714899081021</v>
      </c>
      <c r="D255" s="255">
        <v>0</v>
      </c>
      <c r="E255" s="255">
        <v>76.296824612443402</v>
      </c>
      <c r="F255" s="255">
        <v>448.12133333333333</v>
      </c>
      <c r="G255" s="255">
        <v>5.2517499999999995</v>
      </c>
    </row>
    <row r="256" spans="1:7" x14ac:dyDescent="0.3">
      <c r="A256" s="139" t="s">
        <v>91</v>
      </c>
      <c r="B256" s="255">
        <v>152.34</v>
      </c>
      <c r="C256" s="255">
        <v>296.81164239742276</v>
      </c>
      <c r="D256" s="255">
        <v>0</v>
      </c>
      <c r="E256" s="255">
        <v>83.485127083145443</v>
      </c>
      <c r="F256" s="255">
        <v>149.19333333333333</v>
      </c>
      <c r="G256" s="255">
        <v>1.8450833333333334</v>
      </c>
    </row>
    <row r="257" spans="1:7" x14ac:dyDescent="0.3">
      <c r="A257" s="139" t="s">
        <v>92</v>
      </c>
      <c r="B257" s="255">
        <v>175.43</v>
      </c>
      <c r="C257" s="255">
        <v>164.05896888256945</v>
      </c>
      <c r="D257" s="255">
        <v>0</v>
      </c>
      <c r="E257" s="255">
        <v>-3.1119235148533351</v>
      </c>
      <c r="F257" s="255">
        <v>149.24583333333334</v>
      </c>
      <c r="G257" s="255">
        <v>1.8159166666666666</v>
      </c>
    </row>
    <row r="258" spans="1:7" x14ac:dyDescent="0.3">
      <c r="A258" s="139" t="s">
        <v>93</v>
      </c>
      <c r="B258" s="255">
        <v>143.80000000000001</v>
      </c>
      <c r="C258" s="255">
        <v>147.19653771081798</v>
      </c>
      <c r="D258" s="255">
        <v>0</v>
      </c>
      <c r="E258" s="255">
        <v>-4.0763789558487096</v>
      </c>
      <c r="F258" s="255">
        <v>149.68216666666666</v>
      </c>
      <c r="G258" s="255">
        <v>1.5907499999999999</v>
      </c>
    </row>
    <row r="259" spans="1:7" x14ac:dyDescent="0.3">
      <c r="A259" s="7" t="s">
        <v>48</v>
      </c>
      <c r="B259" s="255">
        <v>2466.3000000000002</v>
      </c>
      <c r="C259" s="255">
        <v>2003.1828073333795</v>
      </c>
      <c r="D259" s="255">
        <v>18.964503400004407</v>
      </c>
      <c r="E259" s="255">
        <v>87.137803933374983</v>
      </c>
      <c r="F259" s="255">
        <v>1855.6288333333337</v>
      </c>
      <c r="G259" s="255">
        <v>41.451666666666668</v>
      </c>
    </row>
    <row r="260" spans="1:7" x14ac:dyDescent="0.3">
      <c r="A260" s="138" t="s">
        <v>79</v>
      </c>
      <c r="B260" s="255">
        <v>623.20000000000005</v>
      </c>
      <c r="C260" s="255">
        <v>479.16598168272799</v>
      </c>
      <c r="D260" s="255">
        <v>18.964503400004407</v>
      </c>
      <c r="E260" s="255">
        <v>-8.4870217172763702</v>
      </c>
      <c r="F260" s="255">
        <v>450.51766666666668</v>
      </c>
      <c r="G260" s="255">
        <v>18.170833333333334</v>
      </c>
    </row>
    <row r="261" spans="1:7" x14ac:dyDescent="0.3">
      <c r="A261" s="139" t="s">
        <v>80</v>
      </c>
      <c r="B261" s="255">
        <v>152.31</v>
      </c>
      <c r="C261" s="255">
        <v>172.92356348934794</v>
      </c>
      <c r="D261" s="255">
        <v>18.964503400004407</v>
      </c>
      <c r="E261" s="255">
        <v>1.0662267560102099</v>
      </c>
      <c r="F261" s="255">
        <v>149.58416666666665</v>
      </c>
      <c r="G261" s="255">
        <v>3.3086666666666669</v>
      </c>
    </row>
    <row r="262" spans="1:7" x14ac:dyDescent="0.3">
      <c r="A262" s="139" t="s">
        <v>81</v>
      </c>
      <c r="B262" s="255">
        <v>250.08</v>
      </c>
      <c r="C262" s="255">
        <v>133.19840152247875</v>
      </c>
      <c r="D262" s="255">
        <v>0</v>
      </c>
      <c r="E262" s="255">
        <v>-26.37651514418793</v>
      </c>
      <c r="F262" s="255">
        <v>149.62966666666668</v>
      </c>
      <c r="G262" s="255">
        <v>9.9452499999999997</v>
      </c>
    </row>
    <row r="263" spans="1:7" x14ac:dyDescent="0.3">
      <c r="A263" s="139" t="s">
        <v>82</v>
      </c>
      <c r="B263" s="255">
        <v>220.81</v>
      </c>
      <c r="C263" s="255">
        <v>173.04401667090136</v>
      </c>
      <c r="D263" s="255">
        <v>0</v>
      </c>
      <c r="E263" s="255">
        <v>16.823266670901351</v>
      </c>
      <c r="F263" s="255">
        <v>151.30383333333333</v>
      </c>
      <c r="G263" s="255">
        <v>4.9169166666666664</v>
      </c>
    </row>
    <row r="264" spans="1:7" x14ac:dyDescent="0.3">
      <c r="A264" s="138" t="s">
        <v>83</v>
      </c>
      <c r="B264" s="255">
        <v>631.31000000000006</v>
      </c>
      <c r="C264" s="255">
        <v>521.37541507741093</v>
      </c>
      <c r="D264" s="255">
        <v>0</v>
      </c>
      <c r="E264" s="255">
        <v>51.33124841074423</v>
      </c>
      <c r="F264" s="255">
        <v>460.23016666666666</v>
      </c>
      <c r="G264" s="255">
        <v>9.8140000000000001</v>
      </c>
    </row>
    <row r="265" spans="1:7" x14ac:dyDescent="0.3">
      <c r="A265" s="139" t="s">
        <v>84</v>
      </c>
      <c r="B265" s="255">
        <v>187.11</v>
      </c>
      <c r="C265" s="255">
        <v>194.29794717010645</v>
      </c>
      <c r="D265" s="255">
        <v>0</v>
      </c>
      <c r="E265" s="255">
        <v>38.734613836773136</v>
      </c>
      <c r="F265" s="255">
        <v>152.46233333333333</v>
      </c>
      <c r="G265" s="255">
        <v>3.101</v>
      </c>
    </row>
    <row r="266" spans="1:7" x14ac:dyDescent="0.3">
      <c r="A266" s="139" t="s">
        <v>85</v>
      </c>
      <c r="B266" s="255">
        <v>254.33</v>
      </c>
      <c r="C266" s="255">
        <v>151.26884596901385</v>
      </c>
      <c r="D266" s="255">
        <v>0</v>
      </c>
      <c r="E266" s="255">
        <v>-5.5579873643194748</v>
      </c>
      <c r="F266" s="255">
        <v>153.03983333333332</v>
      </c>
      <c r="G266" s="255">
        <v>3.7869999999999999</v>
      </c>
    </row>
    <row r="267" spans="1:7" x14ac:dyDescent="0.3">
      <c r="A267" s="139" t="s">
        <v>86</v>
      </c>
      <c r="B267" s="255">
        <v>189.87</v>
      </c>
      <c r="C267" s="255">
        <v>175.80862193829057</v>
      </c>
      <c r="D267" s="255">
        <v>0</v>
      </c>
      <c r="E267" s="255">
        <v>18.154621938290568</v>
      </c>
      <c r="F267" s="255">
        <v>154.72800000000001</v>
      </c>
      <c r="G267" s="255">
        <v>2.9260000000000002</v>
      </c>
    </row>
    <row r="268" spans="1:7" x14ac:dyDescent="0.3">
      <c r="A268" s="138" t="s">
        <v>87</v>
      </c>
      <c r="B268" s="255">
        <v>582.4</v>
      </c>
      <c r="C268" s="255">
        <v>442.48324656912678</v>
      </c>
      <c r="D268" s="255">
        <v>0</v>
      </c>
      <c r="E268" s="255">
        <v>-34.80067009753985</v>
      </c>
      <c r="F268" s="255">
        <v>470.54233333333332</v>
      </c>
      <c r="G268" s="255">
        <v>6.7415833333333328</v>
      </c>
    </row>
    <row r="269" spans="1:7" x14ac:dyDescent="0.3">
      <c r="A269" s="139" t="s">
        <v>88</v>
      </c>
      <c r="B269" s="255">
        <v>313.51</v>
      </c>
      <c r="C269" s="255">
        <v>182.57637999449966</v>
      </c>
      <c r="D269" s="255">
        <v>0</v>
      </c>
      <c r="E269" s="255">
        <v>24.637713327833001</v>
      </c>
      <c r="F269" s="255">
        <v>155.31366666666665</v>
      </c>
      <c r="G269" s="255">
        <v>2.625</v>
      </c>
    </row>
    <row r="270" spans="1:7" x14ac:dyDescent="0.3">
      <c r="A270" s="139" t="s">
        <v>89</v>
      </c>
      <c r="B270" s="255">
        <v>117.63</v>
      </c>
      <c r="C270" s="255">
        <v>162.27111451788917</v>
      </c>
      <c r="D270" s="255">
        <v>0</v>
      </c>
      <c r="E270" s="255">
        <v>3.0281145178891777</v>
      </c>
      <c r="F270" s="255">
        <v>157.95033333333333</v>
      </c>
      <c r="G270" s="255">
        <v>1.2926666666666666</v>
      </c>
    </row>
    <row r="271" spans="1:7" x14ac:dyDescent="0.3">
      <c r="A271" s="139" t="s">
        <v>169</v>
      </c>
      <c r="B271" s="255">
        <v>151.26</v>
      </c>
      <c r="C271" s="255">
        <v>97.635752056737971</v>
      </c>
      <c r="D271" s="255">
        <v>0</v>
      </c>
      <c r="E271" s="255">
        <v>-62.466497943262027</v>
      </c>
      <c r="F271" s="255">
        <v>157.27833333333334</v>
      </c>
      <c r="G271" s="255">
        <v>2.8239166666666669</v>
      </c>
    </row>
    <row r="272" spans="1:7" x14ac:dyDescent="0.3">
      <c r="A272" s="138" t="s">
        <v>90</v>
      </c>
      <c r="B272" s="255">
        <v>629.39</v>
      </c>
      <c r="C272" s="255">
        <v>560.1581640041137</v>
      </c>
      <c r="D272" s="255">
        <v>0</v>
      </c>
      <c r="E272" s="255">
        <v>79.094247337446973</v>
      </c>
      <c r="F272" s="255">
        <v>474.33866666666665</v>
      </c>
      <c r="G272" s="255">
        <v>6.7252500000000008</v>
      </c>
    </row>
    <row r="273" spans="1:7" x14ac:dyDescent="0.3">
      <c r="A273" s="139" t="s">
        <v>91</v>
      </c>
      <c r="B273" s="255">
        <v>224.45</v>
      </c>
      <c r="C273" s="255">
        <v>231.1976730120727</v>
      </c>
      <c r="D273" s="255">
        <v>0</v>
      </c>
      <c r="E273" s="255">
        <v>72.378173012072708</v>
      </c>
      <c r="F273" s="255">
        <v>157.178</v>
      </c>
      <c r="G273" s="255">
        <v>1.6415</v>
      </c>
    </row>
    <row r="274" spans="1:7" x14ac:dyDescent="0.3">
      <c r="A274" s="139" t="s">
        <v>92</v>
      </c>
      <c r="B274" s="255">
        <v>192.04</v>
      </c>
      <c r="C274" s="255">
        <v>161.00493044370504</v>
      </c>
      <c r="D274" s="255">
        <v>0</v>
      </c>
      <c r="E274" s="255">
        <v>0.6442637770383538</v>
      </c>
      <c r="F274" s="255">
        <v>158.29916666666668</v>
      </c>
      <c r="G274" s="255">
        <v>2.0615000000000001</v>
      </c>
    </row>
    <row r="275" spans="1:7" x14ac:dyDescent="0.3">
      <c r="A275" s="139" t="s">
        <v>93</v>
      </c>
      <c r="B275" s="255">
        <v>212.9</v>
      </c>
      <c r="C275" s="255">
        <v>167.95556054833594</v>
      </c>
      <c r="D275" s="255">
        <v>0</v>
      </c>
      <c r="E275" s="255">
        <v>6.0718105483359128</v>
      </c>
      <c r="F275" s="255">
        <v>158.86150000000001</v>
      </c>
      <c r="G275" s="255">
        <v>3.0222500000000001</v>
      </c>
    </row>
    <row r="276" spans="1:7" x14ac:dyDescent="0.3">
      <c r="A276" s="7" t="s">
        <v>49</v>
      </c>
      <c r="B276" s="255">
        <v>2607.79</v>
      </c>
      <c r="C276" s="255">
        <v>1515.5840714658291</v>
      </c>
      <c r="D276" s="255">
        <v>19.505374103365899</v>
      </c>
      <c r="E276" s="255">
        <v>-532.16955263753698</v>
      </c>
      <c r="F276" s="255">
        <v>1974.1633333333334</v>
      </c>
      <c r="G276" s="255">
        <v>54.084916666666672</v>
      </c>
    </row>
    <row r="277" spans="1:7" x14ac:dyDescent="0.3">
      <c r="A277" s="138" t="s">
        <v>79</v>
      </c>
      <c r="B277" s="255">
        <v>621.20999999999992</v>
      </c>
      <c r="C277" s="255">
        <v>486.21111348104523</v>
      </c>
      <c r="D277" s="255">
        <v>19.505374103365899</v>
      </c>
      <c r="E277" s="255">
        <v>-40.209760622320715</v>
      </c>
      <c r="F277" s="255">
        <v>482.26966666666669</v>
      </c>
      <c r="G277" s="255">
        <v>24.645833333333336</v>
      </c>
    </row>
    <row r="278" spans="1:7" x14ac:dyDescent="0.3">
      <c r="A278" s="139" t="s">
        <v>80</v>
      </c>
      <c r="B278" s="255">
        <v>249.85</v>
      </c>
      <c r="C278" s="255">
        <v>133.63291271841067</v>
      </c>
      <c r="D278" s="255">
        <v>0</v>
      </c>
      <c r="E278" s="255">
        <v>-29.921503948256007</v>
      </c>
      <c r="F278" s="255">
        <v>159.76216666666667</v>
      </c>
      <c r="G278" s="255">
        <v>3.7922500000000001</v>
      </c>
    </row>
    <row r="279" spans="1:7" x14ac:dyDescent="0.3">
      <c r="A279" s="139" t="s">
        <v>81</v>
      </c>
      <c r="B279" s="255">
        <v>160.07</v>
      </c>
      <c r="C279" s="255">
        <v>175.45923916091945</v>
      </c>
      <c r="D279" s="255">
        <v>19.505374103365899</v>
      </c>
      <c r="E279" s="255">
        <v>-17.096634942446467</v>
      </c>
      <c r="F279" s="255">
        <v>161.26366666666667</v>
      </c>
      <c r="G279" s="255">
        <v>11.786833333333334</v>
      </c>
    </row>
    <row r="280" spans="1:7" x14ac:dyDescent="0.3">
      <c r="A280" s="139" t="s">
        <v>82</v>
      </c>
      <c r="B280" s="255">
        <v>211.29</v>
      </c>
      <c r="C280" s="255">
        <v>177.11896160171509</v>
      </c>
      <c r="D280" s="255">
        <v>0</v>
      </c>
      <c r="E280" s="255">
        <v>6.8083782683817562</v>
      </c>
      <c r="F280" s="255">
        <v>161.24383333333333</v>
      </c>
      <c r="G280" s="255">
        <v>9.0667500000000008</v>
      </c>
    </row>
    <row r="281" spans="1:7" x14ac:dyDescent="0.3">
      <c r="A281" s="138" t="s">
        <v>83</v>
      </c>
      <c r="B281" s="255">
        <v>603.21</v>
      </c>
      <c r="C281" s="255">
        <v>528.40800365508767</v>
      </c>
      <c r="D281" s="255">
        <v>0</v>
      </c>
      <c r="E281" s="255">
        <v>27.591253655087634</v>
      </c>
      <c r="F281" s="255">
        <v>488.40749999999997</v>
      </c>
      <c r="G281" s="255">
        <v>12.40925</v>
      </c>
    </row>
    <row r="282" spans="1:7" x14ac:dyDescent="0.3">
      <c r="A282" s="139" t="s">
        <v>84</v>
      </c>
      <c r="B282" s="255">
        <v>213.95</v>
      </c>
      <c r="C282" s="255">
        <v>168.47800472747619</v>
      </c>
      <c r="D282" s="255">
        <v>0</v>
      </c>
      <c r="E282" s="255">
        <v>2.5412547274762121</v>
      </c>
      <c r="F282" s="255">
        <v>162.078</v>
      </c>
      <c r="G282" s="255">
        <v>3.8587500000000001</v>
      </c>
    </row>
    <row r="283" spans="1:7" x14ac:dyDescent="0.3">
      <c r="A283" s="139" t="s">
        <v>85</v>
      </c>
      <c r="B283" s="255">
        <v>189.61</v>
      </c>
      <c r="C283" s="255">
        <v>171.08053339733183</v>
      </c>
      <c r="D283" s="255">
        <v>0</v>
      </c>
      <c r="E283" s="255">
        <v>3.7472833973318322</v>
      </c>
      <c r="F283" s="255">
        <v>162.9425</v>
      </c>
      <c r="G283" s="255">
        <v>4.3907499999999997</v>
      </c>
    </row>
    <row r="284" spans="1:7" x14ac:dyDescent="0.3">
      <c r="A284" s="139" t="s">
        <v>86</v>
      </c>
      <c r="B284" s="255">
        <v>199.65</v>
      </c>
      <c r="C284" s="255">
        <v>188.84946553027959</v>
      </c>
      <c r="D284" s="255">
        <v>0</v>
      </c>
      <c r="E284" s="255">
        <v>21.302715530279592</v>
      </c>
      <c r="F284" s="255">
        <v>163.387</v>
      </c>
      <c r="G284" s="255">
        <v>4.1597499999999998</v>
      </c>
    </row>
    <row r="285" spans="1:7" x14ac:dyDescent="0.3">
      <c r="A285" s="138" t="s">
        <v>87</v>
      </c>
      <c r="B285" s="255">
        <v>733.03</v>
      </c>
      <c r="C285" s="255">
        <v>559.6406709906513</v>
      </c>
      <c r="D285" s="255">
        <v>0</v>
      </c>
      <c r="E285" s="255">
        <v>53.960670990651302</v>
      </c>
      <c r="F285" s="255">
        <v>496.363</v>
      </c>
      <c r="G285" s="255">
        <v>9.3170000000000002</v>
      </c>
    </row>
    <row r="286" spans="1:7" x14ac:dyDescent="0.3">
      <c r="A286" s="139" t="s">
        <v>88</v>
      </c>
      <c r="B286" s="255">
        <v>292.58</v>
      </c>
      <c r="C286" s="255">
        <v>236.48205926694862</v>
      </c>
      <c r="D286" s="255">
        <v>0</v>
      </c>
      <c r="E286" s="255">
        <v>68.641309266948639</v>
      </c>
      <c r="F286" s="255">
        <v>163.99133333333333</v>
      </c>
      <c r="G286" s="255">
        <v>3.8494166666666669</v>
      </c>
    </row>
    <row r="287" spans="1:7" x14ac:dyDescent="0.3">
      <c r="A287" s="139" t="s">
        <v>89</v>
      </c>
      <c r="B287" s="255">
        <v>172.29</v>
      </c>
      <c r="C287" s="255">
        <v>157.59963694455175</v>
      </c>
      <c r="D287" s="255">
        <v>0</v>
      </c>
      <c r="E287" s="255">
        <v>-11.298696388781606</v>
      </c>
      <c r="F287" s="255">
        <v>166.1345</v>
      </c>
      <c r="G287" s="255">
        <v>2.7638333333333334</v>
      </c>
    </row>
    <row r="288" spans="1:7" x14ac:dyDescent="0.3">
      <c r="A288" s="139" t="s">
        <v>169</v>
      </c>
      <c r="B288" s="255">
        <v>268.16000000000003</v>
      </c>
      <c r="C288" s="255">
        <v>165.55897477915096</v>
      </c>
      <c r="D288" s="255">
        <v>0</v>
      </c>
      <c r="E288" s="255">
        <v>-3.3819418875157305</v>
      </c>
      <c r="F288" s="255">
        <v>166.23716666666667</v>
      </c>
      <c r="G288" s="255">
        <v>2.7037499999999999</v>
      </c>
    </row>
    <row r="289" spans="1:7" x14ac:dyDescent="0.3">
      <c r="A289" s="138" t="s">
        <v>90</v>
      </c>
      <c r="B289" s="255">
        <v>650.34</v>
      </c>
      <c r="C289" s="255">
        <v>-58.675716660955146</v>
      </c>
      <c r="D289" s="255">
        <v>0</v>
      </c>
      <c r="E289" s="255">
        <v>-573.51171666095513</v>
      </c>
      <c r="F289" s="255">
        <v>507.12316666666663</v>
      </c>
      <c r="G289" s="255">
        <v>7.7128333333333341</v>
      </c>
    </row>
    <row r="290" spans="1:7" x14ac:dyDescent="0.3">
      <c r="A290" s="139" t="s">
        <v>91</v>
      </c>
      <c r="B290" s="255">
        <v>277</v>
      </c>
      <c r="C290" s="255">
        <v>83.084749174290934</v>
      </c>
      <c r="D290" s="255">
        <v>0</v>
      </c>
      <c r="E290" s="255">
        <v>-86.69150082570907</v>
      </c>
      <c r="F290" s="255">
        <v>167.93583333333333</v>
      </c>
      <c r="G290" s="255">
        <v>1.8404166666666666</v>
      </c>
    </row>
    <row r="291" spans="1:7" x14ac:dyDescent="0.3">
      <c r="A291" s="139" t="s">
        <v>92</v>
      </c>
      <c r="B291" s="255">
        <v>150.57</v>
      </c>
      <c r="C291" s="255">
        <v>-194.04641691939378</v>
      </c>
      <c r="D291" s="255">
        <v>0</v>
      </c>
      <c r="E291" s="255">
        <v>-367.97541691939375</v>
      </c>
      <c r="F291" s="255">
        <v>169.75349999999997</v>
      </c>
      <c r="G291" s="255">
        <v>4.1755000000000004</v>
      </c>
    </row>
    <row r="292" spans="1:7" x14ac:dyDescent="0.3">
      <c r="A292" s="139" t="s">
        <v>93</v>
      </c>
      <c r="B292" s="255">
        <v>222.77</v>
      </c>
      <c r="C292" s="255">
        <v>52.285951084147698</v>
      </c>
      <c r="D292" s="255">
        <v>0</v>
      </c>
      <c r="E292" s="255">
        <v>-118.84479891585234</v>
      </c>
      <c r="F292" s="255">
        <v>169.43383333333335</v>
      </c>
      <c r="G292" s="255">
        <v>1.6969166666666666</v>
      </c>
    </row>
    <row r="293" spans="1:7" x14ac:dyDescent="0.3">
      <c r="A293" s="7" t="s">
        <v>50</v>
      </c>
      <c r="B293" s="255">
        <v>2584.75</v>
      </c>
      <c r="C293" s="255">
        <v>2298.4390775469665</v>
      </c>
      <c r="D293" s="255">
        <v>20.040616604935703</v>
      </c>
      <c r="E293" s="255">
        <v>120.82754427536372</v>
      </c>
      <c r="F293" s="255">
        <v>2083.6129999999998</v>
      </c>
      <c r="G293" s="255">
        <v>73.957916666666677</v>
      </c>
    </row>
    <row r="294" spans="1:7" x14ac:dyDescent="0.3">
      <c r="A294" s="138" t="s">
        <v>79</v>
      </c>
      <c r="B294" s="255">
        <v>602.42999999999995</v>
      </c>
      <c r="C294" s="255">
        <v>513.08991540846068</v>
      </c>
      <c r="D294" s="255">
        <v>20.040616604935703</v>
      </c>
      <c r="E294" s="255">
        <v>-51.069451196475029</v>
      </c>
      <c r="F294" s="255">
        <v>514.85933333333332</v>
      </c>
      <c r="G294" s="255">
        <v>29.259416666666667</v>
      </c>
    </row>
    <row r="295" spans="1:7" x14ac:dyDescent="0.3">
      <c r="A295" s="139" t="s">
        <v>80</v>
      </c>
      <c r="B295" s="255">
        <v>304.37</v>
      </c>
      <c r="C295" s="255">
        <v>178.22926063632477</v>
      </c>
      <c r="D295" s="255">
        <v>20.040616604935703</v>
      </c>
      <c r="E295" s="255">
        <v>-16.69702263527763</v>
      </c>
      <c r="F295" s="255">
        <v>170.32283333333334</v>
      </c>
      <c r="G295" s="255">
        <v>4.5628333333333329</v>
      </c>
    </row>
    <row r="296" spans="1:7" x14ac:dyDescent="0.3">
      <c r="A296" s="139" t="s">
        <v>81</v>
      </c>
      <c r="B296" s="255">
        <v>137.91</v>
      </c>
      <c r="C296" s="255">
        <v>146.42248376533016</v>
      </c>
      <c r="D296" s="255">
        <v>0</v>
      </c>
      <c r="E296" s="255">
        <v>-41.285432901336485</v>
      </c>
      <c r="F296" s="255">
        <v>172.55699999999999</v>
      </c>
      <c r="G296" s="255">
        <v>15.150916666666665</v>
      </c>
    </row>
    <row r="297" spans="1:7" x14ac:dyDescent="0.3">
      <c r="A297" s="139" t="s">
        <v>82</v>
      </c>
      <c r="B297" s="255">
        <v>160.15</v>
      </c>
      <c r="C297" s="255">
        <v>188.43817100680576</v>
      </c>
      <c r="D297" s="255">
        <v>0</v>
      </c>
      <c r="E297" s="255">
        <v>6.9130043401390857</v>
      </c>
      <c r="F297" s="255">
        <v>171.9795</v>
      </c>
      <c r="G297" s="255">
        <v>9.5456666666666674</v>
      </c>
    </row>
    <row r="298" spans="1:7" x14ac:dyDescent="0.3">
      <c r="A298" s="138" t="s">
        <v>83</v>
      </c>
      <c r="B298" s="255">
        <v>623.92999999999995</v>
      </c>
      <c r="C298" s="255">
        <v>575.12659931588382</v>
      </c>
      <c r="D298" s="255">
        <v>0</v>
      </c>
      <c r="E298" s="255">
        <v>43.351765982550482</v>
      </c>
      <c r="F298" s="255">
        <v>518.08633333333341</v>
      </c>
      <c r="G298" s="255">
        <v>13.688499999999999</v>
      </c>
    </row>
    <row r="299" spans="1:7" x14ac:dyDescent="0.3">
      <c r="A299" s="139" t="s">
        <v>84</v>
      </c>
      <c r="B299" s="255">
        <v>260.89</v>
      </c>
      <c r="C299" s="255">
        <v>202.43061066713631</v>
      </c>
      <c r="D299" s="255">
        <v>0</v>
      </c>
      <c r="E299" s="255">
        <v>26.971527333802946</v>
      </c>
      <c r="F299" s="255">
        <v>171.78233333333336</v>
      </c>
      <c r="G299" s="255">
        <v>3.6767499999999997</v>
      </c>
    </row>
    <row r="300" spans="1:7" x14ac:dyDescent="0.3">
      <c r="A300" s="139" t="s">
        <v>85</v>
      </c>
      <c r="B300" s="255">
        <v>159.41</v>
      </c>
      <c r="C300" s="255">
        <v>180.20004947025981</v>
      </c>
      <c r="D300" s="255">
        <v>0</v>
      </c>
      <c r="E300" s="255">
        <v>3.1741328035931526</v>
      </c>
      <c r="F300" s="255">
        <v>173.26749999999998</v>
      </c>
      <c r="G300" s="255">
        <v>3.7584166666666667</v>
      </c>
    </row>
    <row r="301" spans="1:7" x14ac:dyDescent="0.3">
      <c r="A301" s="139" t="s">
        <v>86</v>
      </c>
      <c r="B301" s="255">
        <v>203.63</v>
      </c>
      <c r="C301" s="255">
        <v>192.49593917848773</v>
      </c>
      <c r="D301" s="255">
        <v>0</v>
      </c>
      <c r="E301" s="255">
        <v>13.206105845154381</v>
      </c>
      <c r="F301" s="255">
        <v>173.03650000000002</v>
      </c>
      <c r="G301" s="255">
        <v>6.253333333333333</v>
      </c>
    </row>
    <row r="302" spans="1:7" x14ac:dyDescent="0.3">
      <c r="A302" s="138" t="s">
        <v>87</v>
      </c>
      <c r="B302" s="255">
        <v>741.98</v>
      </c>
      <c r="C302" s="255">
        <v>604.31532664398151</v>
      </c>
      <c r="D302" s="255">
        <v>0</v>
      </c>
      <c r="E302" s="255">
        <v>65.274493310648168</v>
      </c>
      <c r="F302" s="255">
        <v>521.6155</v>
      </c>
      <c r="G302" s="255">
        <v>17.425333333333334</v>
      </c>
    </row>
    <row r="303" spans="1:7" x14ac:dyDescent="0.3">
      <c r="A303" s="139" t="s">
        <v>88</v>
      </c>
      <c r="B303" s="255">
        <v>207.15</v>
      </c>
      <c r="C303" s="255">
        <v>244.17743464367231</v>
      </c>
      <c r="D303" s="255">
        <v>0</v>
      </c>
      <c r="E303" s="255">
        <v>64.643767977005638</v>
      </c>
      <c r="F303" s="255">
        <v>173.54633333333334</v>
      </c>
      <c r="G303" s="255">
        <v>5.9873333333333338</v>
      </c>
    </row>
    <row r="304" spans="1:7" x14ac:dyDescent="0.3">
      <c r="A304" s="139" t="s">
        <v>89</v>
      </c>
      <c r="B304" s="255">
        <v>165.5</v>
      </c>
      <c r="C304" s="255">
        <v>141.40110936045573</v>
      </c>
      <c r="D304" s="255">
        <v>0</v>
      </c>
      <c r="E304" s="255">
        <v>-38.395057306210887</v>
      </c>
      <c r="F304" s="255">
        <v>174.10633333333331</v>
      </c>
      <c r="G304" s="255">
        <v>5.6898333333333335</v>
      </c>
    </row>
    <row r="305" spans="1:7" x14ac:dyDescent="0.3">
      <c r="A305" s="139" t="s">
        <v>169</v>
      </c>
      <c r="B305" s="255">
        <v>369.33</v>
      </c>
      <c r="C305" s="255">
        <v>218.73678263985343</v>
      </c>
      <c r="D305" s="255">
        <v>0</v>
      </c>
      <c r="E305" s="255">
        <v>39.025782639853418</v>
      </c>
      <c r="F305" s="255">
        <v>173.96283333333335</v>
      </c>
      <c r="G305" s="255">
        <v>5.7481666666666662</v>
      </c>
    </row>
    <row r="306" spans="1:7" x14ac:dyDescent="0.3">
      <c r="A306" s="138" t="s">
        <v>90</v>
      </c>
      <c r="B306" s="255">
        <v>616.41</v>
      </c>
      <c r="C306" s="255">
        <v>605.90723617864012</v>
      </c>
      <c r="D306" s="255">
        <v>0</v>
      </c>
      <c r="E306" s="255">
        <v>63.270736178640114</v>
      </c>
      <c r="F306" s="255">
        <v>529.05183333333332</v>
      </c>
      <c r="G306" s="255">
        <v>13.584666666666667</v>
      </c>
    </row>
    <row r="307" spans="1:7" x14ac:dyDescent="0.3">
      <c r="A307" s="139" t="s">
        <v>91</v>
      </c>
      <c r="B307" s="255">
        <v>60.39</v>
      </c>
      <c r="C307" s="255">
        <v>251.09434665746468</v>
      </c>
      <c r="D307" s="255">
        <v>0</v>
      </c>
      <c r="E307" s="255">
        <v>69.769846657464683</v>
      </c>
      <c r="F307" s="255">
        <v>177.21899999999999</v>
      </c>
      <c r="G307" s="255">
        <v>4.1055000000000001</v>
      </c>
    </row>
    <row r="308" spans="1:7" x14ac:dyDescent="0.3">
      <c r="A308" s="139" t="s">
        <v>92</v>
      </c>
      <c r="B308" s="255">
        <v>252.62</v>
      </c>
      <c r="C308" s="255">
        <v>180.33749999999998</v>
      </c>
      <c r="D308" s="255">
        <v>0</v>
      </c>
      <c r="E308" s="255">
        <v>0</v>
      </c>
      <c r="F308" s="255">
        <v>175.27183333333332</v>
      </c>
      <c r="G308" s="255">
        <v>5.065666666666667</v>
      </c>
    </row>
    <row r="309" spans="1:7" x14ac:dyDescent="0.3">
      <c r="A309" s="139" t="s">
        <v>93</v>
      </c>
      <c r="B309" s="255">
        <v>303.39999999999998</v>
      </c>
      <c r="C309" s="255">
        <v>174.47538952117543</v>
      </c>
      <c r="D309" s="255">
        <v>0</v>
      </c>
      <c r="E309" s="255">
        <v>-6.4991104788245702</v>
      </c>
      <c r="F309" s="255">
        <v>176.56100000000001</v>
      </c>
      <c r="G309" s="255">
        <v>4.4135</v>
      </c>
    </row>
    <row r="310" spans="1:7" x14ac:dyDescent="0.3">
      <c r="A310" s="7" t="s">
        <v>51</v>
      </c>
      <c r="B310" s="255">
        <v>3207.09</v>
      </c>
      <c r="C310" s="255">
        <v>2621.9771253862873</v>
      </c>
      <c r="D310" s="255">
        <v>-1.8525583200443592</v>
      </c>
      <c r="E310" s="255">
        <v>313.10751703966503</v>
      </c>
      <c r="F310" s="255">
        <v>2227.4384999999997</v>
      </c>
      <c r="G310" s="255">
        <v>83.283666666666662</v>
      </c>
    </row>
    <row r="311" spans="1:7" x14ac:dyDescent="0.3">
      <c r="A311" s="138" t="s">
        <v>79</v>
      </c>
      <c r="B311" s="255">
        <v>678.40000000000009</v>
      </c>
      <c r="C311" s="255">
        <v>605.16406056239407</v>
      </c>
      <c r="D311" s="255">
        <v>-1.8525583200443592</v>
      </c>
      <c r="E311" s="255">
        <v>37.283118882438366</v>
      </c>
      <c r="F311" s="255">
        <v>535.88383333333331</v>
      </c>
      <c r="G311" s="255">
        <v>33.849666666666664</v>
      </c>
    </row>
    <row r="312" spans="1:7" x14ac:dyDescent="0.3">
      <c r="A312" s="139" t="s">
        <v>80</v>
      </c>
      <c r="B312" s="255">
        <v>126.1</v>
      </c>
      <c r="C312" s="255">
        <v>199.54759319239668</v>
      </c>
      <c r="D312" s="255">
        <v>0</v>
      </c>
      <c r="E312" s="255">
        <v>13.498676525730005</v>
      </c>
      <c r="F312" s="255">
        <v>178.67500000000001</v>
      </c>
      <c r="G312" s="255">
        <v>7.3739166666666671</v>
      </c>
    </row>
    <row r="313" spans="1:7" x14ac:dyDescent="0.3">
      <c r="A313" s="139" t="s">
        <v>81</v>
      </c>
      <c r="B313" s="255">
        <v>274.47000000000003</v>
      </c>
      <c r="C313" s="255">
        <v>167.5092520180819</v>
      </c>
      <c r="D313" s="255">
        <v>-1.8525583200443592</v>
      </c>
      <c r="E313" s="255">
        <v>-16.222189661873742</v>
      </c>
      <c r="F313" s="255">
        <v>177.79883333333333</v>
      </c>
      <c r="G313" s="255">
        <v>7.785166666666667</v>
      </c>
    </row>
    <row r="314" spans="1:7" x14ac:dyDescent="0.3">
      <c r="A314" s="139" t="s">
        <v>82</v>
      </c>
      <c r="B314" s="255">
        <v>277.83</v>
      </c>
      <c r="C314" s="255">
        <v>238.10721535191544</v>
      </c>
      <c r="D314" s="255">
        <v>0</v>
      </c>
      <c r="E314" s="255">
        <v>40.006632018582103</v>
      </c>
      <c r="F314" s="255">
        <v>179.41</v>
      </c>
      <c r="G314" s="255">
        <v>18.690583333333333</v>
      </c>
    </row>
    <row r="315" spans="1:7" x14ac:dyDescent="0.3">
      <c r="A315" s="138" t="s">
        <v>83</v>
      </c>
      <c r="B315" s="255">
        <v>1011.25</v>
      </c>
      <c r="C315" s="255">
        <v>823.12791646314213</v>
      </c>
      <c r="D315" s="255">
        <v>0</v>
      </c>
      <c r="E315" s="255">
        <v>257.43924979647539</v>
      </c>
      <c r="F315" s="255">
        <v>550.5721666666667</v>
      </c>
      <c r="G315" s="255">
        <v>15.1165</v>
      </c>
    </row>
    <row r="316" spans="1:7" x14ac:dyDescent="0.3">
      <c r="A316" s="139" t="s">
        <v>84</v>
      </c>
      <c r="B316" s="255">
        <v>347.58</v>
      </c>
      <c r="C316" s="255">
        <v>365.84186512959309</v>
      </c>
      <c r="D316" s="255">
        <v>0</v>
      </c>
      <c r="E316" s="255">
        <v>178.49736512959308</v>
      </c>
      <c r="F316" s="255">
        <v>181.05033333333333</v>
      </c>
      <c r="G316" s="255">
        <v>6.2941666666666665</v>
      </c>
    </row>
    <row r="317" spans="1:7" x14ac:dyDescent="0.3">
      <c r="A317" s="139" t="s">
        <v>85</v>
      </c>
      <c r="B317" s="255">
        <v>296.04000000000002</v>
      </c>
      <c r="C317" s="255">
        <v>217.74368449988151</v>
      </c>
      <c r="D317" s="255">
        <v>0</v>
      </c>
      <c r="E317" s="255">
        <v>29.027184499881521</v>
      </c>
      <c r="F317" s="255">
        <v>183.82583333333332</v>
      </c>
      <c r="G317" s="255">
        <v>4.8906666666666663</v>
      </c>
    </row>
    <row r="318" spans="1:7" x14ac:dyDescent="0.3">
      <c r="A318" s="139" t="s">
        <v>86</v>
      </c>
      <c r="B318" s="255">
        <v>367.63</v>
      </c>
      <c r="C318" s="255">
        <v>239.54236683366747</v>
      </c>
      <c r="D318" s="255">
        <v>0</v>
      </c>
      <c r="E318" s="255">
        <v>49.914700167000817</v>
      </c>
      <c r="F318" s="255">
        <v>185.696</v>
      </c>
      <c r="G318" s="255">
        <v>3.9316666666666666</v>
      </c>
    </row>
    <row r="319" spans="1:7" x14ac:dyDescent="0.3">
      <c r="A319" s="138" t="s">
        <v>87</v>
      </c>
      <c r="B319" s="255">
        <v>767.61</v>
      </c>
      <c r="C319" s="255">
        <v>556.6772040965102</v>
      </c>
      <c r="D319" s="255">
        <v>0</v>
      </c>
      <c r="E319" s="255">
        <v>-29.298629236823253</v>
      </c>
      <c r="F319" s="255">
        <v>566.91716666666673</v>
      </c>
      <c r="G319" s="255">
        <v>19.058666666666667</v>
      </c>
    </row>
    <row r="320" spans="1:7" x14ac:dyDescent="0.3">
      <c r="A320" s="139" t="s">
        <v>88</v>
      </c>
      <c r="B320" s="255">
        <v>188.38</v>
      </c>
      <c r="C320" s="255">
        <v>258.86947840352758</v>
      </c>
      <c r="D320" s="255">
        <v>0</v>
      </c>
      <c r="E320" s="255">
        <v>63.642978403527565</v>
      </c>
      <c r="F320" s="255">
        <v>188.72816666666668</v>
      </c>
      <c r="G320" s="255">
        <v>6.4983333333333331</v>
      </c>
    </row>
    <row r="321" spans="1:7" x14ac:dyDescent="0.3">
      <c r="A321" s="139" t="s">
        <v>89</v>
      </c>
      <c r="B321" s="255">
        <v>233.38</v>
      </c>
      <c r="C321" s="255">
        <v>135.52958756081583</v>
      </c>
      <c r="D321" s="255">
        <v>0</v>
      </c>
      <c r="E321" s="255">
        <v>-59.675329105850828</v>
      </c>
      <c r="F321" s="255">
        <v>188.72233333333332</v>
      </c>
      <c r="G321" s="255">
        <v>6.4825833333333334</v>
      </c>
    </row>
    <row r="322" spans="1:7" x14ac:dyDescent="0.3">
      <c r="A322" s="139" t="s">
        <v>169</v>
      </c>
      <c r="B322" s="255">
        <v>345.85</v>
      </c>
      <c r="C322" s="255">
        <v>162.2781381321667</v>
      </c>
      <c r="D322" s="255">
        <v>0</v>
      </c>
      <c r="E322" s="255">
        <v>-33.266278534499989</v>
      </c>
      <c r="F322" s="255">
        <v>189.46666666666667</v>
      </c>
      <c r="G322" s="255">
        <v>6.07775</v>
      </c>
    </row>
    <row r="323" spans="1:7" x14ac:dyDescent="0.3">
      <c r="A323" s="138" t="s">
        <v>90</v>
      </c>
      <c r="B323" s="255">
        <v>749.82999999999993</v>
      </c>
      <c r="C323" s="255">
        <v>637.00794426424113</v>
      </c>
      <c r="D323" s="255">
        <v>0</v>
      </c>
      <c r="E323" s="255">
        <v>47.683777597574547</v>
      </c>
      <c r="F323" s="255">
        <v>574.06533333333323</v>
      </c>
      <c r="G323" s="255">
        <v>15.258833333333332</v>
      </c>
    </row>
    <row r="324" spans="1:7" x14ac:dyDescent="0.3">
      <c r="A324" s="139" t="s">
        <v>91</v>
      </c>
      <c r="B324" s="255">
        <v>58.58</v>
      </c>
      <c r="C324" s="255">
        <v>246.20181100753928</v>
      </c>
      <c r="D324" s="255">
        <v>0</v>
      </c>
      <c r="E324" s="255">
        <v>49.378727674205983</v>
      </c>
      <c r="F324" s="255">
        <v>192.07299999999998</v>
      </c>
      <c r="G324" s="255">
        <v>4.7500833333333334</v>
      </c>
    </row>
    <row r="325" spans="1:7" x14ac:dyDescent="0.3">
      <c r="A325" s="139" t="s">
        <v>92</v>
      </c>
      <c r="B325" s="255">
        <v>327.61</v>
      </c>
      <c r="C325" s="255">
        <v>176.97190927899322</v>
      </c>
      <c r="D325" s="255">
        <v>0</v>
      </c>
      <c r="E325" s="255">
        <v>-18.717757387673416</v>
      </c>
      <c r="F325" s="255">
        <v>189.84816666666666</v>
      </c>
      <c r="G325" s="255">
        <v>5.8414999999999999</v>
      </c>
    </row>
    <row r="326" spans="1:7" x14ac:dyDescent="0.3">
      <c r="A326" s="139" t="s">
        <v>93</v>
      </c>
      <c r="B326" s="255">
        <v>363.64</v>
      </c>
      <c r="C326" s="255">
        <v>213.83422397770863</v>
      </c>
      <c r="D326" s="255">
        <v>0</v>
      </c>
      <c r="E326" s="255">
        <v>17.022807311041976</v>
      </c>
      <c r="F326" s="255">
        <v>192.14416666666665</v>
      </c>
      <c r="G326" s="255">
        <v>4.6672500000000001</v>
      </c>
    </row>
    <row r="327" spans="1:7" x14ac:dyDescent="0.3">
      <c r="A327" s="7" t="s">
        <v>52</v>
      </c>
      <c r="B327" s="255">
        <v>4123.5700000000006</v>
      </c>
      <c r="C327" s="255">
        <v>3049.5741879445332</v>
      </c>
      <c r="D327" s="255">
        <v>2.5360691124088355</v>
      </c>
      <c r="E327" s="255">
        <v>469.00870216545701</v>
      </c>
      <c r="F327" s="255">
        <v>2480.8244999999997</v>
      </c>
      <c r="G327" s="255">
        <v>97.204916666666662</v>
      </c>
    </row>
    <row r="328" spans="1:7" x14ac:dyDescent="0.3">
      <c r="A328" s="138" t="s">
        <v>79</v>
      </c>
      <c r="B328" s="255">
        <v>1020.1700000000001</v>
      </c>
      <c r="C328" s="255">
        <v>1099.9707795756522</v>
      </c>
      <c r="D328" s="255">
        <v>2.5360691124088355</v>
      </c>
      <c r="E328" s="255">
        <v>468.22337712990986</v>
      </c>
      <c r="F328" s="255">
        <v>590.02766666666662</v>
      </c>
      <c r="G328" s="255">
        <v>39.183666666666667</v>
      </c>
    </row>
    <row r="329" spans="1:7" x14ac:dyDescent="0.3">
      <c r="A329" s="139" t="s">
        <v>80</v>
      </c>
      <c r="B329" s="255">
        <v>265.7</v>
      </c>
      <c r="C329" s="255">
        <v>337.62357837893319</v>
      </c>
      <c r="D329" s="255">
        <v>0</v>
      </c>
      <c r="E329" s="255">
        <v>136.49724504559987</v>
      </c>
      <c r="F329" s="255">
        <v>195.0025</v>
      </c>
      <c r="G329" s="255">
        <v>6.1238333333333337</v>
      </c>
    </row>
    <row r="330" spans="1:7" x14ac:dyDescent="0.3">
      <c r="A330" s="139" t="s">
        <v>81</v>
      </c>
      <c r="B330" s="255">
        <v>355.99</v>
      </c>
      <c r="C330" s="255">
        <v>308.097186078665</v>
      </c>
      <c r="D330" s="255">
        <v>2.5360691124088355</v>
      </c>
      <c r="E330" s="255">
        <v>92.174866966256147</v>
      </c>
      <c r="F330" s="255">
        <v>196.18083333333334</v>
      </c>
      <c r="G330" s="255">
        <v>17.205416666666668</v>
      </c>
    </row>
    <row r="331" spans="1:7" x14ac:dyDescent="0.3">
      <c r="A331" s="139" t="s">
        <v>82</v>
      </c>
      <c r="B331" s="255">
        <v>398.48</v>
      </c>
      <c r="C331" s="255">
        <v>454.25001511805385</v>
      </c>
      <c r="D331" s="255">
        <v>0</v>
      </c>
      <c r="E331" s="255">
        <v>239.55126511805383</v>
      </c>
      <c r="F331" s="255">
        <v>198.84433333333334</v>
      </c>
      <c r="G331" s="255">
        <v>15.854416666666667</v>
      </c>
    </row>
    <row r="332" spans="1:7" x14ac:dyDescent="0.3">
      <c r="A332" s="138" t="s">
        <v>83</v>
      </c>
      <c r="B332" s="255">
        <v>853.41</v>
      </c>
      <c r="C332" s="255">
        <v>598.95273274498277</v>
      </c>
      <c r="D332" s="255">
        <v>0</v>
      </c>
      <c r="E332" s="255">
        <v>-27.446350588350526</v>
      </c>
      <c r="F332" s="255">
        <v>608.20083333333332</v>
      </c>
      <c r="G332" s="255">
        <v>18.198250000000002</v>
      </c>
    </row>
    <row r="333" spans="1:7" x14ac:dyDescent="0.3">
      <c r="A333" s="139" t="s">
        <v>84</v>
      </c>
      <c r="B333" s="255">
        <v>166.54</v>
      </c>
      <c r="C333" s="255">
        <v>192.50416885203381</v>
      </c>
      <c r="D333" s="255">
        <v>0</v>
      </c>
      <c r="E333" s="255">
        <v>-15.366081147966177</v>
      </c>
      <c r="F333" s="255">
        <v>202.17166666666665</v>
      </c>
      <c r="G333" s="255">
        <v>5.6985833333333336</v>
      </c>
    </row>
    <row r="334" spans="1:7" x14ac:dyDescent="0.3">
      <c r="A334" s="139" t="s">
        <v>85</v>
      </c>
      <c r="B334" s="255">
        <v>373.99</v>
      </c>
      <c r="C334" s="255">
        <v>124.33869603831207</v>
      </c>
      <c r="D334" s="255">
        <v>0</v>
      </c>
      <c r="E334" s="255">
        <v>-83.220053961687938</v>
      </c>
      <c r="F334" s="255">
        <v>201.57783333333333</v>
      </c>
      <c r="G334" s="255">
        <v>5.9809166666666673</v>
      </c>
    </row>
    <row r="335" spans="1:7" x14ac:dyDescent="0.3">
      <c r="A335" s="139" t="s">
        <v>86</v>
      </c>
      <c r="B335" s="255">
        <v>312.88</v>
      </c>
      <c r="C335" s="255">
        <v>282.10986785463695</v>
      </c>
      <c r="D335" s="255">
        <v>0</v>
      </c>
      <c r="E335" s="255">
        <v>71.139784521303596</v>
      </c>
      <c r="F335" s="255">
        <v>204.45133333333334</v>
      </c>
      <c r="G335" s="255">
        <v>6.5187499999999998</v>
      </c>
    </row>
    <row r="336" spans="1:7" x14ac:dyDescent="0.3">
      <c r="A336" s="138" t="s">
        <v>87</v>
      </c>
      <c r="B336" s="255">
        <v>1150.26</v>
      </c>
      <c r="C336" s="255">
        <v>643.02489875765309</v>
      </c>
      <c r="D336" s="255">
        <v>0</v>
      </c>
      <c r="E336" s="255">
        <v>0.87523209098645793</v>
      </c>
      <c r="F336" s="255">
        <v>626.23983333333331</v>
      </c>
      <c r="G336" s="255">
        <v>15.909833333333333</v>
      </c>
    </row>
    <row r="337" spans="1:7" x14ac:dyDescent="0.3">
      <c r="A337" s="139" t="s">
        <v>88</v>
      </c>
      <c r="B337" s="255">
        <v>296.35000000000002</v>
      </c>
      <c r="C337" s="255">
        <v>286.8923120888503</v>
      </c>
      <c r="D337" s="255">
        <v>0</v>
      </c>
      <c r="E337" s="255">
        <v>75.03206208885031</v>
      </c>
      <c r="F337" s="255">
        <v>206.2585</v>
      </c>
      <c r="G337" s="255">
        <v>5.60175</v>
      </c>
    </row>
    <row r="338" spans="1:7" x14ac:dyDescent="0.3">
      <c r="A338" s="139" t="s">
        <v>89</v>
      </c>
      <c r="B338" s="255">
        <v>475.44</v>
      </c>
      <c r="C338" s="255">
        <v>273.90091554089696</v>
      </c>
      <c r="D338" s="255">
        <v>0</v>
      </c>
      <c r="E338" s="255">
        <v>61.307998874230265</v>
      </c>
      <c r="F338" s="255">
        <v>207.76000000000002</v>
      </c>
      <c r="G338" s="255">
        <v>4.8329166666666667</v>
      </c>
    </row>
    <row r="339" spans="1:7" x14ac:dyDescent="0.3">
      <c r="A339" s="139" t="s">
        <v>169</v>
      </c>
      <c r="B339" s="255">
        <v>378.47</v>
      </c>
      <c r="C339" s="255">
        <v>82.231671127905884</v>
      </c>
      <c r="D339" s="255">
        <v>0</v>
      </c>
      <c r="E339" s="255">
        <v>-135.46482887209413</v>
      </c>
      <c r="F339" s="255">
        <v>212.22133333333335</v>
      </c>
      <c r="G339" s="255">
        <v>5.4751666666666665</v>
      </c>
    </row>
    <row r="340" spans="1:7" x14ac:dyDescent="0.3">
      <c r="A340" s="138" t="s">
        <v>90</v>
      </c>
      <c r="B340" s="255">
        <v>1099.73</v>
      </c>
      <c r="C340" s="255">
        <v>707.62577686624445</v>
      </c>
      <c r="D340" s="255">
        <v>0</v>
      </c>
      <c r="E340" s="255">
        <v>27.356443532911101</v>
      </c>
      <c r="F340" s="255">
        <v>656.3561666666667</v>
      </c>
      <c r="G340" s="255">
        <v>23.913166666666665</v>
      </c>
    </row>
    <row r="341" spans="1:7" x14ac:dyDescent="0.3">
      <c r="A341" s="139" t="s">
        <v>91</v>
      </c>
      <c r="B341" s="255">
        <v>467.55</v>
      </c>
      <c r="C341" s="255">
        <v>-42.165196511915525</v>
      </c>
      <c r="D341" s="255">
        <v>0</v>
      </c>
      <c r="E341" s="255">
        <v>-267.0448631785822</v>
      </c>
      <c r="F341" s="255">
        <v>214.99216666666669</v>
      </c>
      <c r="G341" s="255">
        <v>9.8874999999999993</v>
      </c>
    </row>
    <row r="342" spans="1:7" x14ac:dyDescent="0.3">
      <c r="A342" s="139" t="s">
        <v>92</v>
      </c>
      <c r="B342" s="255">
        <v>396.86</v>
      </c>
      <c r="C342" s="255">
        <v>358.5871610278939</v>
      </c>
      <c r="D342" s="255">
        <v>0</v>
      </c>
      <c r="E342" s="255">
        <v>131.62499436122721</v>
      </c>
      <c r="F342" s="255">
        <v>219.20150000000001</v>
      </c>
      <c r="G342" s="255">
        <v>7.7606666666666664</v>
      </c>
    </row>
    <row r="343" spans="1:7" x14ac:dyDescent="0.3">
      <c r="A343" s="139" t="s">
        <v>93</v>
      </c>
      <c r="B343" s="255">
        <v>235.32</v>
      </c>
      <c r="C343" s="255">
        <v>391.20381235026605</v>
      </c>
      <c r="D343" s="255">
        <v>0</v>
      </c>
      <c r="E343" s="255">
        <v>162.7763123502661</v>
      </c>
      <c r="F343" s="255">
        <v>222.16249999999999</v>
      </c>
      <c r="G343" s="255">
        <v>6.2649999999999997</v>
      </c>
    </row>
    <row r="344" spans="1:7" x14ac:dyDescent="0.3">
      <c r="A344" s="7" t="s">
        <v>53</v>
      </c>
      <c r="B344" s="255">
        <v>3613.95</v>
      </c>
      <c r="C344" s="255">
        <v>4518.5273262745623</v>
      </c>
      <c r="D344" s="255">
        <v>14.193111169671864</v>
      </c>
      <c r="E344" s="255">
        <v>1639.664131771558</v>
      </c>
      <c r="F344" s="255">
        <v>2748.1906666666669</v>
      </c>
      <c r="G344" s="255">
        <v>116.47941666666668</v>
      </c>
    </row>
    <row r="345" spans="1:7" x14ac:dyDescent="0.3">
      <c r="A345" s="138" t="s">
        <v>79</v>
      </c>
      <c r="B345" s="255">
        <v>938.47</v>
      </c>
      <c r="C345" s="255">
        <v>1218.6070554468597</v>
      </c>
      <c r="D345" s="255">
        <v>14.193111169671864</v>
      </c>
      <c r="E345" s="255">
        <v>482.12302761052115</v>
      </c>
      <c r="F345" s="255">
        <v>672.82249999999999</v>
      </c>
      <c r="G345" s="255">
        <v>49.46841666666667</v>
      </c>
    </row>
    <row r="346" spans="1:7" x14ac:dyDescent="0.3">
      <c r="A346" s="139" t="s">
        <v>80</v>
      </c>
      <c r="B346" s="255">
        <v>337.32</v>
      </c>
      <c r="C346" s="255">
        <v>205.49861773926037</v>
      </c>
      <c r="D346" s="255">
        <v>14.193111169671864</v>
      </c>
      <c r="E346" s="255">
        <v>-42.20282676374481</v>
      </c>
      <c r="F346" s="255">
        <v>222.38183333333333</v>
      </c>
      <c r="G346" s="255">
        <v>11.1265</v>
      </c>
    </row>
    <row r="347" spans="1:7" x14ac:dyDescent="0.3">
      <c r="A347" s="139" t="s">
        <v>81</v>
      </c>
      <c r="B347" s="255">
        <v>335.04</v>
      </c>
      <c r="C347" s="255">
        <v>327.67531485928146</v>
      </c>
      <c r="D347" s="255">
        <v>0</v>
      </c>
      <c r="E347" s="255">
        <v>83.745731525948102</v>
      </c>
      <c r="F347" s="255">
        <v>224.29750000000001</v>
      </c>
      <c r="G347" s="255">
        <v>19.632083333333334</v>
      </c>
    </row>
    <row r="348" spans="1:7" x14ac:dyDescent="0.3">
      <c r="A348" s="139" t="s">
        <v>82</v>
      </c>
      <c r="B348" s="255">
        <v>266.11</v>
      </c>
      <c r="C348" s="255">
        <v>685.43312284831791</v>
      </c>
      <c r="D348" s="255">
        <v>0</v>
      </c>
      <c r="E348" s="255">
        <v>440.58012284831784</v>
      </c>
      <c r="F348" s="255">
        <v>226.14316666666667</v>
      </c>
      <c r="G348" s="255">
        <v>18.709833333333332</v>
      </c>
    </row>
    <row r="349" spans="1:7" x14ac:dyDescent="0.3">
      <c r="A349" s="138" t="s">
        <v>83</v>
      </c>
      <c r="B349" s="255">
        <v>777.35</v>
      </c>
      <c r="C349" s="255">
        <v>1443.1247919750276</v>
      </c>
      <c r="D349" s="255">
        <v>0</v>
      </c>
      <c r="E349" s="255">
        <v>734.14204197502772</v>
      </c>
      <c r="F349" s="255">
        <v>681.23766666666666</v>
      </c>
      <c r="G349" s="255">
        <v>27.745083333333334</v>
      </c>
    </row>
    <row r="350" spans="1:7" x14ac:dyDescent="0.3">
      <c r="A350" s="139" t="s">
        <v>84</v>
      </c>
      <c r="B350" s="255">
        <v>213.58</v>
      </c>
      <c r="C350" s="255">
        <v>422.4116978032655</v>
      </c>
      <c r="D350" s="255">
        <v>0</v>
      </c>
      <c r="E350" s="255">
        <v>186.2036978032655</v>
      </c>
      <c r="F350" s="255">
        <v>226.80933333333331</v>
      </c>
      <c r="G350" s="255">
        <v>9.3986666666666654</v>
      </c>
    </row>
    <row r="351" spans="1:7" x14ac:dyDescent="0.3">
      <c r="A351" s="139" t="s">
        <v>85</v>
      </c>
      <c r="B351" s="255">
        <v>301.63</v>
      </c>
      <c r="C351" s="255">
        <v>219.4646584992978</v>
      </c>
      <c r="D351" s="255">
        <v>0</v>
      </c>
      <c r="E351" s="255">
        <v>-16.615591500702216</v>
      </c>
      <c r="F351" s="255">
        <v>226.58883333333333</v>
      </c>
      <c r="G351" s="255">
        <v>9.4914166666666677</v>
      </c>
    </row>
    <row r="352" spans="1:7" x14ac:dyDescent="0.3">
      <c r="A352" s="139" t="s">
        <v>86</v>
      </c>
      <c r="B352" s="255">
        <v>262.14</v>
      </c>
      <c r="C352" s="255">
        <v>801.24843567246444</v>
      </c>
      <c r="D352" s="255">
        <v>0</v>
      </c>
      <c r="E352" s="255">
        <v>564.55393567246449</v>
      </c>
      <c r="F352" s="255">
        <v>227.83950000000002</v>
      </c>
      <c r="G352" s="255">
        <v>8.8549999999999986</v>
      </c>
    </row>
    <row r="353" spans="1:7" x14ac:dyDescent="0.3">
      <c r="A353" s="138" t="s">
        <v>87</v>
      </c>
      <c r="B353" s="255">
        <v>931.54000000000008</v>
      </c>
      <c r="C353" s="255">
        <v>998.26996499602762</v>
      </c>
      <c r="D353" s="255">
        <v>0</v>
      </c>
      <c r="E353" s="255">
        <v>284.80546499602769</v>
      </c>
      <c r="F353" s="255">
        <v>690.4613333333333</v>
      </c>
      <c r="G353" s="255">
        <v>23.003166666666669</v>
      </c>
    </row>
    <row r="354" spans="1:7" x14ac:dyDescent="0.3">
      <c r="A354" s="139" t="s">
        <v>88</v>
      </c>
      <c r="B354" s="255">
        <v>310.87</v>
      </c>
      <c r="C354" s="255">
        <v>522.03122631034444</v>
      </c>
      <c r="D354" s="255">
        <v>0</v>
      </c>
      <c r="E354" s="255">
        <v>285.05905964367776</v>
      </c>
      <c r="F354" s="255">
        <v>228.41116666666667</v>
      </c>
      <c r="G354" s="255">
        <v>8.5609999999999999</v>
      </c>
    </row>
    <row r="355" spans="1:7" x14ac:dyDescent="0.3">
      <c r="A355" s="139" t="s">
        <v>89</v>
      </c>
      <c r="B355" s="255">
        <v>378.54</v>
      </c>
      <c r="C355" s="255">
        <v>224.91329476808011</v>
      </c>
      <c r="D355" s="255">
        <v>0</v>
      </c>
      <c r="E355" s="255">
        <v>-12.719205231919883</v>
      </c>
      <c r="F355" s="255">
        <v>229.78549999999998</v>
      </c>
      <c r="G355" s="255">
        <v>7.8469999999999995</v>
      </c>
    </row>
    <row r="356" spans="1:7" x14ac:dyDescent="0.3">
      <c r="A356" s="139" t="s">
        <v>169</v>
      </c>
      <c r="B356" s="255">
        <v>242.13</v>
      </c>
      <c r="C356" s="255">
        <v>251.32544391760314</v>
      </c>
      <c r="D356" s="255">
        <v>0</v>
      </c>
      <c r="E356" s="255">
        <v>12.465610584269818</v>
      </c>
      <c r="F356" s="255">
        <v>232.26466666666664</v>
      </c>
      <c r="G356" s="255">
        <v>6.5951666666666666</v>
      </c>
    </row>
    <row r="357" spans="1:7" x14ac:dyDescent="0.3">
      <c r="A357" s="138" t="s">
        <v>90</v>
      </c>
      <c r="B357" s="255">
        <v>966.58999999999992</v>
      </c>
      <c r="C357" s="255">
        <v>858.52551385664788</v>
      </c>
      <c r="D357" s="255">
        <v>0</v>
      </c>
      <c r="E357" s="255">
        <v>138.59359718998118</v>
      </c>
      <c r="F357" s="255">
        <v>703.66916666666668</v>
      </c>
      <c r="G357" s="255">
        <v>16.262749999999997</v>
      </c>
    </row>
    <row r="358" spans="1:7" x14ac:dyDescent="0.3">
      <c r="A358" s="139" t="s">
        <v>91</v>
      </c>
      <c r="B358" s="255">
        <v>381.11</v>
      </c>
      <c r="C358" s="255">
        <v>357.54887588715218</v>
      </c>
      <c r="D358" s="255">
        <v>0</v>
      </c>
      <c r="E358" s="255">
        <v>118.61787588715217</v>
      </c>
      <c r="F358" s="255">
        <v>232.42916666666667</v>
      </c>
      <c r="G358" s="255">
        <v>6.5018333333333338</v>
      </c>
    </row>
    <row r="359" spans="1:7" x14ac:dyDescent="0.3">
      <c r="A359" s="139" t="s">
        <v>92</v>
      </c>
      <c r="B359" s="255">
        <v>320.45</v>
      </c>
      <c r="C359" s="255">
        <v>238.23649804533679</v>
      </c>
      <c r="D359" s="255">
        <v>0</v>
      </c>
      <c r="E359" s="255">
        <v>-1.9125019546632309</v>
      </c>
      <c r="F359" s="255">
        <v>234.90716666666668</v>
      </c>
      <c r="G359" s="255">
        <v>5.2418333333333331</v>
      </c>
    </row>
    <row r="360" spans="1:7" x14ac:dyDescent="0.3">
      <c r="A360" s="139" t="s">
        <v>93</v>
      </c>
      <c r="B360" s="255">
        <v>265.02999999999997</v>
      </c>
      <c r="C360" s="255">
        <v>262.74013992415888</v>
      </c>
      <c r="D360" s="255">
        <v>0</v>
      </c>
      <c r="E360" s="255">
        <v>21.888223257492236</v>
      </c>
      <c r="F360" s="255">
        <v>236.33283333333333</v>
      </c>
      <c r="G360" s="255">
        <v>4.5190833333333327</v>
      </c>
    </row>
    <row r="361" spans="1:7" x14ac:dyDescent="0.3">
      <c r="A361" s="7" t="s">
        <v>54</v>
      </c>
      <c r="B361" s="255">
        <v>4464.7</v>
      </c>
      <c r="C361" s="255">
        <v>4545.4698469938639</v>
      </c>
      <c r="D361" s="255">
        <v>-0.25415261220691576</v>
      </c>
      <c r="E361" s="255">
        <v>1432.7440829394045</v>
      </c>
      <c r="F361" s="255">
        <v>2990.1445000000003</v>
      </c>
      <c r="G361" s="255">
        <v>122.83541666666666</v>
      </c>
    </row>
    <row r="362" spans="1:7" x14ac:dyDescent="0.3">
      <c r="A362" s="138" t="s">
        <v>79</v>
      </c>
      <c r="B362" s="255">
        <v>1156.58</v>
      </c>
      <c r="C362" s="255">
        <v>1364.9607737600434</v>
      </c>
      <c r="D362" s="255">
        <v>-0.25415261220691576</v>
      </c>
      <c r="E362" s="255">
        <v>606.12442637225024</v>
      </c>
      <c r="F362" s="255">
        <v>716.62733333333335</v>
      </c>
      <c r="G362" s="255">
        <v>42.463166666666666</v>
      </c>
    </row>
    <row r="363" spans="1:7" x14ac:dyDescent="0.3">
      <c r="A363" s="139" t="s">
        <v>80</v>
      </c>
      <c r="B363" s="255">
        <v>400.26</v>
      </c>
      <c r="C363" s="255">
        <v>873.79348064885005</v>
      </c>
      <c r="D363" s="255">
        <v>0</v>
      </c>
      <c r="E363" s="255">
        <v>626.16964731551673</v>
      </c>
      <c r="F363" s="255">
        <v>236.81116666666668</v>
      </c>
      <c r="G363" s="255">
        <v>10.812666666666667</v>
      </c>
    </row>
    <row r="364" spans="1:7" x14ac:dyDescent="0.3">
      <c r="A364" s="139" t="s">
        <v>81</v>
      </c>
      <c r="B364" s="255">
        <v>284.27</v>
      </c>
      <c r="C364" s="255">
        <v>231.75995021939232</v>
      </c>
      <c r="D364" s="255">
        <v>-0.25415261220691576</v>
      </c>
      <c r="E364" s="255">
        <v>-16.951397168400764</v>
      </c>
      <c r="F364" s="255">
        <v>239.53533333333334</v>
      </c>
      <c r="G364" s="255">
        <v>9.4301666666666666</v>
      </c>
    </row>
    <row r="365" spans="1:7" x14ac:dyDescent="0.3">
      <c r="A365" s="139" t="s">
        <v>82</v>
      </c>
      <c r="B365" s="255">
        <v>472.05</v>
      </c>
      <c r="C365" s="255">
        <v>259.40734289180091</v>
      </c>
      <c r="D365" s="255">
        <v>0</v>
      </c>
      <c r="E365" s="255">
        <v>-3.0938237748657791</v>
      </c>
      <c r="F365" s="255">
        <v>240.28083333333333</v>
      </c>
      <c r="G365" s="255">
        <v>22.220333333333333</v>
      </c>
    </row>
    <row r="366" spans="1:7" x14ac:dyDescent="0.3">
      <c r="A366" s="138" t="s">
        <v>83</v>
      </c>
      <c r="B366" s="255">
        <v>1141.1600000000001</v>
      </c>
      <c r="C366" s="255">
        <v>1245.1298506545506</v>
      </c>
      <c r="D366" s="255">
        <v>0</v>
      </c>
      <c r="E366" s="255">
        <v>478.08560065455055</v>
      </c>
      <c r="F366" s="255">
        <v>741.32100000000003</v>
      </c>
      <c r="G366" s="255">
        <v>25.72325</v>
      </c>
    </row>
    <row r="367" spans="1:7" x14ac:dyDescent="0.3">
      <c r="A367" s="139" t="s">
        <v>84</v>
      </c>
      <c r="B367" s="255">
        <v>415.85</v>
      </c>
      <c r="C367" s="255">
        <v>520.11872527810124</v>
      </c>
      <c r="D367" s="255">
        <v>0</v>
      </c>
      <c r="E367" s="255">
        <v>265.90147527810115</v>
      </c>
      <c r="F367" s="255">
        <v>244.14366666666669</v>
      </c>
      <c r="G367" s="255">
        <v>10.073583333333334</v>
      </c>
    </row>
    <row r="368" spans="1:7" x14ac:dyDescent="0.3">
      <c r="A368" s="139" t="s">
        <v>85</v>
      </c>
      <c r="B368" s="255">
        <v>436.99</v>
      </c>
      <c r="C368" s="255">
        <v>427.27945906171072</v>
      </c>
      <c r="D368" s="255">
        <v>0</v>
      </c>
      <c r="E368" s="255">
        <v>171.64937572837738</v>
      </c>
      <c r="F368" s="255">
        <v>247.00550000000001</v>
      </c>
      <c r="G368" s="255">
        <v>8.6245833333333337</v>
      </c>
    </row>
    <row r="369" spans="1:7" x14ac:dyDescent="0.3">
      <c r="A369" s="139" t="s">
        <v>86</v>
      </c>
      <c r="B369" s="255">
        <v>288.32</v>
      </c>
      <c r="C369" s="255">
        <v>297.73166631473867</v>
      </c>
      <c r="D369" s="255">
        <v>0</v>
      </c>
      <c r="E369" s="255">
        <v>40.534749648072044</v>
      </c>
      <c r="F369" s="255">
        <v>250.17183333333332</v>
      </c>
      <c r="G369" s="255">
        <v>7.0250833333333329</v>
      </c>
    </row>
    <row r="370" spans="1:7" x14ac:dyDescent="0.3">
      <c r="A370" s="138" t="s">
        <v>87</v>
      </c>
      <c r="B370" s="255">
        <v>1073.29</v>
      </c>
      <c r="C370" s="255">
        <v>832.81246586409566</v>
      </c>
      <c r="D370" s="255">
        <v>0</v>
      </c>
      <c r="E370" s="255">
        <v>45.806549197429078</v>
      </c>
      <c r="F370" s="255">
        <v>758.77783333333332</v>
      </c>
      <c r="G370" s="255">
        <v>28.228083333333338</v>
      </c>
    </row>
    <row r="371" spans="1:7" x14ac:dyDescent="0.3">
      <c r="A371" s="139" t="s">
        <v>88</v>
      </c>
      <c r="B371" s="255">
        <v>432.67</v>
      </c>
      <c r="C371" s="255">
        <v>325.64689855414883</v>
      </c>
      <c r="D371" s="255">
        <v>0</v>
      </c>
      <c r="E371" s="255">
        <v>68.150148554148885</v>
      </c>
      <c r="F371" s="255">
        <v>250.80766666666665</v>
      </c>
      <c r="G371" s="255">
        <v>6.6890833333333335</v>
      </c>
    </row>
    <row r="372" spans="1:7" x14ac:dyDescent="0.3">
      <c r="A372" s="139" t="s">
        <v>89</v>
      </c>
      <c r="B372" s="255">
        <v>271.41000000000003</v>
      </c>
      <c r="C372" s="255">
        <v>244.70733364920255</v>
      </c>
      <c r="D372" s="255">
        <v>0</v>
      </c>
      <c r="E372" s="255">
        <v>-19.983083017464082</v>
      </c>
      <c r="F372" s="255">
        <v>253.83866666666665</v>
      </c>
      <c r="G372" s="255">
        <v>10.851750000000001</v>
      </c>
    </row>
    <row r="373" spans="1:7" x14ac:dyDescent="0.3">
      <c r="A373" s="139" t="s">
        <v>169</v>
      </c>
      <c r="B373" s="255">
        <v>369.21</v>
      </c>
      <c r="C373" s="255">
        <v>262.45823366074427</v>
      </c>
      <c r="D373" s="255">
        <v>0</v>
      </c>
      <c r="E373" s="255">
        <v>-2.3605163392557231</v>
      </c>
      <c r="F373" s="255">
        <v>254.13149999999999</v>
      </c>
      <c r="G373" s="255">
        <v>10.687250000000001</v>
      </c>
    </row>
    <row r="374" spans="1:7" x14ac:dyDescent="0.3">
      <c r="A374" s="138" t="s">
        <v>90</v>
      </c>
      <c r="B374" s="255">
        <v>1093.67</v>
      </c>
      <c r="C374" s="255">
        <v>1102.5667567151745</v>
      </c>
      <c r="D374" s="255">
        <v>0</v>
      </c>
      <c r="E374" s="255">
        <v>302.72750671517446</v>
      </c>
      <c r="F374" s="255">
        <v>773.41833333333341</v>
      </c>
      <c r="G374" s="255">
        <v>26.420916666666663</v>
      </c>
    </row>
    <row r="375" spans="1:7" x14ac:dyDescent="0.3">
      <c r="A375" s="139" t="s">
        <v>91</v>
      </c>
      <c r="B375" s="255">
        <v>408.09</v>
      </c>
      <c r="C375" s="255">
        <v>590.36458030434051</v>
      </c>
      <c r="D375" s="255">
        <v>0</v>
      </c>
      <c r="E375" s="255">
        <v>324.60608030434059</v>
      </c>
      <c r="F375" s="255">
        <v>256.04949999999997</v>
      </c>
      <c r="G375" s="255">
        <v>9.7089999999999996</v>
      </c>
    </row>
    <row r="376" spans="1:7" x14ac:dyDescent="0.3">
      <c r="A376" s="139" t="s">
        <v>92</v>
      </c>
      <c r="B376" s="255">
        <v>270.69</v>
      </c>
      <c r="C376" s="255">
        <v>252.04661862538819</v>
      </c>
      <c r="D376" s="255">
        <v>0</v>
      </c>
      <c r="E376" s="255">
        <v>-14.952631374611826</v>
      </c>
      <c r="F376" s="255">
        <v>258.58350000000002</v>
      </c>
      <c r="G376" s="255">
        <v>8.4157499999999992</v>
      </c>
    </row>
    <row r="377" spans="1:7" x14ac:dyDescent="0.3">
      <c r="A377" s="139" t="s">
        <v>93</v>
      </c>
      <c r="B377" s="255">
        <v>414.89</v>
      </c>
      <c r="C377" s="255">
        <v>260.15555778544575</v>
      </c>
      <c r="D377" s="255">
        <v>0</v>
      </c>
      <c r="E377" s="255">
        <v>-6.9259422145542873</v>
      </c>
      <c r="F377" s="255">
        <v>258.78533333333337</v>
      </c>
      <c r="G377" s="255">
        <v>8.2961666666666662</v>
      </c>
    </row>
    <row r="378" spans="1:7" x14ac:dyDescent="0.3">
      <c r="A378" s="7" t="s">
        <v>55</v>
      </c>
      <c r="B378" s="255">
        <v>4964.7800000000007</v>
      </c>
      <c r="C378" s="255">
        <v>5053.6095997167768</v>
      </c>
      <c r="D378" s="255">
        <v>14.764086967062724</v>
      </c>
      <c r="E378" s="255">
        <v>1544.6035960830482</v>
      </c>
      <c r="F378" s="255">
        <v>3273.7168333333329</v>
      </c>
      <c r="G378" s="255">
        <v>220.52508333333336</v>
      </c>
    </row>
    <row r="379" spans="1:7" x14ac:dyDescent="0.3">
      <c r="A379" s="138" t="s">
        <v>79</v>
      </c>
      <c r="B379" s="255">
        <v>1120.1600000000001</v>
      </c>
      <c r="C379" s="255">
        <v>1073.0111348085927</v>
      </c>
      <c r="D379" s="255">
        <v>14.764086967062724</v>
      </c>
      <c r="E379" s="255">
        <v>206.36688117486341</v>
      </c>
      <c r="F379" s="255">
        <v>794.02516666666679</v>
      </c>
      <c r="G379" s="255">
        <v>57.85499999999999</v>
      </c>
    </row>
    <row r="380" spans="1:7" x14ac:dyDescent="0.3">
      <c r="A380" s="139" t="s">
        <v>80</v>
      </c>
      <c r="B380" s="255">
        <v>403.7</v>
      </c>
      <c r="C380" s="255">
        <v>483.23742677169605</v>
      </c>
      <c r="D380" s="255">
        <v>0</v>
      </c>
      <c r="E380" s="255">
        <v>209.12909343836273</v>
      </c>
      <c r="F380" s="255">
        <v>261.387</v>
      </c>
      <c r="G380" s="255">
        <v>12.721333333333332</v>
      </c>
    </row>
    <row r="381" spans="1:7" x14ac:dyDescent="0.3">
      <c r="A381" s="139" t="s">
        <v>81</v>
      </c>
      <c r="B381" s="255">
        <v>570.99</v>
      </c>
      <c r="C381" s="255">
        <v>305.80956167853321</v>
      </c>
      <c r="D381" s="255">
        <v>14.764086967062724</v>
      </c>
      <c r="E381" s="255">
        <v>3.4329747114704818</v>
      </c>
      <c r="F381" s="255">
        <v>263.75883333333337</v>
      </c>
      <c r="G381" s="255">
        <v>23.853666666666665</v>
      </c>
    </row>
    <row r="382" spans="1:7" x14ac:dyDescent="0.3">
      <c r="A382" s="139" t="s">
        <v>82</v>
      </c>
      <c r="B382" s="255">
        <v>145.47</v>
      </c>
      <c r="C382" s="255">
        <v>283.96414635836351</v>
      </c>
      <c r="D382" s="255">
        <v>0</v>
      </c>
      <c r="E382" s="255">
        <v>-6.1951869749698139</v>
      </c>
      <c r="F382" s="255">
        <v>268.87933333333336</v>
      </c>
      <c r="G382" s="255">
        <v>21.279999999999998</v>
      </c>
    </row>
    <row r="383" spans="1:7" x14ac:dyDescent="0.3">
      <c r="A383" s="138" t="s">
        <v>83</v>
      </c>
      <c r="B383" s="255">
        <v>1117.1100000000001</v>
      </c>
      <c r="C383" s="255">
        <v>902.16998029648323</v>
      </c>
      <c r="D383" s="255">
        <v>0</v>
      </c>
      <c r="E383" s="255">
        <v>39.524980296483228</v>
      </c>
      <c r="F383" s="255">
        <v>807.2166666666667</v>
      </c>
      <c r="G383" s="255">
        <v>55.428333333333335</v>
      </c>
    </row>
    <row r="384" spans="1:7" x14ac:dyDescent="0.3">
      <c r="A384" s="139" t="s">
        <v>84</v>
      </c>
      <c r="B384" s="255">
        <v>453.58</v>
      </c>
      <c r="C384" s="255">
        <v>334.56410424848542</v>
      </c>
      <c r="D384" s="255">
        <v>0</v>
      </c>
      <c r="E384" s="255">
        <v>56.821604248485428</v>
      </c>
      <c r="F384" s="255">
        <v>266.82249999999999</v>
      </c>
      <c r="G384" s="255">
        <v>10.92</v>
      </c>
    </row>
    <row r="385" spans="1:7" x14ac:dyDescent="0.3">
      <c r="A385" s="139" t="s">
        <v>85</v>
      </c>
      <c r="B385" s="255">
        <v>301.37</v>
      </c>
      <c r="C385" s="255">
        <v>263.82714408519274</v>
      </c>
      <c r="D385" s="255">
        <v>0</v>
      </c>
      <c r="E385" s="255">
        <v>-28.50568924814063</v>
      </c>
      <c r="F385" s="255">
        <v>269.9351666666667</v>
      </c>
      <c r="G385" s="255">
        <v>22.397666666666666</v>
      </c>
    </row>
    <row r="386" spans="1:7" x14ac:dyDescent="0.3">
      <c r="A386" s="139" t="s">
        <v>86</v>
      </c>
      <c r="B386" s="255">
        <v>362.16</v>
      </c>
      <c r="C386" s="255">
        <v>303.77873196280507</v>
      </c>
      <c r="D386" s="255">
        <v>0</v>
      </c>
      <c r="E386" s="255">
        <v>11.209065296138432</v>
      </c>
      <c r="F386" s="255">
        <v>270.459</v>
      </c>
      <c r="G386" s="255">
        <v>22.110666666666667</v>
      </c>
    </row>
    <row r="387" spans="1:7" x14ac:dyDescent="0.3">
      <c r="A387" s="138" t="s">
        <v>87</v>
      </c>
      <c r="B387" s="255">
        <v>1295.31</v>
      </c>
      <c r="C387" s="255">
        <v>1502.548033498068</v>
      </c>
      <c r="D387" s="255">
        <v>0</v>
      </c>
      <c r="E387" s="255">
        <v>618.45445016473468</v>
      </c>
      <c r="F387" s="255">
        <v>824.49149999999997</v>
      </c>
      <c r="G387" s="255">
        <v>59.60208333333334</v>
      </c>
    </row>
    <row r="388" spans="1:7" x14ac:dyDescent="0.3">
      <c r="A388" s="139" t="s">
        <v>88</v>
      </c>
      <c r="B388" s="255">
        <v>464.28</v>
      </c>
      <c r="C388" s="255">
        <v>346.64549024882558</v>
      </c>
      <c r="D388" s="255">
        <v>0</v>
      </c>
      <c r="E388" s="255">
        <v>53.339073582158989</v>
      </c>
      <c r="F388" s="255">
        <v>271.98733333333331</v>
      </c>
      <c r="G388" s="255">
        <v>21.319083333333332</v>
      </c>
    </row>
    <row r="389" spans="1:7" x14ac:dyDescent="0.3">
      <c r="A389" s="139" t="s">
        <v>89</v>
      </c>
      <c r="B389" s="255">
        <v>402.38</v>
      </c>
      <c r="C389" s="255">
        <v>542.30417161662592</v>
      </c>
      <c r="D389" s="255">
        <v>0</v>
      </c>
      <c r="E389" s="255">
        <v>247.42975494995926</v>
      </c>
      <c r="F389" s="255">
        <v>275.19216666666665</v>
      </c>
      <c r="G389" s="255">
        <v>19.68225</v>
      </c>
    </row>
    <row r="390" spans="1:7" x14ac:dyDescent="0.3">
      <c r="A390" s="139" t="s">
        <v>169</v>
      </c>
      <c r="B390" s="255">
        <v>428.65</v>
      </c>
      <c r="C390" s="255">
        <v>613.59837163261636</v>
      </c>
      <c r="D390" s="255">
        <v>0</v>
      </c>
      <c r="E390" s="255">
        <v>317.68562163261635</v>
      </c>
      <c r="F390" s="255">
        <v>277.31200000000001</v>
      </c>
      <c r="G390" s="255">
        <v>18.600750000000001</v>
      </c>
    </row>
    <row r="391" spans="1:7" x14ac:dyDescent="0.3">
      <c r="A391" s="138" t="s">
        <v>90</v>
      </c>
      <c r="B391" s="255">
        <v>1432.1999999999998</v>
      </c>
      <c r="C391" s="255">
        <v>1575.8804511136336</v>
      </c>
      <c r="D391" s="255">
        <v>0</v>
      </c>
      <c r="E391" s="255">
        <v>680.25728444696688</v>
      </c>
      <c r="F391" s="255">
        <v>847.98350000000005</v>
      </c>
      <c r="G391" s="255">
        <v>47.639666666666663</v>
      </c>
    </row>
    <row r="392" spans="1:7" x14ac:dyDescent="0.3">
      <c r="A392" s="139" t="s">
        <v>91</v>
      </c>
      <c r="B392" s="255">
        <v>455.95</v>
      </c>
      <c r="C392" s="255">
        <v>632.59320906153243</v>
      </c>
      <c r="D392" s="255">
        <v>0</v>
      </c>
      <c r="E392" s="255">
        <v>335.44845906153239</v>
      </c>
      <c r="F392" s="255">
        <v>279.83433333333335</v>
      </c>
      <c r="G392" s="255">
        <v>17.310416666666665</v>
      </c>
    </row>
    <row r="393" spans="1:7" x14ac:dyDescent="0.3">
      <c r="A393" s="139" t="s">
        <v>92</v>
      </c>
      <c r="B393" s="255">
        <v>439.36</v>
      </c>
      <c r="C393" s="255">
        <v>645.47648727305398</v>
      </c>
      <c r="D393" s="255">
        <v>0</v>
      </c>
      <c r="E393" s="255">
        <v>346.88098727305396</v>
      </c>
      <c r="F393" s="255">
        <v>282.76966666666669</v>
      </c>
      <c r="G393" s="255">
        <v>15.825833333333332</v>
      </c>
    </row>
    <row r="394" spans="1:7" x14ac:dyDescent="0.3">
      <c r="A394" s="139" t="s">
        <v>93</v>
      </c>
      <c r="B394" s="255">
        <v>536.89</v>
      </c>
      <c r="C394" s="255">
        <v>297.81075477904722</v>
      </c>
      <c r="D394" s="255">
        <v>0</v>
      </c>
      <c r="E394" s="255">
        <v>-2.0721618876194823</v>
      </c>
      <c r="F394" s="255">
        <v>285.37950000000001</v>
      </c>
      <c r="G394" s="255">
        <v>14.503416666666668</v>
      </c>
    </row>
    <row r="395" spans="1:7" x14ac:dyDescent="0.3">
      <c r="A395" s="7" t="s">
        <v>56</v>
      </c>
      <c r="B395" s="255">
        <v>4727.5200000000004</v>
      </c>
      <c r="C395" s="255">
        <v>3833.3804328054748</v>
      </c>
      <c r="D395" s="255">
        <v>-23.845298541185258</v>
      </c>
      <c r="E395" s="255">
        <v>18.239064679993618</v>
      </c>
      <c r="F395" s="255">
        <v>3554.8951666666662</v>
      </c>
      <c r="G395" s="255">
        <v>284.0915</v>
      </c>
    </row>
    <row r="396" spans="1:7" x14ac:dyDescent="0.3">
      <c r="A396" s="138" t="s">
        <v>79</v>
      </c>
      <c r="B396" s="255">
        <v>1162.83</v>
      </c>
      <c r="C396" s="255">
        <v>1261.8731559774985</v>
      </c>
      <c r="D396" s="255">
        <v>-23.845298541185258</v>
      </c>
      <c r="E396" s="255">
        <v>358.48270451868393</v>
      </c>
      <c r="F396" s="255">
        <v>866.23833333333323</v>
      </c>
      <c r="G396" s="255">
        <v>60.997416666666666</v>
      </c>
    </row>
    <row r="397" spans="1:7" x14ac:dyDescent="0.3">
      <c r="A397" s="139" t="s">
        <v>80</v>
      </c>
      <c r="B397" s="255">
        <v>82.44</v>
      </c>
      <c r="C397" s="255">
        <v>664.84019185129659</v>
      </c>
      <c r="D397" s="255">
        <v>-23.845298541185258</v>
      </c>
      <c r="E397" s="255">
        <v>386.73990705914855</v>
      </c>
      <c r="F397" s="255">
        <v>289.57133333333331</v>
      </c>
      <c r="G397" s="255">
        <v>12.37425</v>
      </c>
    </row>
    <row r="398" spans="1:7" x14ac:dyDescent="0.3">
      <c r="A398" s="139" t="s">
        <v>81</v>
      </c>
      <c r="B398" s="255">
        <v>551.84</v>
      </c>
      <c r="C398" s="255">
        <v>327.26774005465245</v>
      </c>
      <c r="D398" s="255">
        <v>0</v>
      </c>
      <c r="E398" s="255">
        <v>15.725156721319165</v>
      </c>
      <c r="F398" s="255">
        <v>286.11916666666667</v>
      </c>
      <c r="G398" s="255">
        <v>25.423416666666665</v>
      </c>
    </row>
    <row r="399" spans="1:7" x14ac:dyDescent="0.3">
      <c r="A399" s="139" t="s">
        <v>82</v>
      </c>
      <c r="B399" s="255">
        <v>528.54999999999995</v>
      </c>
      <c r="C399" s="255">
        <v>269.76522407154948</v>
      </c>
      <c r="D399" s="255">
        <v>0</v>
      </c>
      <c r="E399" s="255">
        <v>-43.982359261783785</v>
      </c>
      <c r="F399" s="255">
        <v>290.5478333333333</v>
      </c>
      <c r="G399" s="255">
        <v>23.199749999999998</v>
      </c>
    </row>
    <row r="400" spans="1:7" x14ac:dyDescent="0.3">
      <c r="A400" s="138" t="s">
        <v>83</v>
      </c>
      <c r="B400" s="255">
        <v>1109.93</v>
      </c>
      <c r="C400" s="255">
        <v>613.09191188602858</v>
      </c>
      <c r="D400" s="255">
        <v>0</v>
      </c>
      <c r="E400" s="255">
        <v>-309.85867144730469</v>
      </c>
      <c r="F400" s="255">
        <v>880.8275000000001</v>
      </c>
      <c r="G400" s="255">
        <v>42.123083333333334</v>
      </c>
    </row>
    <row r="401" spans="1:7" x14ac:dyDescent="0.3">
      <c r="A401" s="139" t="s">
        <v>84</v>
      </c>
      <c r="B401" s="255">
        <v>228.43</v>
      </c>
      <c r="C401" s="255">
        <v>441.66370342706057</v>
      </c>
      <c r="D401" s="255">
        <v>0</v>
      </c>
      <c r="E401" s="255">
        <v>133.54237009372724</v>
      </c>
      <c r="F401" s="255">
        <v>294.5145</v>
      </c>
      <c r="G401" s="255">
        <v>13.606833333333332</v>
      </c>
    </row>
    <row r="402" spans="1:7" x14ac:dyDescent="0.3">
      <c r="A402" s="139" t="s">
        <v>85</v>
      </c>
      <c r="B402" s="255">
        <v>262.61</v>
      </c>
      <c r="C402" s="255">
        <v>295.25222562105131</v>
      </c>
      <c r="D402" s="255">
        <v>0</v>
      </c>
      <c r="E402" s="255">
        <v>-12.300357712282004</v>
      </c>
      <c r="F402" s="255">
        <v>293.41316666666665</v>
      </c>
      <c r="G402" s="255">
        <v>14.139416666666667</v>
      </c>
    </row>
    <row r="403" spans="1:7" x14ac:dyDescent="0.3">
      <c r="A403" s="139" t="s">
        <v>86</v>
      </c>
      <c r="B403" s="255">
        <v>618.89</v>
      </c>
      <c r="C403" s="255">
        <v>-123.82401716208329</v>
      </c>
      <c r="D403" s="255">
        <v>0</v>
      </c>
      <c r="E403" s="255">
        <v>-431.10068382874994</v>
      </c>
      <c r="F403" s="255">
        <v>292.89983333333333</v>
      </c>
      <c r="G403" s="255">
        <v>14.376833333333334</v>
      </c>
    </row>
    <row r="404" spans="1:7" x14ac:dyDescent="0.3">
      <c r="A404" s="138" t="s">
        <v>87</v>
      </c>
      <c r="B404" s="255">
        <v>1224.77</v>
      </c>
      <c r="C404" s="255">
        <v>828.86174130270615</v>
      </c>
      <c r="D404" s="255">
        <v>0</v>
      </c>
      <c r="E404" s="255">
        <v>-161.18325869729387</v>
      </c>
      <c r="F404" s="255">
        <v>895.00599999999997</v>
      </c>
      <c r="G404" s="255">
        <v>95.039000000000001</v>
      </c>
    </row>
    <row r="405" spans="1:7" x14ac:dyDescent="0.3">
      <c r="A405" s="139" t="s">
        <v>88</v>
      </c>
      <c r="B405" s="255">
        <v>270.05</v>
      </c>
      <c r="C405" s="255">
        <v>236.80432878085699</v>
      </c>
      <c r="D405" s="255">
        <v>0</v>
      </c>
      <c r="E405" s="255">
        <v>-93.235171219142984</v>
      </c>
      <c r="F405" s="255">
        <v>298.33299999999997</v>
      </c>
      <c r="G405" s="255">
        <v>31.706500000000002</v>
      </c>
    </row>
    <row r="406" spans="1:7" x14ac:dyDescent="0.3">
      <c r="A406" s="139" t="s">
        <v>89</v>
      </c>
      <c r="B406" s="255">
        <v>354.84</v>
      </c>
      <c r="C406" s="255">
        <v>294.45417706615132</v>
      </c>
      <c r="D406" s="255">
        <v>0</v>
      </c>
      <c r="E406" s="255">
        <v>-35.326322933848715</v>
      </c>
      <c r="F406" s="255">
        <v>297.86166666666668</v>
      </c>
      <c r="G406" s="255">
        <v>31.918833333333335</v>
      </c>
    </row>
    <row r="407" spans="1:7" x14ac:dyDescent="0.3">
      <c r="A407" s="139" t="s">
        <v>169</v>
      </c>
      <c r="B407" s="255">
        <v>599.88</v>
      </c>
      <c r="C407" s="255">
        <v>297.60323545569781</v>
      </c>
      <c r="D407" s="255">
        <v>0</v>
      </c>
      <c r="E407" s="255">
        <v>-32.62176454430216</v>
      </c>
      <c r="F407" s="255">
        <v>298.81133333333332</v>
      </c>
      <c r="G407" s="255">
        <v>31.413666666666664</v>
      </c>
    </row>
    <row r="408" spans="1:7" x14ac:dyDescent="0.3">
      <c r="A408" s="138" t="s">
        <v>90</v>
      </c>
      <c r="B408" s="255">
        <v>1229.99</v>
      </c>
      <c r="C408" s="255">
        <v>1129.5536236392416</v>
      </c>
      <c r="D408" s="255">
        <v>0</v>
      </c>
      <c r="E408" s="255">
        <v>130.79829030590824</v>
      </c>
      <c r="F408" s="255">
        <v>912.82333333333327</v>
      </c>
      <c r="G408" s="255">
        <v>85.931999999999988</v>
      </c>
    </row>
    <row r="409" spans="1:7" x14ac:dyDescent="0.3">
      <c r="A409" s="139" t="s">
        <v>91</v>
      </c>
      <c r="B409" s="255">
        <v>278.7</v>
      </c>
      <c r="C409" s="255">
        <v>513.36077454383019</v>
      </c>
      <c r="D409" s="255">
        <v>0</v>
      </c>
      <c r="E409" s="255">
        <v>180.64494121049685</v>
      </c>
      <c r="F409" s="255">
        <v>303.82916666666665</v>
      </c>
      <c r="G409" s="255">
        <v>28.886666666666667</v>
      </c>
    </row>
    <row r="410" spans="1:7" x14ac:dyDescent="0.3">
      <c r="A410" s="139" t="s">
        <v>92</v>
      </c>
      <c r="B410" s="255">
        <v>433.82</v>
      </c>
      <c r="C410" s="255">
        <v>325.03943770577104</v>
      </c>
      <c r="D410" s="255">
        <v>0</v>
      </c>
      <c r="E410" s="255">
        <v>-7.4477289608956339</v>
      </c>
      <c r="F410" s="255">
        <v>303.41033333333331</v>
      </c>
      <c r="G410" s="255">
        <v>29.076833333333333</v>
      </c>
    </row>
    <row r="411" spans="1:7" x14ac:dyDescent="0.3">
      <c r="A411" s="139" t="s">
        <v>93</v>
      </c>
      <c r="B411" s="255">
        <v>517.47</v>
      </c>
      <c r="C411" s="255">
        <v>291.15341138964033</v>
      </c>
      <c r="D411" s="255">
        <v>0</v>
      </c>
      <c r="E411" s="255">
        <v>-42.398921943692983</v>
      </c>
      <c r="F411" s="255">
        <v>305.5838333333333</v>
      </c>
      <c r="G411" s="255">
        <v>27.968499999999999</v>
      </c>
    </row>
    <row r="412" spans="1:7" x14ac:dyDescent="0.3">
      <c r="A412" s="7" t="s">
        <v>57</v>
      </c>
      <c r="B412" s="255">
        <v>5647.0100000000011</v>
      </c>
      <c r="C412" s="255">
        <v>3984.1980693529731</v>
      </c>
      <c r="D412" s="255">
        <v>25.393971539618246</v>
      </c>
      <c r="E412" s="255">
        <v>-205.91881885331142</v>
      </c>
      <c r="F412" s="255">
        <v>3902.8196666666668</v>
      </c>
      <c r="G412" s="255">
        <v>261.90325000000001</v>
      </c>
    </row>
    <row r="413" spans="1:7" x14ac:dyDescent="0.3">
      <c r="A413" s="138" t="s">
        <v>79</v>
      </c>
      <c r="B413" s="255">
        <v>1774.2199999999998</v>
      </c>
      <c r="C413" s="255">
        <v>945.52254997893851</v>
      </c>
      <c r="D413" s="255">
        <v>25.393971539618246</v>
      </c>
      <c r="E413" s="255">
        <v>-94.357504894012919</v>
      </c>
      <c r="F413" s="255">
        <v>936.52533333333326</v>
      </c>
      <c r="G413" s="255">
        <v>77.96074999999999</v>
      </c>
    </row>
    <row r="414" spans="1:7" x14ac:dyDescent="0.3">
      <c r="A414" s="139" t="s">
        <v>80</v>
      </c>
      <c r="B414" s="255">
        <v>555.03</v>
      </c>
      <c r="C414" s="255">
        <v>267.99666917277466</v>
      </c>
      <c r="D414" s="255">
        <v>0</v>
      </c>
      <c r="E414" s="255">
        <v>-67.30216416055859</v>
      </c>
      <c r="F414" s="255">
        <v>309.1153333333333</v>
      </c>
      <c r="G414" s="255">
        <v>26.183499999999999</v>
      </c>
    </row>
    <row r="415" spans="1:7" x14ac:dyDescent="0.3">
      <c r="A415" s="139" t="s">
        <v>81</v>
      </c>
      <c r="B415" s="255">
        <v>372.15</v>
      </c>
      <c r="C415" s="255">
        <v>304.42869611052492</v>
      </c>
      <c r="D415" s="255">
        <v>25.393971539618246</v>
      </c>
      <c r="E415" s="255">
        <v>-58.284775429093301</v>
      </c>
      <c r="F415" s="255">
        <v>313.21383333333335</v>
      </c>
      <c r="G415" s="255">
        <v>24.105666666666664</v>
      </c>
    </row>
    <row r="416" spans="1:7" x14ac:dyDescent="0.3">
      <c r="A416" s="139" t="s">
        <v>82</v>
      </c>
      <c r="B416" s="255">
        <v>847.04</v>
      </c>
      <c r="C416" s="255">
        <v>373.09718469563899</v>
      </c>
      <c r="D416" s="255">
        <v>0</v>
      </c>
      <c r="E416" s="255">
        <v>31.229434695638979</v>
      </c>
      <c r="F416" s="255">
        <v>314.19616666666667</v>
      </c>
      <c r="G416" s="255">
        <v>27.671583333333334</v>
      </c>
    </row>
    <row r="417" spans="1:7" x14ac:dyDescent="0.3">
      <c r="A417" s="138" t="s">
        <v>83</v>
      </c>
      <c r="B417" s="255">
        <v>1403.37</v>
      </c>
      <c r="C417" s="255">
        <v>1296.8010943325364</v>
      </c>
      <c r="D417" s="255">
        <v>0</v>
      </c>
      <c r="E417" s="255">
        <v>281.65059433253657</v>
      </c>
      <c r="F417" s="255">
        <v>970.77166666666676</v>
      </c>
      <c r="G417" s="255">
        <v>44.378833333333333</v>
      </c>
    </row>
    <row r="418" spans="1:7" x14ac:dyDescent="0.3">
      <c r="A418" s="139" t="s">
        <v>84</v>
      </c>
      <c r="B418" s="255">
        <v>245.38</v>
      </c>
      <c r="C418" s="255">
        <v>652.66836194435666</v>
      </c>
      <c r="D418" s="255">
        <v>0</v>
      </c>
      <c r="E418" s="255">
        <v>314.53802861102332</v>
      </c>
      <c r="F418" s="255">
        <v>323.07683333333335</v>
      </c>
      <c r="G418" s="255">
        <v>15.053500000000001</v>
      </c>
    </row>
    <row r="419" spans="1:7" x14ac:dyDescent="0.3">
      <c r="A419" s="139" t="s">
        <v>85</v>
      </c>
      <c r="B419" s="255">
        <v>569.65</v>
      </c>
      <c r="C419" s="255">
        <v>316.61126748216014</v>
      </c>
      <c r="D419" s="255">
        <v>0</v>
      </c>
      <c r="E419" s="255">
        <v>-20.873315851173157</v>
      </c>
      <c r="F419" s="255">
        <v>321.78183333333334</v>
      </c>
      <c r="G419" s="255">
        <v>15.70275</v>
      </c>
    </row>
    <row r="420" spans="1:7" x14ac:dyDescent="0.3">
      <c r="A420" s="139" t="s">
        <v>86</v>
      </c>
      <c r="B420" s="255">
        <v>588.34</v>
      </c>
      <c r="C420" s="255">
        <v>327.52146490601973</v>
      </c>
      <c r="D420" s="255">
        <v>0</v>
      </c>
      <c r="E420" s="255">
        <v>-12.014118427313585</v>
      </c>
      <c r="F420" s="255">
        <v>325.91299999999995</v>
      </c>
      <c r="G420" s="255">
        <v>13.622583333333333</v>
      </c>
    </row>
    <row r="421" spans="1:7" x14ac:dyDescent="0.3">
      <c r="A421" s="138" t="s">
        <v>87</v>
      </c>
      <c r="B421" s="255">
        <v>1131.56</v>
      </c>
      <c r="C421" s="255">
        <v>993.86539541370166</v>
      </c>
      <c r="D421" s="255">
        <v>0</v>
      </c>
      <c r="E421" s="255">
        <v>-71.310021252965072</v>
      </c>
      <c r="F421" s="255">
        <v>992.81816666666668</v>
      </c>
      <c r="G421" s="255">
        <v>72.357249999999993</v>
      </c>
    </row>
    <row r="422" spans="1:7" x14ac:dyDescent="0.3">
      <c r="A422" s="139" t="s">
        <v>88</v>
      </c>
      <c r="B422" s="255">
        <v>310.83</v>
      </c>
      <c r="C422" s="255">
        <v>339.85833296127271</v>
      </c>
      <c r="D422" s="255">
        <v>0</v>
      </c>
      <c r="E422" s="255">
        <v>-14.895833705393946</v>
      </c>
      <c r="F422" s="255">
        <v>330.28683333333333</v>
      </c>
      <c r="G422" s="255">
        <v>24.467333333333332</v>
      </c>
    </row>
    <row r="423" spans="1:7" x14ac:dyDescent="0.3">
      <c r="A423" s="139" t="s">
        <v>89</v>
      </c>
      <c r="B423" s="255">
        <v>486.34</v>
      </c>
      <c r="C423" s="255">
        <v>306.97582550201122</v>
      </c>
      <c r="D423" s="255">
        <v>0</v>
      </c>
      <c r="E423" s="255">
        <v>-47.596341164655414</v>
      </c>
      <c r="F423" s="255">
        <v>329.96249999999998</v>
      </c>
      <c r="G423" s="255">
        <v>24.609666666666666</v>
      </c>
    </row>
    <row r="424" spans="1:7" x14ac:dyDescent="0.3">
      <c r="A424" s="139" t="s">
        <v>169</v>
      </c>
      <c r="B424" s="255">
        <v>334.39</v>
      </c>
      <c r="C424" s="255">
        <v>347.03123695041768</v>
      </c>
      <c r="D424" s="255">
        <v>0</v>
      </c>
      <c r="E424" s="255">
        <v>-8.8178463829157163</v>
      </c>
      <c r="F424" s="255">
        <v>332.56883333333337</v>
      </c>
      <c r="G424" s="255">
        <v>23.280250000000002</v>
      </c>
    </row>
    <row r="425" spans="1:7" x14ac:dyDescent="0.3">
      <c r="A425" s="138" t="s">
        <v>90</v>
      </c>
      <c r="B425" s="255">
        <v>1337.8600000000001</v>
      </c>
      <c r="C425" s="255">
        <v>748.00902962779674</v>
      </c>
      <c r="D425" s="255">
        <v>0</v>
      </c>
      <c r="E425" s="255">
        <v>-321.90188703886997</v>
      </c>
      <c r="F425" s="255">
        <v>1002.7045000000001</v>
      </c>
      <c r="G425" s="255">
        <v>67.206416666666684</v>
      </c>
    </row>
    <row r="426" spans="1:7" x14ac:dyDescent="0.3">
      <c r="A426" s="139" t="s">
        <v>91</v>
      </c>
      <c r="B426" s="255">
        <v>396.93</v>
      </c>
      <c r="C426" s="255">
        <v>464.14295843155026</v>
      </c>
      <c r="D426" s="255">
        <v>0</v>
      </c>
      <c r="E426" s="255">
        <v>108.29562509821687</v>
      </c>
      <c r="F426" s="255">
        <v>332.59916666666669</v>
      </c>
      <c r="G426" s="255">
        <v>23.24816666666667</v>
      </c>
    </row>
    <row r="427" spans="1:7" x14ac:dyDescent="0.3">
      <c r="A427" s="139" t="s">
        <v>92</v>
      </c>
      <c r="B427" s="255">
        <v>499.43</v>
      </c>
      <c r="C427" s="255">
        <v>313.95167715589321</v>
      </c>
      <c r="D427" s="255">
        <v>0</v>
      </c>
      <c r="E427" s="255">
        <v>-42.400239510773496</v>
      </c>
      <c r="F427" s="255">
        <v>333.67133333333334</v>
      </c>
      <c r="G427" s="255">
        <v>22.680583333333335</v>
      </c>
    </row>
    <row r="428" spans="1:7" x14ac:dyDescent="0.3">
      <c r="A428" s="139" t="s">
        <v>93</v>
      </c>
      <c r="B428" s="255">
        <v>441.5</v>
      </c>
      <c r="C428" s="255">
        <v>-30.085605959646671</v>
      </c>
      <c r="D428" s="255">
        <v>0</v>
      </c>
      <c r="E428" s="255">
        <v>-387.79727262631337</v>
      </c>
      <c r="F428" s="255">
        <v>336.43400000000003</v>
      </c>
      <c r="G428" s="255">
        <v>21.277666666666669</v>
      </c>
    </row>
    <row r="429" spans="1:7" x14ac:dyDescent="0.3">
      <c r="A429" s="7" t="s">
        <v>58</v>
      </c>
      <c r="B429" s="255">
        <v>6094.1599999999989</v>
      </c>
      <c r="C429" s="255">
        <v>4781.4949644895514</v>
      </c>
      <c r="D429" s="255">
        <v>13.319617789583448</v>
      </c>
      <c r="E429" s="255">
        <v>263.33759669996755</v>
      </c>
      <c r="F429" s="255">
        <v>4245.385666666667</v>
      </c>
      <c r="G429" s="255">
        <v>259.45208333333335</v>
      </c>
    </row>
    <row r="430" spans="1:7" x14ac:dyDescent="0.3">
      <c r="A430" s="138" t="s">
        <v>79</v>
      </c>
      <c r="B430" s="255">
        <v>1610.1599999999999</v>
      </c>
      <c r="C430" s="255">
        <v>991.66488355734418</v>
      </c>
      <c r="D430" s="255">
        <v>13.319617789583448</v>
      </c>
      <c r="E430" s="255">
        <v>-120.85540089890601</v>
      </c>
      <c r="F430" s="255">
        <v>1026.7775000000001</v>
      </c>
      <c r="G430" s="255">
        <v>72.423166666666674</v>
      </c>
    </row>
    <row r="431" spans="1:7" x14ac:dyDescent="0.3">
      <c r="A431" s="139" t="s">
        <v>80</v>
      </c>
      <c r="B431" s="255">
        <v>439.27</v>
      </c>
      <c r="C431" s="255">
        <v>265.06948514980888</v>
      </c>
      <c r="D431" s="255">
        <v>13.319617789583448</v>
      </c>
      <c r="E431" s="255">
        <v>-106.80646597310795</v>
      </c>
      <c r="F431" s="255">
        <v>338.1851666666667</v>
      </c>
      <c r="G431" s="255">
        <v>20.371166666666667</v>
      </c>
    </row>
    <row r="432" spans="1:7" x14ac:dyDescent="0.3">
      <c r="A432" s="139" t="s">
        <v>81</v>
      </c>
      <c r="B432" s="255">
        <v>871.03</v>
      </c>
      <c r="C432" s="255">
        <v>369.38560173435997</v>
      </c>
      <c r="D432" s="255">
        <v>0</v>
      </c>
      <c r="E432" s="255">
        <v>1.2707684010266496</v>
      </c>
      <c r="F432" s="255">
        <v>339.8698333333333</v>
      </c>
      <c r="G432" s="255">
        <v>28.245000000000001</v>
      </c>
    </row>
    <row r="433" spans="1:7" x14ac:dyDescent="0.3">
      <c r="A433" s="139" t="s">
        <v>82</v>
      </c>
      <c r="B433" s="255">
        <v>299.86</v>
      </c>
      <c r="C433" s="255">
        <v>357.20979667317528</v>
      </c>
      <c r="D433" s="255">
        <v>0</v>
      </c>
      <c r="E433" s="255">
        <v>-15.319703326824708</v>
      </c>
      <c r="F433" s="255">
        <v>348.72249999999997</v>
      </c>
      <c r="G433" s="255">
        <v>23.807000000000002</v>
      </c>
    </row>
    <row r="434" spans="1:7" x14ac:dyDescent="0.3">
      <c r="A434" s="138" t="s">
        <v>83</v>
      </c>
      <c r="B434" s="255">
        <v>1468.31</v>
      </c>
      <c r="C434" s="255">
        <v>1690.7738320350418</v>
      </c>
      <c r="D434" s="255">
        <v>0</v>
      </c>
      <c r="E434" s="255">
        <v>597.48291536837519</v>
      </c>
      <c r="F434" s="255">
        <v>1048.5218333333335</v>
      </c>
      <c r="G434" s="255">
        <v>44.769083333333334</v>
      </c>
    </row>
    <row r="435" spans="1:7" x14ac:dyDescent="0.3">
      <c r="A435" s="139" t="s">
        <v>84</v>
      </c>
      <c r="B435" s="255">
        <v>355.47</v>
      </c>
      <c r="C435" s="255">
        <v>560.63957029670064</v>
      </c>
      <c r="D435" s="255">
        <v>0</v>
      </c>
      <c r="E435" s="255">
        <v>196.98082029670064</v>
      </c>
      <c r="F435" s="255">
        <v>347.90816666666672</v>
      </c>
      <c r="G435" s="255">
        <v>15.750583333333333</v>
      </c>
    </row>
    <row r="436" spans="1:7" x14ac:dyDescent="0.3">
      <c r="A436" s="139" t="s">
        <v>85</v>
      </c>
      <c r="B436" s="255">
        <v>620.75</v>
      </c>
      <c r="C436" s="255">
        <v>754.00664071490326</v>
      </c>
      <c r="D436" s="255">
        <v>0</v>
      </c>
      <c r="E436" s="255">
        <v>390.31814071490328</v>
      </c>
      <c r="F436" s="255">
        <v>348.03416666666664</v>
      </c>
      <c r="G436" s="255">
        <v>15.654333333333334</v>
      </c>
    </row>
    <row r="437" spans="1:7" x14ac:dyDescent="0.3">
      <c r="A437" s="139" t="s">
        <v>86</v>
      </c>
      <c r="B437" s="255">
        <v>492.09</v>
      </c>
      <c r="C437" s="255">
        <v>376.12762102343783</v>
      </c>
      <c r="D437" s="255">
        <v>0</v>
      </c>
      <c r="E437" s="255">
        <v>10.183954356771174</v>
      </c>
      <c r="F437" s="255">
        <v>352.5795</v>
      </c>
      <c r="G437" s="255">
        <v>13.364166666666668</v>
      </c>
    </row>
    <row r="438" spans="1:7" x14ac:dyDescent="0.3">
      <c r="A438" s="138" t="s">
        <v>87</v>
      </c>
      <c r="B438" s="255">
        <v>1541.9</v>
      </c>
      <c r="C438" s="255">
        <v>1169.9729219564667</v>
      </c>
      <c r="D438" s="255">
        <v>0</v>
      </c>
      <c r="E438" s="255">
        <v>19.115171956466789</v>
      </c>
      <c r="F438" s="255">
        <v>1074.1605</v>
      </c>
      <c r="G438" s="255">
        <v>76.697249999999997</v>
      </c>
    </row>
    <row r="439" spans="1:7" x14ac:dyDescent="0.3">
      <c r="A439" s="139" t="s">
        <v>88</v>
      </c>
      <c r="B439" s="255">
        <v>538.23</v>
      </c>
      <c r="C439" s="255">
        <v>421.9780977327693</v>
      </c>
      <c r="D439" s="255">
        <v>0</v>
      </c>
      <c r="E439" s="255">
        <v>39.898847732769333</v>
      </c>
      <c r="F439" s="255">
        <v>354.90466666666663</v>
      </c>
      <c r="G439" s="255">
        <v>27.174583333333331</v>
      </c>
    </row>
    <row r="440" spans="1:7" x14ac:dyDescent="0.3">
      <c r="A440" s="139" t="s">
        <v>89</v>
      </c>
      <c r="B440" s="255">
        <v>558.09</v>
      </c>
      <c r="C440" s="255">
        <v>351.31137178407749</v>
      </c>
      <c r="D440" s="255">
        <v>0</v>
      </c>
      <c r="E440" s="255">
        <v>-32.257128215922513</v>
      </c>
      <c r="F440" s="255">
        <v>357.96016666666668</v>
      </c>
      <c r="G440" s="255">
        <v>25.608333333333334</v>
      </c>
    </row>
    <row r="441" spans="1:7" x14ac:dyDescent="0.3">
      <c r="A441" s="139" t="s">
        <v>169</v>
      </c>
      <c r="B441" s="255">
        <v>445.58</v>
      </c>
      <c r="C441" s="255">
        <v>396.68345243962</v>
      </c>
      <c r="D441" s="255">
        <v>0</v>
      </c>
      <c r="E441" s="255">
        <v>11.473452439619969</v>
      </c>
      <c r="F441" s="255">
        <v>361.2956666666667</v>
      </c>
      <c r="G441" s="255">
        <v>23.914333333333332</v>
      </c>
    </row>
    <row r="442" spans="1:7" x14ac:dyDescent="0.3">
      <c r="A442" s="138" t="s">
        <v>90</v>
      </c>
      <c r="B442" s="255">
        <v>1473.79</v>
      </c>
      <c r="C442" s="255">
        <v>929.08332694069838</v>
      </c>
      <c r="D442" s="255">
        <v>0</v>
      </c>
      <c r="E442" s="255">
        <v>-232.40508972596837</v>
      </c>
      <c r="F442" s="255">
        <v>1095.9258333333332</v>
      </c>
      <c r="G442" s="255">
        <v>65.562583333333336</v>
      </c>
    </row>
    <row r="443" spans="1:7" x14ac:dyDescent="0.3">
      <c r="A443" s="139" t="s">
        <v>91</v>
      </c>
      <c r="B443" s="255">
        <v>516.77</v>
      </c>
      <c r="C443" s="255">
        <v>573.72917041475569</v>
      </c>
      <c r="D443" s="255">
        <v>0</v>
      </c>
      <c r="E443" s="255">
        <v>187.83958708142234</v>
      </c>
      <c r="F443" s="255">
        <v>362.70033333333333</v>
      </c>
      <c r="G443" s="255">
        <v>23.189250000000001</v>
      </c>
    </row>
    <row r="444" spans="1:7" x14ac:dyDescent="0.3">
      <c r="A444" s="139" t="s">
        <v>92</v>
      </c>
      <c r="B444" s="255">
        <v>526.62</v>
      </c>
      <c r="C444" s="255">
        <v>375.6485475334303</v>
      </c>
      <c r="D444" s="255">
        <v>0</v>
      </c>
      <c r="E444" s="255">
        <v>-11.488785799903027</v>
      </c>
      <c r="F444" s="255">
        <v>365.26816666666667</v>
      </c>
      <c r="G444" s="255">
        <v>21.869166666666668</v>
      </c>
    </row>
    <row r="445" spans="1:7" x14ac:dyDescent="0.3">
      <c r="A445" s="139" t="s">
        <v>93</v>
      </c>
      <c r="B445" s="255">
        <v>430.4</v>
      </c>
      <c r="C445" s="255">
        <v>-20.294391007487661</v>
      </c>
      <c r="D445" s="255">
        <v>0</v>
      </c>
      <c r="E445" s="255">
        <v>-408.75589100748766</v>
      </c>
      <c r="F445" s="255">
        <v>367.95733333333334</v>
      </c>
      <c r="G445" s="255">
        <v>20.504166666666666</v>
      </c>
    </row>
    <row r="446" spans="1:7" x14ac:dyDescent="0.3">
      <c r="A446" s="7" t="s">
        <v>59</v>
      </c>
      <c r="B446" s="255">
        <v>6371.3600000000006</v>
      </c>
      <c r="C446" s="255">
        <v>3719.5229547706817</v>
      </c>
      <c r="D446" s="255">
        <v>-5.3954184248102486</v>
      </c>
      <c r="E446" s="255">
        <v>-1168.8434601378415</v>
      </c>
      <c r="F446" s="255">
        <v>4605.1098333333339</v>
      </c>
      <c r="G446" s="255">
        <v>288.65199999999999</v>
      </c>
    </row>
    <row r="447" spans="1:7" x14ac:dyDescent="0.3">
      <c r="A447" s="138" t="s">
        <v>79</v>
      </c>
      <c r="B447" s="255">
        <v>1713.3600000000001</v>
      </c>
      <c r="C447" s="255">
        <v>282.09213771902137</v>
      </c>
      <c r="D447" s="255">
        <v>-5.3954184248102486</v>
      </c>
      <c r="E447" s="255">
        <v>-901.47877718950178</v>
      </c>
      <c r="F447" s="255">
        <v>1119.8915000000002</v>
      </c>
      <c r="G447" s="255">
        <v>69.074833333333331</v>
      </c>
    </row>
    <row r="448" spans="1:7" x14ac:dyDescent="0.3">
      <c r="A448" s="139" t="s">
        <v>80</v>
      </c>
      <c r="B448" s="255">
        <v>628.21</v>
      </c>
      <c r="C448" s="255">
        <v>-157.1287138721911</v>
      </c>
      <c r="D448" s="255">
        <v>0</v>
      </c>
      <c r="E448" s="255">
        <v>-546.08254720552441</v>
      </c>
      <c r="F448" s="255">
        <v>368.99799999999999</v>
      </c>
      <c r="G448" s="255">
        <v>19.955833333333331</v>
      </c>
    </row>
    <row r="449" spans="1:7" x14ac:dyDescent="0.3">
      <c r="A449" s="139" t="s">
        <v>81</v>
      </c>
      <c r="B449" s="255">
        <v>628.75</v>
      </c>
      <c r="C449" s="255">
        <v>43.423400472580909</v>
      </c>
      <c r="D449" s="255">
        <v>-5.3954184248102486</v>
      </c>
      <c r="E449" s="255">
        <v>-342.26418110260886</v>
      </c>
      <c r="F449" s="255">
        <v>373.31816666666668</v>
      </c>
      <c r="G449" s="255">
        <v>17.764833333333335</v>
      </c>
    </row>
    <row r="450" spans="1:7" x14ac:dyDescent="0.3">
      <c r="A450" s="139" t="s">
        <v>82</v>
      </c>
      <c r="B450" s="255">
        <v>456.4</v>
      </c>
      <c r="C450" s="255">
        <v>395.79745111863156</v>
      </c>
      <c r="D450" s="255">
        <v>0</v>
      </c>
      <c r="E450" s="255">
        <v>-13.132048881368487</v>
      </c>
      <c r="F450" s="255">
        <v>377.57533333333333</v>
      </c>
      <c r="G450" s="255">
        <v>31.354166666666668</v>
      </c>
    </row>
    <row r="451" spans="1:7" x14ac:dyDescent="0.3">
      <c r="A451" s="138" t="s">
        <v>83</v>
      </c>
      <c r="B451" s="255">
        <v>1461.7299999999998</v>
      </c>
      <c r="C451" s="255">
        <v>1724.2016435236869</v>
      </c>
      <c r="D451" s="255">
        <v>0</v>
      </c>
      <c r="E451" s="255">
        <v>528.79064352368687</v>
      </c>
      <c r="F451" s="255">
        <v>1145.4718333333335</v>
      </c>
      <c r="G451" s="255">
        <v>49.939166666666665</v>
      </c>
    </row>
    <row r="452" spans="1:7" x14ac:dyDescent="0.3">
      <c r="A452" s="139" t="s">
        <v>84</v>
      </c>
      <c r="B452" s="255">
        <v>561.87</v>
      </c>
      <c r="C452" s="255">
        <v>945.65022298607528</v>
      </c>
      <c r="D452" s="255">
        <v>0</v>
      </c>
      <c r="E452" s="255">
        <v>548.62188965274197</v>
      </c>
      <c r="F452" s="255">
        <v>378.88900000000001</v>
      </c>
      <c r="G452" s="255">
        <v>18.139333333333333</v>
      </c>
    </row>
    <row r="453" spans="1:7" x14ac:dyDescent="0.3">
      <c r="A453" s="139" t="s">
        <v>85</v>
      </c>
      <c r="B453" s="255">
        <v>544.27</v>
      </c>
      <c r="C453" s="255">
        <v>372.46222764828991</v>
      </c>
      <c r="D453" s="255">
        <v>0</v>
      </c>
      <c r="E453" s="255">
        <v>-26.063522351710127</v>
      </c>
      <c r="F453" s="255">
        <v>381.93866666666668</v>
      </c>
      <c r="G453" s="255">
        <v>16.587083333333332</v>
      </c>
    </row>
    <row r="454" spans="1:7" x14ac:dyDescent="0.3">
      <c r="A454" s="139" t="s">
        <v>86</v>
      </c>
      <c r="B454" s="255">
        <v>355.59</v>
      </c>
      <c r="C454" s="255">
        <v>406.08919288932185</v>
      </c>
      <c r="D454" s="255">
        <v>0</v>
      </c>
      <c r="E454" s="255">
        <v>6.2322762226550967</v>
      </c>
      <c r="F454" s="255">
        <v>384.64416666666671</v>
      </c>
      <c r="G454" s="255">
        <v>15.21275</v>
      </c>
    </row>
    <row r="455" spans="1:7" x14ac:dyDescent="0.3">
      <c r="A455" s="138" t="s">
        <v>87</v>
      </c>
      <c r="B455" s="255">
        <v>1679.1</v>
      </c>
      <c r="C455" s="255">
        <v>971.60375853770745</v>
      </c>
      <c r="D455" s="255">
        <v>0</v>
      </c>
      <c r="E455" s="255">
        <v>-277.52640812895902</v>
      </c>
      <c r="F455" s="255">
        <v>1158.5104999999999</v>
      </c>
      <c r="G455" s="255">
        <v>90.61966666666666</v>
      </c>
    </row>
    <row r="456" spans="1:7" x14ac:dyDescent="0.3">
      <c r="A456" s="139" t="s">
        <v>88</v>
      </c>
      <c r="B456" s="255">
        <v>319.27</v>
      </c>
      <c r="C456" s="255">
        <v>143.17313047212104</v>
      </c>
      <c r="D456" s="255">
        <v>0</v>
      </c>
      <c r="E456" s="255">
        <v>-272.22903619454559</v>
      </c>
      <c r="F456" s="255">
        <v>384.15999999999997</v>
      </c>
      <c r="G456" s="255">
        <v>31.242166666666666</v>
      </c>
    </row>
    <row r="457" spans="1:7" x14ac:dyDescent="0.3">
      <c r="A457" s="139" t="s">
        <v>89</v>
      </c>
      <c r="B457" s="255">
        <v>874.69</v>
      </c>
      <c r="C457" s="255">
        <v>95.515626565781474</v>
      </c>
      <c r="D457" s="255">
        <v>0</v>
      </c>
      <c r="E457" s="255">
        <v>-319.31195676755181</v>
      </c>
      <c r="F457" s="255">
        <v>383.07849999999996</v>
      </c>
      <c r="G457" s="255">
        <v>31.749083333333331</v>
      </c>
    </row>
    <row r="458" spans="1:7" x14ac:dyDescent="0.3">
      <c r="A458" s="139" t="s">
        <v>169</v>
      </c>
      <c r="B458" s="255">
        <v>485.14</v>
      </c>
      <c r="C458" s="255">
        <v>732.91500149980493</v>
      </c>
      <c r="D458" s="255">
        <v>0</v>
      </c>
      <c r="E458" s="255">
        <v>314.01458483313831</v>
      </c>
      <c r="F458" s="255">
        <v>391.27199999999999</v>
      </c>
      <c r="G458" s="255">
        <v>27.628416666666666</v>
      </c>
    </row>
    <row r="459" spans="1:7" x14ac:dyDescent="0.3">
      <c r="A459" s="138" t="s">
        <v>90</v>
      </c>
      <c r="B459" s="255">
        <v>1517.17</v>
      </c>
      <c r="C459" s="255">
        <v>741.62541499026588</v>
      </c>
      <c r="D459" s="255">
        <v>0</v>
      </c>
      <c r="E459" s="255">
        <v>-518.62891834306754</v>
      </c>
      <c r="F459" s="255">
        <v>1181.2360000000001</v>
      </c>
      <c r="G459" s="255">
        <v>79.018333333333345</v>
      </c>
    </row>
    <row r="460" spans="1:7" x14ac:dyDescent="0.3">
      <c r="A460" s="139" t="s">
        <v>91</v>
      </c>
      <c r="B460" s="255">
        <v>396.27</v>
      </c>
      <c r="C460" s="255">
        <v>519.14639327867667</v>
      </c>
      <c r="D460" s="255">
        <v>0</v>
      </c>
      <c r="E460" s="255">
        <v>99.488809945343363</v>
      </c>
      <c r="F460" s="255">
        <v>392.8365</v>
      </c>
      <c r="G460" s="255">
        <v>26.821083333333334</v>
      </c>
    </row>
    <row r="461" spans="1:7" x14ac:dyDescent="0.3">
      <c r="A461" s="139" t="s">
        <v>92</v>
      </c>
      <c r="B461" s="255">
        <v>549.62</v>
      </c>
      <c r="C461" s="255">
        <v>92.611023981183223</v>
      </c>
      <c r="D461" s="255">
        <v>0</v>
      </c>
      <c r="E461" s="255">
        <v>-327.04422601881674</v>
      </c>
      <c r="F461" s="255">
        <v>392.89366666666666</v>
      </c>
      <c r="G461" s="255">
        <v>26.761583333333331</v>
      </c>
    </row>
    <row r="462" spans="1:7" x14ac:dyDescent="0.3">
      <c r="A462" s="139" t="s">
        <v>93</v>
      </c>
      <c r="B462" s="255">
        <v>571.28</v>
      </c>
      <c r="C462" s="255">
        <v>129.86799773040588</v>
      </c>
      <c r="D462" s="255">
        <v>0</v>
      </c>
      <c r="E462" s="255">
        <v>-291.07350226959414</v>
      </c>
      <c r="F462" s="255">
        <v>395.50583333333333</v>
      </c>
      <c r="G462" s="255">
        <v>25.43566666666667</v>
      </c>
    </row>
    <row r="463" spans="1:7" x14ac:dyDescent="0.3">
      <c r="A463" s="7" t="s">
        <v>60</v>
      </c>
      <c r="B463" s="255">
        <v>8102.2800000000016</v>
      </c>
      <c r="C463" s="255">
        <v>6839.9660095243589</v>
      </c>
      <c r="D463" s="255">
        <v>-81.541335937605069</v>
      </c>
      <c r="E463" s="255">
        <v>1604.6526787952969</v>
      </c>
      <c r="F463" s="255">
        <v>4970.3348333333333</v>
      </c>
      <c r="G463" s="255">
        <v>346.51983333333334</v>
      </c>
    </row>
    <row r="464" spans="1:7" x14ac:dyDescent="0.3">
      <c r="A464" s="138" t="s">
        <v>79</v>
      </c>
      <c r="B464" s="255">
        <v>1511.0500000000002</v>
      </c>
      <c r="C464" s="255">
        <v>1125.2261503146738</v>
      </c>
      <c r="D464" s="255">
        <v>-81.541335937605069</v>
      </c>
      <c r="E464" s="255">
        <v>-97.17093041438801</v>
      </c>
      <c r="F464" s="255">
        <v>1199.2003333333332</v>
      </c>
      <c r="G464" s="255">
        <v>104.73808333333332</v>
      </c>
    </row>
    <row r="465" spans="1:7" x14ac:dyDescent="0.3">
      <c r="A465" s="139" t="s">
        <v>80</v>
      </c>
      <c r="B465" s="255">
        <v>385.56</v>
      </c>
      <c r="C465" s="255">
        <v>322.00559784186953</v>
      </c>
      <c r="D465" s="255">
        <v>0</v>
      </c>
      <c r="E465" s="255">
        <v>-100.36098549146371</v>
      </c>
      <c r="F465" s="255">
        <v>398.43533333333329</v>
      </c>
      <c r="G465" s="255">
        <v>23.931249999999999</v>
      </c>
    </row>
    <row r="466" spans="1:7" x14ac:dyDescent="0.3">
      <c r="A466" s="139" t="s">
        <v>81</v>
      </c>
      <c r="B466" s="255">
        <v>657.64</v>
      </c>
      <c r="C466" s="255">
        <v>363.5402998534218</v>
      </c>
      <c r="D466" s="255">
        <v>-81.541335937605069</v>
      </c>
      <c r="E466" s="255">
        <v>5.3731357910267912</v>
      </c>
      <c r="F466" s="255">
        <v>398.22066666666672</v>
      </c>
      <c r="G466" s="255">
        <v>41.487833333333334</v>
      </c>
    </row>
    <row r="467" spans="1:7" x14ac:dyDescent="0.3">
      <c r="A467" s="139" t="s">
        <v>82</v>
      </c>
      <c r="B467" s="255">
        <v>467.85</v>
      </c>
      <c r="C467" s="255">
        <v>439.68025261938226</v>
      </c>
      <c r="D467" s="255">
        <v>0</v>
      </c>
      <c r="E467" s="255">
        <v>-2.1830807139510946</v>
      </c>
      <c r="F467" s="255">
        <v>402.54433333333333</v>
      </c>
      <c r="G467" s="255">
        <v>39.318999999999996</v>
      </c>
    </row>
    <row r="468" spans="1:7" x14ac:dyDescent="0.3">
      <c r="A468" s="138" t="s">
        <v>83</v>
      </c>
      <c r="B468" s="255">
        <v>1514.84</v>
      </c>
      <c r="C468" s="255">
        <v>1456.1649058609291</v>
      </c>
      <c r="D468" s="255">
        <v>0</v>
      </c>
      <c r="E468" s="255">
        <v>148.20382252759595</v>
      </c>
      <c r="F468" s="255">
        <v>1220.3473333333334</v>
      </c>
      <c r="G468" s="255">
        <v>87.613749999999996</v>
      </c>
    </row>
    <row r="469" spans="1:7" x14ac:dyDescent="0.3">
      <c r="A469" s="139" t="s">
        <v>84</v>
      </c>
      <c r="B469" s="255">
        <v>696.16</v>
      </c>
      <c r="C469" s="255">
        <v>575.84444950840293</v>
      </c>
      <c r="D469" s="255">
        <v>0</v>
      </c>
      <c r="E469" s="255">
        <v>152.99778284173627</v>
      </c>
      <c r="F469" s="255">
        <v>403.63283333333334</v>
      </c>
      <c r="G469" s="255">
        <v>19.213833333333334</v>
      </c>
    </row>
    <row r="470" spans="1:7" x14ac:dyDescent="0.3">
      <c r="A470" s="139" t="s">
        <v>85</v>
      </c>
      <c r="B470" s="255">
        <v>390.38</v>
      </c>
      <c r="C470" s="255">
        <v>477.20628139746708</v>
      </c>
      <c r="D470" s="255">
        <v>0</v>
      </c>
      <c r="E470" s="255">
        <v>34.561864730800444</v>
      </c>
      <c r="F470" s="255">
        <v>408.50833333333333</v>
      </c>
      <c r="G470" s="255">
        <v>34.136083333333332</v>
      </c>
    </row>
    <row r="471" spans="1:7" x14ac:dyDescent="0.3">
      <c r="A471" s="139" t="s">
        <v>86</v>
      </c>
      <c r="B471" s="255">
        <v>428.3</v>
      </c>
      <c r="C471" s="255">
        <v>403.11417495505918</v>
      </c>
      <c r="D471" s="255">
        <v>0</v>
      </c>
      <c r="E471" s="255">
        <v>-39.355825044940772</v>
      </c>
      <c r="F471" s="255">
        <v>408.20616666666666</v>
      </c>
      <c r="G471" s="255">
        <v>34.263833333333331</v>
      </c>
    </row>
    <row r="472" spans="1:7" x14ac:dyDescent="0.3">
      <c r="A472" s="138" t="s">
        <v>87</v>
      </c>
      <c r="B472" s="255">
        <v>2365.34</v>
      </c>
      <c r="C472" s="255">
        <v>1377.8487933116517</v>
      </c>
      <c r="D472" s="255">
        <v>0</v>
      </c>
      <c r="E472" s="255">
        <v>40.24329331165147</v>
      </c>
      <c r="F472" s="255">
        <v>1245.4108333333334</v>
      </c>
      <c r="G472" s="255">
        <v>92.194666666666663</v>
      </c>
    </row>
    <row r="473" spans="1:7" x14ac:dyDescent="0.3">
      <c r="A473" s="139" t="s">
        <v>88</v>
      </c>
      <c r="B473" s="255">
        <v>863.68</v>
      </c>
      <c r="C473" s="255">
        <v>509.66277847637264</v>
      </c>
      <c r="D473" s="255">
        <v>0</v>
      </c>
      <c r="E473" s="255">
        <v>67.056861809705978</v>
      </c>
      <c r="F473" s="255">
        <v>408.541</v>
      </c>
      <c r="G473" s="255">
        <v>34.064916666666669</v>
      </c>
    </row>
    <row r="474" spans="1:7" x14ac:dyDescent="0.3">
      <c r="A474" s="139" t="s">
        <v>89</v>
      </c>
      <c r="B474" s="255">
        <v>693.12</v>
      </c>
      <c r="C474" s="255">
        <v>420.03500392222219</v>
      </c>
      <c r="D474" s="255">
        <v>0</v>
      </c>
      <c r="E474" s="255">
        <v>-26.32582941111114</v>
      </c>
      <c r="F474" s="255">
        <v>416.12666666666667</v>
      </c>
      <c r="G474" s="255">
        <v>30.234166666666667</v>
      </c>
    </row>
    <row r="475" spans="1:7" x14ac:dyDescent="0.3">
      <c r="A475" s="139" t="s">
        <v>169</v>
      </c>
      <c r="B475" s="255">
        <v>808.54</v>
      </c>
      <c r="C475" s="255">
        <v>448.15101091305667</v>
      </c>
      <c r="D475" s="255">
        <v>0</v>
      </c>
      <c r="E475" s="255">
        <v>-0.48773908694336199</v>
      </c>
      <c r="F475" s="255">
        <v>420.7431666666667</v>
      </c>
      <c r="G475" s="255">
        <v>27.895583333333331</v>
      </c>
    </row>
    <row r="476" spans="1:7" x14ac:dyDescent="0.3">
      <c r="A476" s="138" t="s">
        <v>90</v>
      </c>
      <c r="B476" s="255">
        <v>2711.05</v>
      </c>
      <c r="C476" s="255">
        <v>2880.7261600371044</v>
      </c>
      <c r="D476" s="255">
        <v>0</v>
      </c>
      <c r="E476" s="255">
        <v>1513.3764933704374</v>
      </c>
      <c r="F476" s="255">
        <v>1305.3763333333334</v>
      </c>
      <c r="G476" s="255">
        <v>61.973333333333329</v>
      </c>
    </row>
    <row r="477" spans="1:7" x14ac:dyDescent="0.3">
      <c r="A477" s="139" t="s">
        <v>91</v>
      </c>
      <c r="B477" s="255">
        <v>1039.1500000000001</v>
      </c>
      <c r="C477" s="255">
        <v>628.04237033804088</v>
      </c>
      <c r="D477" s="255">
        <v>0</v>
      </c>
      <c r="E477" s="255">
        <v>176.19995367137417</v>
      </c>
      <c r="F477" s="255">
        <v>427.20650000000001</v>
      </c>
      <c r="G477" s="255">
        <v>24.635916666666667</v>
      </c>
    </row>
    <row r="478" spans="1:7" x14ac:dyDescent="0.3">
      <c r="A478" s="139" t="s">
        <v>92</v>
      </c>
      <c r="B478" s="255">
        <v>638.94000000000005</v>
      </c>
      <c r="C478" s="255">
        <v>439.50010036063389</v>
      </c>
      <c r="D478" s="255">
        <v>0</v>
      </c>
      <c r="E478" s="255">
        <v>-17.42081630603283</v>
      </c>
      <c r="F478" s="255">
        <v>437.40550000000002</v>
      </c>
      <c r="G478" s="255">
        <v>19.515416666666667</v>
      </c>
    </row>
    <row r="479" spans="1:7" x14ac:dyDescent="0.3">
      <c r="A479" s="139" t="s">
        <v>93</v>
      </c>
      <c r="B479" s="255">
        <v>1032.96</v>
      </c>
      <c r="C479" s="255">
        <v>1813.1836893384295</v>
      </c>
      <c r="D479" s="255">
        <v>0</v>
      </c>
      <c r="E479" s="255">
        <v>1354.5973560050961</v>
      </c>
      <c r="F479" s="255">
        <v>440.76433333333335</v>
      </c>
      <c r="G479" s="255">
        <v>17.821999999999999</v>
      </c>
    </row>
    <row r="480" spans="1:7" x14ac:dyDescent="0.3">
      <c r="A480" s="7" t="s">
        <v>61</v>
      </c>
      <c r="B480" s="255">
        <v>8305.58</v>
      </c>
      <c r="C480" s="255">
        <v>6122.6851845548881</v>
      </c>
      <c r="D480" s="255">
        <v>-29.597864741323146</v>
      </c>
      <c r="E480" s="255">
        <v>259.0057992962108</v>
      </c>
      <c r="F480" s="255">
        <v>5621.7280000000001</v>
      </c>
      <c r="G480" s="255">
        <v>271.54924999999992</v>
      </c>
    </row>
    <row r="481" spans="1:7" x14ac:dyDescent="0.3">
      <c r="A481" s="138" t="s">
        <v>79</v>
      </c>
      <c r="B481" s="255">
        <v>1614.94</v>
      </c>
      <c r="C481" s="255">
        <v>1707.2417542785347</v>
      </c>
      <c r="D481" s="255">
        <v>-29.597864741323146</v>
      </c>
      <c r="E481" s="255">
        <v>275.98511901985779</v>
      </c>
      <c r="F481" s="255">
        <v>1352.729</v>
      </c>
      <c r="G481" s="255">
        <v>108.1255</v>
      </c>
    </row>
    <row r="482" spans="1:7" x14ac:dyDescent="0.3">
      <c r="A482" s="139" t="s">
        <v>80</v>
      </c>
      <c r="B482" s="255">
        <v>493.61</v>
      </c>
      <c r="C482" s="255">
        <v>305.01267319942622</v>
      </c>
      <c r="D482" s="255">
        <v>-29.597864741323146</v>
      </c>
      <c r="E482" s="255">
        <v>-146.38571205925072</v>
      </c>
      <c r="F482" s="255">
        <v>450.63433333333336</v>
      </c>
      <c r="G482" s="255">
        <v>30.361916666666666</v>
      </c>
    </row>
    <row r="483" spans="1:7" x14ac:dyDescent="0.3">
      <c r="A483" s="139" t="s">
        <v>81</v>
      </c>
      <c r="B483" s="255">
        <v>414.95</v>
      </c>
      <c r="C483" s="255">
        <v>915.04971770776842</v>
      </c>
      <c r="D483" s="255">
        <v>0</v>
      </c>
      <c r="E483" s="255">
        <v>424.96455104110174</v>
      </c>
      <c r="F483" s="255">
        <v>451.35066666666665</v>
      </c>
      <c r="G483" s="255">
        <v>38.734500000000004</v>
      </c>
    </row>
    <row r="484" spans="1:7" x14ac:dyDescent="0.3">
      <c r="A484" s="139" t="s">
        <v>82</v>
      </c>
      <c r="B484" s="255">
        <v>706.38</v>
      </c>
      <c r="C484" s="255">
        <v>487.17936337134006</v>
      </c>
      <c r="D484" s="255">
        <v>0</v>
      </c>
      <c r="E484" s="255">
        <v>-2.5937199619932665</v>
      </c>
      <c r="F484" s="255">
        <v>450.74399999999997</v>
      </c>
      <c r="G484" s="255">
        <v>39.029083333333332</v>
      </c>
    </row>
    <row r="485" spans="1:7" x14ac:dyDescent="0.3">
      <c r="A485" s="138" t="s">
        <v>83</v>
      </c>
      <c r="B485" s="255">
        <v>2308.58</v>
      </c>
      <c r="C485" s="255">
        <v>1563.7437153382305</v>
      </c>
      <c r="D485" s="255">
        <v>0</v>
      </c>
      <c r="E485" s="255">
        <v>130.26388200489714</v>
      </c>
      <c r="F485" s="255">
        <v>1378.7048333333335</v>
      </c>
      <c r="G485" s="255">
        <v>54.775000000000006</v>
      </c>
    </row>
    <row r="486" spans="1:7" x14ac:dyDescent="0.3">
      <c r="A486" s="139" t="s">
        <v>84</v>
      </c>
      <c r="B486" s="255">
        <v>692.65</v>
      </c>
      <c r="C486" s="255">
        <v>618.26478700053019</v>
      </c>
      <c r="D486" s="255">
        <v>0</v>
      </c>
      <c r="E486" s="255">
        <v>142.70987033386353</v>
      </c>
      <c r="F486" s="255">
        <v>455.00466666666665</v>
      </c>
      <c r="G486" s="255">
        <v>20.550250000000002</v>
      </c>
    </row>
    <row r="487" spans="1:7" x14ac:dyDescent="0.3">
      <c r="A487" s="139" t="s">
        <v>85</v>
      </c>
      <c r="B487" s="255">
        <v>805.12</v>
      </c>
      <c r="C487" s="255">
        <v>456.01515694208126</v>
      </c>
      <c r="D487" s="255">
        <v>0</v>
      </c>
      <c r="E487" s="255">
        <v>-21.510259724585381</v>
      </c>
      <c r="F487" s="255">
        <v>458.96550000000002</v>
      </c>
      <c r="G487" s="255">
        <v>18.559916666666666</v>
      </c>
    </row>
    <row r="488" spans="1:7" x14ac:dyDescent="0.3">
      <c r="A488" s="139" t="s">
        <v>86</v>
      </c>
      <c r="B488" s="255">
        <v>810.81</v>
      </c>
      <c r="C488" s="255">
        <v>489.46377139561901</v>
      </c>
      <c r="D488" s="255">
        <v>0</v>
      </c>
      <c r="E488" s="255">
        <v>9.0642713956190022</v>
      </c>
      <c r="F488" s="255">
        <v>464.73466666666667</v>
      </c>
      <c r="G488" s="255">
        <v>15.664833333333332</v>
      </c>
    </row>
    <row r="489" spans="1:7" x14ac:dyDescent="0.3">
      <c r="A489" s="138" t="s">
        <v>87</v>
      </c>
      <c r="B489" s="255">
        <v>2228.98</v>
      </c>
      <c r="C489" s="255">
        <v>1658.1100695134171</v>
      </c>
      <c r="D489" s="255">
        <v>0</v>
      </c>
      <c r="E489" s="255">
        <v>159.09331951341724</v>
      </c>
      <c r="F489" s="255">
        <v>1426.0843333333332</v>
      </c>
      <c r="G489" s="255">
        <v>72.932416666666668</v>
      </c>
    </row>
    <row r="490" spans="1:7" x14ac:dyDescent="0.3">
      <c r="A490" s="139" t="s">
        <v>88</v>
      </c>
      <c r="B490" s="255">
        <v>802.3</v>
      </c>
      <c r="C490" s="255">
        <v>676.46731454715609</v>
      </c>
      <c r="D490" s="255">
        <v>0</v>
      </c>
      <c r="E490" s="255">
        <v>179.20423121382282</v>
      </c>
      <c r="F490" s="255">
        <v>470.50266666666664</v>
      </c>
      <c r="G490" s="255">
        <v>26.760416666666668</v>
      </c>
    </row>
    <row r="491" spans="1:7" x14ac:dyDescent="0.3">
      <c r="A491" s="139" t="s">
        <v>89</v>
      </c>
      <c r="B491" s="255">
        <v>687.01</v>
      </c>
      <c r="C491" s="255">
        <v>478.60688107012993</v>
      </c>
      <c r="D491" s="255">
        <v>0</v>
      </c>
      <c r="E491" s="255">
        <v>-21.404868929870052</v>
      </c>
      <c r="F491" s="255">
        <v>476.03266666666667</v>
      </c>
      <c r="G491" s="255">
        <v>23.979083333333332</v>
      </c>
    </row>
    <row r="492" spans="1:7" x14ac:dyDescent="0.3">
      <c r="A492" s="139" t="s">
        <v>169</v>
      </c>
      <c r="B492" s="255">
        <v>739.67</v>
      </c>
      <c r="C492" s="255">
        <v>503.03587389613114</v>
      </c>
      <c r="D492" s="255">
        <v>0</v>
      </c>
      <c r="E492" s="255">
        <v>1.2939572294644655</v>
      </c>
      <c r="F492" s="255">
        <v>479.54899999999998</v>
      </c>
      <c r="G492" s="255">
        <v>22.192916666666669</v>
      </c>
    </row>
    <row r="493" spans="1:7" x14ac:dyDescent="0.3">
      <c r="A493" s="138" t="s">
        <v>90</v>
      </c>
      <c r="B493" s="255">
        <v>2153.08</v>
      </c>
      <c r="C493" s="255">
        <v>1193.5896454247052</v>
      </c>
      <c r="D493" s="255">
        <v>0</v>
      </c>
      <c r="E493" s="255">
        <v>-306.33652124196141</v>
      </c>
      <c r="F493" s="255">
        <v>1464.2098333333333</v>
      </c>
      <c r="G493" s="255">
        <v>35.716333333333338</v>
      </c>
    </row>
    <row r="494" spans="1:7" x14ac:dyDescent="0.3">
      <c r="A494" s="139" t="s">
        <v>91</v>
      </c>
      <c r="B494" s="255">
        <v>754.71</v>
      </c>
      <c r="C494" s="255">
        <v>668.73844100755696</v>
      </c>
      <c r="D494" s="255">
        <v>0</v>
      </c>
      <c r="E494" s="255">
        <v>164.85335767422359</v>
      </c>
      <c r="F494" s="255">
        <v>483.88433333333336</v>
      </c>
      <c r="G494" s="255">
        <v>20.00075</v>
      </c>
    </row>
    <row r="495" spans="1:7" x14ac:dyDescent="0.3">
      <c r="A495" s="139" t="s">
        <v>92</v>
      </c>
      <c r="B495" s="255">
        <v>700.15</v>
      </c>
      <c r="C495" s="255">
        <v>458.74221986002004</v>
      </c>
      <c r="D495" s="255">
        <v>0</v>
      </c>
      <c r="E495" s="255">
        <v>-37.544363473313275</v>
      </c>
      <c r="F495" s="255">
        <v>488.39816666666667</v>
      </c>
      <c r="G495" s="255">
        <v>7.8884166666666671</v>
      </c>
    </row>
    <row r="496" spans="1:7" x14ac:dyDescent="0.3">
      <c r="A496" s="139" t="s">
        <v>93</v>
      </c>
      <c r="B496" s="255">
        <v>698.22</v>
      </c>
      <c r="C496" s="255">
        <v>66.108984557128224</v>
      </c>
      <c r="D496" s="255">
        <v>0</v>
      </c>
      <c r="E496" s="255">
        <v>-433.64551544287173</v>
      </c>
      <c r="F496" s="255">
        <v>491.92733333333331</v>
      </c>
      <c r="G496" s="255">
        <v>7.8271666666666668</v>
      </c>
    </row>
    <row r="497" spans="1:7" x14ac:dyDescent="0.3">
      <c r="A497" s="7" t="s">
        <v>62</v>
      </c>
      <c r="B497" s="255">
        <v>8245.23</v>
      </c>
      <c r="C497" s="255">
        <v>5229.760872161889</v>
      </c>
      <c r="D497" s="255">
        <v>-10.790857788314053</v>
      </c>
      <c r="E497" s="255">
        <v>-1039.2451033831298</v>
      </c>
      <c r="F497" s="255">
        <v>6152.3093333333327</v>
      </c>
      <c r="G497" s="255">
        <v>127.4875</v>
      </c>
    </row>
    <row r="498" spans="1:7" x14ac:dyDescent="0.3">
      <c r="A498" s="138" t="s">
        <v>79</v>
      </c>
      <c r="B498" s="255">
        <v>2048.54</v>
      </c>
      <c r="C498" s="255">
        <v>1397.5068359677391</v>
      </c>
      <c r="D498" s="255">
        <v>-10.790857788314053</v>
      </c>
      <c r="E498" s="255">
        <v>-128.23613957728017</v>
      </c>
      <c r="F498" s="255">
        <v>1487.3681666666666</v>
      </c>
      <c r="G498" s="255">
        <v>49.165666666666667</v>
      </c>
    </row>
    <row r="499" spans="1:7" x14ac:dyDescent="0.3">
      <c r="A499" s="139" t="s">
        <v>80</v>
      </c>
      <c r="B499" s="255">
        <v>784.05</v>
      </c>
      <c r="C499" s="255">
        <v>395.53626139279186</v>
      </c>
      <c r="D499" s="255">
        <v>0</v>
      </c>
      <c r="E499" s="255">
        <v>-111.63823860720817</v>
      </c>
      <c r="F499" s="255">
        <v>495.3655</v>
      </c>
      <c r="G499" s="255">
        <v>11.808999999999999</v>
      </c>
    </row>
    <row r="500" spans="1:7" x14ac:dyDescent="0.3">
      <c r="A500" s="139" t="s">
        <v>81</v>
      </c>
      <c r="B500" s="255">
        <v>0</v>
      </c>
      <c r="C500" s="255">
        <v>475.03726022827811</v>
      </c>
      <c r="D500" s="255">
        <v>-10.790857788314053</v>
      </c>
      <c r="E500" s="255">
        <v>-29.207965316741145</v>
      </c>
      <c r="F500" s="255">
        <v>500.17683333333332</v>
      </c>
      <c r="G500" s="255">
        <v>14.859249999999999</v>
      </c>
    </row>
    <row r="501" spans="1:7" x14ac:dyDescent="0.3">
      <c r="A501" s="139" t="s">
        <v>82</v>
      </c>
      <c r="B501" s="255">
        <v>1264.49</v>
      </c>
      <c r="C501" s="255">
        <v>526.93331434666914</v>
      </c>
      <c r="D501" s="255">
        <v>0</v>
      </c>
      <c r="E501" s="255">
        <v>12.610064346669132</v>
      </c>
      <c r="F501" s="255">
        <v>491.82583333333332</v>
      </c>
      <c r="G501" s="255">
        <v>22.497416666666666</v>
      </c>
    </row>
    <row r="502" spans="1:7" x14ac:dyDescent="0.3">
      <c r="A502" s="138" t="s">
        <v>83</v>
      </c>
      <c r="B502" s="255">
        <v>2317.59</v>
      </c>
      <c r="C502" s="255">
        <v>1283.3853128008163</v>
      </c>
      <c r="D502" s="255">
        <v>0</v>
      </c>
      <c r="E502" s="255">
        <v>-280.58735386585022</v>
      </c>
      <c r="F502" s="255">
        <v>1530.7961666666665</v>
      </c>
      <c r="G502" s="255">
        <v>33.176499999999997</v>
      </c>
    </row>
    <row r="503" spans="1:7" x14ac:dyDescent="0.3">
      <c r="A503" s="139" t="s">
        <v>84</v>
      </c>
      <c r="B503" s="255">
        <v>859.11</v>
      </c>
      <c r="C503" s="255">
        <v>679.16869019654416</v>
      </c>
      <c r="D503" s="255">
        <v>0</v>
      </c>
      <c r="E503" s="255">
        <v>160.91144019654416</v>
      </c>
      <c r="F503" s="255">
        <v>504.70349999999996</v>
      </c>
      <c r="G503" s="255">
        <v>13.553750000000001</v>
      </c>
    </row>
    <row r="504" spans="1:7" x14ac:dyDescent="0.3">
      <c r="A504" s="139" t="s">
        <v>85</v>
      </c>
      <c r="B504" s="255">
        <v>802.93</v>
      </c>
      <c r="C504" s="255">
        <v>482.01649074509419</v>
      </c>
      <c r="D504" s="255">
        <v>0</v>
      </c>
      <c r="E504" s="255">
        <v>-39.075175921572416</v>
      </c>
      <c r="F504" s="255">
        <v>510.6103333333333</v>
      </c>
      <c r="G504" s="255">
        <v>10.481333333333334</v>
      </c>
    </row>
    <row r="505" spans="1:7" x14ac:dyDescent="0.3">
      <c r="A505" s="139" t="s">
        <v>86</v>
      </c>
      <c r="B505" s="255">
        <v>655.55</v>
      </c>
      <c r="C505" s="255">
        <v>122.20013185917799</v>
      </c>
      <c r="D505" s="255">
        <v>0</v>
      </c>
      <c r="E505" s="255">
        <v>-402.42361814082199</v>
      </c>
      <c r="F505" s="255">
        <v>515.48233333333326</v>
      </c>
      <c r="G505" s="255">
        <v>9.1414166666666663</v>
      </c>
    </row>
    <row r="506" spans="1:7" x14ac:dyDescent="0.3">
      <c r="A506" s="138" t="s">
        <v>87</v>
      </c>
      <c r="B506" s="255">
        <v>1894.32</v>
      </c>
      <c r="C506" s="255">
        <v>1614.546018929683</v>
      </c>
      <c r="D506" s="255">
        <v>0</v>
      </c>
      <c r="E506" s="255">
        <v>32.092185596349829</v>
      </c>
      <c r="F506" s="255">
        <v>1558.242</v>
      </c>
      <c r="G506" s="255">
        <v>24.211833333333335</v>
      </c>
    </row>
    <row r="507" spans="1:7" x14ac:dyDescent="0.3">
      <c r="A507" s="139" t="s">
        <v>88</v>
      </c>
      <c r="B507" s="255">
        <v>654.17999999999995</v>
      </c>
      <c r="C507" s="255">
        <v>582.19214804089154</v>
      </c>
      <c r="D507" s="255">
        <v>0</v>
      </c>
      <c r="E507" s="255">
        <v>56.314231374224818</v>
      </c>
      <c r="F507" s="255">
        <v>517.81683333333331</v>
      </c>
      <c r="G507" s="255">
        <v>8.0610833333333343</v>
      </c>
    </row>
    <row r="508" spans="1:7" x14ac:dyDescent="0.3">
      <c r="A508" s="139" t="s">
        <v>89</v>
      </c>
      <c r="B508" s="255">
        <v>534.86</v>
      </c>
      <c r="C508" s="255">
        <v>502.25860621844134</v>
      </c>
      <c r="D508" s="255">
        <v>0</v>
      </c>
      <c r="E508" s="255">
        <v>-25.753727114891866</v>
      </c>
      <c r="F508" s="255">
        <v>520.08949999999993</v>
      </c>
      <c r="G508" s="255">
        <v>7.9228333333333332</v>
      </c>
    </row>
    <row r="509" spans="1:7" x14ac:dyDescent="0.3">
      <c r="A509" s="139" t="s">
        <v>169</v>
      </c>
      <c r="B509" s="255">
        <v>705.28</v>
      </c>
      <c r="C509" s="255">
        <v>530.09526467035016</v>
      </c>
      <c r="D509" s="255">
        <v>0</v>
      </c>
      <c r="E509" s="255">
        <v>1.5316813370168747</v>
      </c>
      <c r="F509" s="255">
        <v>520.33566666666661</v>
      </c>
      <c r="G509" s="255">
        <v>8.2279166666666672</v>
      </c>
    </row>
    <row r="510" spans="1:7" x14ac:dyDescent="0.3">
      <c r="A510" s="138" t="s">
        <v>90</v>
      </c>
      <c r="B510" s="255">
        <v>1984.78</v>
      </c>
      <c r="C510" s="255">
        <v>934.32270446365055</v>
      </c>
      <c r="D510" s="255">
        <v>0</v>
      </c>
      <c r="E510" s="255">
        <v>-662.51379553634933</v>
      </c>
      <c r="F510" s="255">
        <v>1575.903</v>
      </c>
      <c r="G510" s="255">
        <v>20.933499999999999</v>
      </c>
    </row>
    <row r="511" spans="1:7" x14ac:dyDescent="0.3">
      <c r="A511" s="139" t="s">
        <v>91</v>
      </c>
      <c r="B511" s="255">
        <v>659.71</v>
      </c>
      <c r="C511" s="255">
        <v>217.42350574691244</v>
      </c>
      <c r="D511" s="255">
        <v>0</v>
      </c>
      <c r="E511" s="255">
        <v>-313.27566091975422</v>
      </c>
      <c r="F511" s="255">
        <v>523.41800000000001</v>
      </c>
      <c r="G511" s="255">
        <v>7.2811666666666666</v>
      </c>
    </row>
    <row r="512" spans="1:7" x14ac:dyDescent="0.3">
      <c r="A512" s="139" t="s">
        <v>92</v>
      </c>
      <c r="B512" s="255">
        <v>592.04999999999995</v>
      </c>
      <c r="C512" s="255">
        <v>522.55598224921607</v>
      </c>
      <c r="D512" s="255">
        <v>0</v>
      </c>
      <c r="E512" s="255">
        <v>-9.7356844174506119</v>
      </c>
      <c r="F512" s="255">
        <v>525.68949999999995</v>
      </c>
      <c r="G512" s="255">
        <v>6.6021666666666663</v>
      </c>
    </row>
    <row r="513" spans="1:7" x14ac:dyDescent="0.3">
      <c r="A513" s="139" t="s">
        <v>93</v>
      </c>
      <c r="B513" s="255">
        <v>733.02</v>
      </c>
      <c r="C513" s="255">
        <v>194.3432164675221</v>
      </c>
      <c r="D513" s="255">
        <v>0</v>
      </c>
      <c r="E513" s="255">
        <v>-339.5024501991445</v>
      </c>
      <c r="F513" s="255">
        <v>526.79549999999995</v>
      </c>
      <c r="G513" s="255">
        <v>7.0501666666666667</v>
      </c>
    </row>
    <row r="514" spans="1:7" x14ac:dyDescent="0.3">
      <c r="A514" s="7" t="s">
        <v>63</v>
      </c>
      <c r="B514" s="255">
        <v>9176.1099999999988</v>
      </c>
      <c r="C514" s="255">
        <v>4999.0577284408737</v>
      </c>
      <c r="D514" s="255">
        <v>22.401908127314158</v>
      </c>
      <c r="E514" s="255">
        <v>-1730.2652630197736</v>
      </c>
      <c r="F514" s="255">
        <v>6586.6803333333337</v>
      </c>
      <c r="G514" s="255">
        <v>120.24074999999999</v>
      </c>
    </row>
    <row r="515" spans="1:7" x14ac:dyDescent="0.3">
      <c r="A515" s="138" t="s">
        <v>79</v>
      </c>
      <c r="B515" s="255">
        <v>2441.25</v>
      </c>
      <c r="C515" s="255">
        <v>944.97416520203456</v>
      </c>
      <c r="D515" s="255">
        <v>22.401908127314158</v>
      </c>
      <c r="E515" s="255">
        <v>-723.27007625861279</v>
      </c>
      <c r="F515" s="255">
        <v>1595.4481666666666</v>
      </c>
      <c r="G515" s="255">
        <v>50.394166666666663</v>
      </c>
    </row>
    <row r="516" spans="1:7" x14ac:dyDescent="0.3">
      <c r="A516" s="139" t="s">
        <v>80</v>
      </c>
      <c r="B516" s="255">
        <v>342.49</v>
      </c>
      <c r="C516" s="255">
        <v>134.6356304009073</v>
      </c>
      <c r="D516" s="255">
        <v>0</v>
      </c>
      <c r="E516" s="255">
        <v>-408.42028626575927</v>
      </c>
      <c r="F516" s="255">
        <v>530.23249999999996</v>
      </c>
      <c r="G516" s="255">
        <v>12.823416666666667</v>
      </c>
    </row>
    <row r="517" spans="1:7" x14ac:dyDescent="0.3">
      <c r="A517" s="139" t="s">
        <v>81</v>
      </c>
      <c r="B517" s="255">
        <v>1187.6199999999999</v>
      </c>
      <c r="C517" s="255">
        <v>259.53338836041428</v>
      </c>
      <c r="D517" s="255">
        <v>22.401908127314158</v>
      </c>
      <c r="E517" s="255">
        <v>-313.81751976689986</v>
      </c>
      <c r="F517" s="255">
        <v>527.10349999999994</v>
      </c>
      <c r="G517" s="255">
        <v>23.845500000000001</v>
      </c>
    </row>
    <row r="518" spans="1:7" x14ac:dyDescent="0.3">
      <c r="A518" s="139" t="s">
        <v>82</v>
      </c>
      <c r="B518" s="255">
        <v>911.14</v>
      </c>
      <c r="C518" s="255">
        <v>550.80514644071297</v>
      </c>
      <c r="D518" s="255">
        <v>0</v>
      </c>
      <c r="E518" s="255">
        <v>-1.0322702259536647</v>
      </c>
      <c r="F518" s="255">
        <v>538.11216666666667</v>
      </c>
      <c r="G518" s="255">
        <v>13.725249999999999</v>
      </c>
    </row>
    <row r="519" spans="1:7" x14ac:dyDescent="0.3">
      <c r="A519" s="138" t="s">
        <v>83</v>
      </c>
      <c r="B519" s="255">
        <v>1936.07</v>
      </c>
      <c r="C519" s="255">
        <v>1753.242061818064</v>
      </c>
      <c r="D519" s="255">
        <v>0</v>
      </c>
      <c r="E519" s="255">
        <v>91.001645151397312</v>
      </c>
      <c r="F519" s="255">
        <v>1634.0216666666665</v>
      </c>
      <c r="G519" s="255">
        <v>28.21875</v>
      </c>
    </row>
    <row r="520" spans="1:7" x14ac:dyDescent="0.3">
      <c r="A520" s="139" t="s">
        <v>84</v>
      </c>
      <c r="B520" s="255">
        <v>487</v>
      </c>
      <c r="C520" s="255">
        <v>660.23226185861427</v>
      </c>
      <c r="D520" s="255">
        <v>0</v>
      </c>
      <c r="E520" s="255">
        <v>106.73701185861421</v>
      </c>
      <c r="F520" s="255">
        <v>544.32933333333335</v>
      </c>
      <c r="G520" s="255">
        <v>9.1659166666666678</v>
      </c>
    </row>
    <row r="521" spans="1:7" x14ac:dyDescent="0.3">
      <c r="A521" s="139" t="s">
        <v>85</v>
      </c>
      <c r="B521" s="255">
        <v>720.05</v>
      </c>
      <c r="C521" s="255">
        <v>522.30245222675114</v>
      </c>
      <c r="D521" s="255">
        <v>0</v>
      </c>
      <c r="E521" s="255">
        <v>-31.423214439915554</v>
      </c>
      <c r="F521" s="255">
        <v>543.37383333333332</v>
      </c>
      <c r="G521" s="255">
        <v>10.351833333333333</v>
      </c>
    </row>
    <row r="522" spans="1:7" x14ac:dyDescent="0.3">
      <c r="A522" s="139" t="s">
        <v>86</v>
      </c>
      <c r="B522" s="255">
        <v>729.02</v>
      </c>
      <c r="C522" s="255">
        <v>570.70734773269862</v>
      </c>
      <c r="D522" s="255">
        <v>0</v>
      </c>
      <c r="E522" s="255">
        <v>15.687847732698655</v>
      </c>
      <c r="F522" s="255">
        <v>546.31849999999997</v>
      </c>
      <c r="G522" s="255">
        <v>8.7009999999999987</v>
      </c>
    </row>
    <row r="523" spans="1:7" x14ac:dyDescent="0.3">
      <c r="A523" s="138" t="s">
        <v>87</v>
      </c>
      <c r="B523" s="255">
        <v>2470.64</v>
      </c>
      <c r="C523" s="255">
        <v>1707.6109370812958</v>
      </c>
      <c r="D523" s="255">
        <v>0</v>
      </c>
      <c r="E523" s="255">
        <v>24.691353747962488</v>
      </c>
      <c r="F523" s="255">
        <v>1660.6764999999998</v>
      </c>
      <c r="G523" s="255">
        <v>22.243083333333331</v>
      </c>
    </row>
    <row r="524" spans="1:7" x14ac:dyDescent="0.3">
      <c r="A524" s="139" t="s">
        <v>88</v>
      </c>
      <c r="B524" s="255">
        <v>750.89</v>
      </c>
      <c r="C524" s="255">
        <v>612.3759573356823</v>
      </c>
      <c r="D524" s="255">
        <v>0</v>
      </c>
      <c r="E524" s="255">
        <v>55.588374002349042</v>
      </c>
      <c r="F524" s="255">
        <v>549.36349999999993</v>
      </c>
      <c r="G524" s="255">
        <v>7.4240833333333329</v>
      </c>
    </row>
    <row r="525" spans="1:7" x14ac:dyDescent="0.3">
      <c r="A525" s="139" t="s">
        <v>89</v>
      </c>
      <c r="B525" s="255">
        <v>904.82</v>
      </c>
      <c r="C525" s="255">
        <v>526.12809367120133</v>
      </c>
      <c r="D525" s="255">
        <v>0</v>
      </c>
      <c r="E525" s="255">
        <v>-34.299489662131961</v>
      </c>
      <c r="F525" s="255">
        <v>552.72233333333327</v>
      </c>
      <c r="G525" s="255">
        <v>7.7052500000000004</v>
      </c>
    </row>
    <row r="526" spans="1:7" x14ac:dyDescent="0.3">
      <c r="A526" s="139" t="s">
        <v>169</v>
      </c>
      <c r="B526" s="255">
        <v>814.93</v>
      </c>
      <c r="C526" s="255">
        <v>569.10688607441216</v>
      </c>
      <c r="D526" s="255">
        <v>0</v>
      </c>
      <c r="E526" s="255">
        <v>3.4024694077454072</v>
      </c>
      <c r="F526" s="255">
        <v>558.59066666666672</v>
      </c>
      <c r="G526" s="255">
        <v>7.1137499999999996</v>
      </c>
    </row>
    <row r="527" spans="1:7" x14ac:dyDescent="0.3">
      <c r="A527" s="138" t="s">
        <v>90</v>
      </c>
      <c r="B527" s="255">
        <v>2328.15</v>
      </c>
      <c r="C527" s="255">
        <v>593.23056433947932</v>
      </c>
      <c r="D527" s="255">
        <v>0</v>
      </c>
      <c r="E527" s="255">
        <v>-1122.6881856605205</v>
      </c>
      <c r="F527" s="255">
        <v>1696.5339999999999</v>
      </c>
      <c r="G527" s="255">
        <v>19.38475</v>
      </c>
    </row>
    <row r="528" spans="1:7" x14ac:dyDescent="0.3">
      <c r="A528" s="139" t="s">
        <v>91</v>
      </c>
      <c r="B528" s="255">
        <v>638.04</v>
      </c>
      <c r="C528" s="255">
        <v>645.02297417035129</v>
      </c>
      <c r="D528" s="255">
        <v>0</v>
      </c>
      <c r="E528" s="255">
        <v>75.185640837018056</v>
      </c>
      <c r="F528" s="255">
        <v>562.86299999999994</v>
      </c>
      <c r="G528" s="255">
        <v>6.9743333333333331</v>
      </c>
    </row>
    <row r="529" spans="1:7" x14ac:dyDescent="0.3">
      <c r="A529" s="139" t="s">
        <v>92</v>
      </c>
      <c r="B529" s="255">
        <v>890.46</v>
      </c>
      <c r="C529" s="255">
        <v>552.90721750745865</v>
      </c>
      <c r="D529" s="255">
        <v>0</v>
      </c>
      <c r="E529" s="255">
        <v>-17.925282492541321</v>
      </c>
      <c r="F529" s="255">
        <v>564.11599999999999</v>
      </c>
      <c r="G529" s="255">
        <v>6.7164999999999999</v>
      </c>
    </row>
    <row r="530" spans="1:7" x14ac:dyDescent="0.3">
      <c r="A530" s="139" t="s">
        <v>93</v>
      </c>
      <c r="B530" s="255">
        <v>799.65</v>
      </c>
      <c r="C530" s="255">
        <v>-604.69962733833063</v>
      </c>
      <c r="D530" s="255">
        <v>0</v>
      </c>
      <c r="E530" s="255">
        <v>-1179.9485440049973</v>
      </c>
      <c r="F530" s="255">
        <v>569.55500000000006</v>
      </c>
      <c r="G530" s="255">
        <v>5.6939166666666665</v>
      </c>
    </row>
    <row r="531" spans="1:7" x14ac:dyDescent="0.3">
      <c r="A531" s="7" t="s">
        <v>64</v>
      </c>
      <c r="B531" s="255">
        <v>10712.819999999998</v>
      </c>
      <c r="C531" s="255">
        <v>11693.929283007586</v>
      </c>
      <c r="D531" s="255">
        <v>-149.69194800598268</v>
      </c>
      <c r="E531" s="255">
        <v>3732.37911108259</v>
      </c>
      <c r="F531" s="255">
        <v>7209.7444999999998</v>
      </c>
      <c r="G531" s="255">
        <v>134.31016666666667</v>
      </c>
    </row>
    <row r="532" spans="1:7" x14ac:dyDescent="0.3">
      <c r="A532" s="138" t="s">
        <v>79</v>
      </c>
      <c r="B532" s="255">
        <v>2749.17</v>
      </c>
      <c r="C532" s="255">
        <v>2186.8453372366994</v>
      </c>
      <c r="D532" s="255">
        <v>-149.69194800598268</v>
      </c>
      <c r="E532" s="255">
        <v>559.19470190934851</v>
      </c>
      <c r="F532" s="255">
        <v>1729.4095</v>
      </c>
      <c r="G532" s="255">
        <v>47.933083333333329</v>
      </c>
    </row>
    <row r="533" spans="1:7" x14ac:dyDescent="0.3">
      <c r="A533" s="139" t="s">
        <v>80</v>
      </c>
      <c r="B533" s="255">
        <v>438.99</v>
      </c>
      <c r="C533" s="255">
        <v>334.68186129799739</v>
      </c>
      <c r="D533" s="255">
        <v>-149.69194800598268</v>
      </c>
      <c r="E533" s="255">
        <v>-99.612274029353259</v>
      </c>
      <c r="F533" s="255">
        <v>573.38983333333329</v>
      </c>
      <c r="G533" s="255">
        <v>10.59625</v>
      </c>
    </row>
    <row r="534" spans="1:7" x14ac:dyDescent="0.3">
      <c r="A534" s="139" t="s">
        <v>81</v>
      </c>
      <c r="B534" s="255">
        <v>1394.35</v>
      </c>
      <c r="C534" s="255">
        <v>793.54520138592818</v>
      </c>
      <c r="D534" s="255">
        <v>0</v>
      </c>
      <c r="E534" s="255">
        <v>198.16545138592824</v>
      </c>
      <c r="F534" s="255">
        <v>571.14983333333328</v>
      </c>
      <c r="G534" s="255">
        <v>24.229916666666668</v>
      </c>
    </row>
    <row r="535" spans="1:7" x14ac:dyDescent="0.3">
      <c r="A535" s="139" t="s">
        <v>82</v>
      </c>
      <c r="B535" s="255">
        <v>915.83</v>
      </c>
      <c r="C535" s="255">
        <v>1058.6182745527735</v>
      </c>
      <c r="D535" s="255">
        <v>0</v>
      </c>
      <c r="E535" s="255">
        <v>460.64152455277355</v>
      </c>
      <c r="F535" s="255">
        <v>584.86983333333342</v>
      </c>
      <c r="G535" s="255">
        <v>13.106916666666667</v>
      </c>
    </row>
    <row r="536" spans="1:7" x14ac:dyDescent="0.3">
      <c r="A536" s="138" t="s">
        <v>83</v>
      </c>
      <c r="B536" s="255">
        <v>2651.6</v>
      </c>
      <c r="C536" s="255">
        <v>2247.7191510295511</v>
      </c>
      <c r="D536" s="255">
        <v>0</v>
      </c>
      <c r="E536" s="255">
        <v>427.05940102955105</v>
      </c>
      <c r="F536" s="255">
        <v>1780.5911666666666</v>
      </c>
      <c r="G536" s="255">
        <v>40.068583333333329</v>
      </c>
    </row>
    <row r="537" spans="1:7" x14ac:dyDescent="0.3">
      <c r="A537" s="139" t="s">
        <v>84</v>
      </c>
      <c r="B537" s="255">
        <v>740.12</v>
      </c>
      <c r="C537" s="255">
        <v>502.3234590248295</v>
      </c>
      <c r="D537" s="255">
        <v>0</v>
      </c>
      <c r="E537" s="255">
        <v>-101.69662430850386</v>
      </c>
      <c r="F537" s="255">
        <v>590.38583333333338</v>
      </c>
      <c r="G537" s="255">
        <v>13.63425</v>
      </c>
    </row>
    <row r="538" spans="1:7" x14ac:dyDescent="0.3">
      <c r="A538" s="139" t="s">
        <v>85</v>
      </c>
      <c r="B538" s="255">
        <v>859.44</v>
      </c>
      <c r="C538" s="255">
        <v>1136.496329439201</v>
      </c>
      <c r="D538" s="255">
        <v>0</v>
      </c>
      <c r="E538" s="255">
        <v>529.84132943920088</v>
      </c>
      <c r="F538" s="255">
        <v>592.88133333333326</v>
      </c>
      <c r="G538" s="255">
        <v>13.773666666666665</v>
      </c>
    </row>
    <row r="539" spans="1:7" x14ac:dyDescent="0.3">
      <c r="A539" s="139" t="s">
        <v>86</v>
      </c>
      <c r="B539" s="255">
        <v>1052.04</v>
      </c>
      <c r="C539" s="255">
        <v>608.89936256552073</v>
      </c>
      <c r="D539" s="255">
        <v>0</v>
      </c>
      <c r="E539" s="255">
        <v>-1.0853041011459845</v>
      </c>
      <c r="F539" s="255">
        <v>597.32400000000007</v>
      </c>
      <c r="G539" s="255">
        <v>12.660666666666666</v>
      </c>
    </row>
    <row r="540" spans="1:7" x14ac:dyDescent="0.3">
      <c r="A540" s="138" t="s">
        <v>87</v>
      </c>
      <c r="B540" s="255">
        <v>2568.2399999999998</v>
      </c>
      <c r="C540" s="255">
        <v>5060.4262995444542</v>
      </c>
      <c r="D540" s="255">
        <v>0</v>
      </c>
      <c r="E540" s="255">
        <v>2438.6915129468093</v>
      </c>
      <c r="F540" s="255">
        <v>1827.4351666666669</v>
      </c>
      <c r="G540" s="255">
        <v>27.112166666666667</v>
      </c>
    </row>
    <row r="541" spans="1:7" x14ac:dyDescent="0.3">
      <c r="A541" s="139" t="s">
        <v>88</v>
      </c>
      <c r="B541" s="255">
        <v>850.32</v>
      </c>
      <c r="C541" s="255">
        <v>2195.1662198676859</v>
      </c>
      <c r="D541" s="255">
        <v>0</v>
      </c>
      <c r="E541" s="255">
        <v>1580.0674698676858</v>
      </c>
      <c r="F541" s="255">
        <v>604.90266666666673</v>
      </c>
      <c r="G541" s="255">
        <v>10.196083333333332</v>
      </c>
    </row>
    <row r="542" spans="1:7" x14ac:dyDescent="0.3">
      <c r="A542" s="139" t="s">
        <v>89</v>
      </c>
      <c r="B542" s="255">
        <v>881.78</v>
      </c>
      <c r="C542" s="255">
        <v>1600.5317333966254</v>
      </c>
      <c r="D542" s="255">
        <v>0</v>
      </c>
      <c r="E542" s="255">
        <v>395.36479686227318</v>
      </c>
      <c r="F542" s="255">
        <v>608.99300000000005</v>
      </c>
      <c r="G542" s="255">
        <v>9.3619166666666676</v>
      </c>
    </row>
    <row r="543" spans="1:7" x14ac:dyDescent="0.3">
      <c r="A543" s="139" t="s">
        <v>169</v>
      </c>
      <c r="B543" s="255">
        <v>836.14</v>
      </c>
      <c r="C543" s="255">
        <v>1264.7283462801427</v>
      </c>
      <c r="D543" s="255">
        <v>0</v>
      </c>
      <c r="E543" s="255">
        <v>463.25924621685044</v>
      </c>
      <c r="F543" s="255">
        <v>613.53950000000009</v>
      </c>
      <c r="G543" s="255">
        <v>7.5541666666666663</v>
      </c>
    </row>
    <row r="544" spans="1:7" x14ac:dyDescent="0.3">
      <c r="A544" s="138" t="s">
        <v>90</v>
      </c>
      <c r="B544" s="255">
        <v>2743.81</v>
      </c>
      <c r="C544" s="255">
        <v>2198.9384951968814</v>
      </c>
      <c r="D544" s="255">
        <v>0</v>
      </c>
      <c r="E544" s="255">
        <v>307.4334951968811</v>
      </c>
      <c r="F544" s="255">
        <v>1872.3086666666668</v>
      </c>
      <c r="G544" s="255">
        <v>19.196333333333332</v>
      </c>
    </row>
    <row r="545" spans="1:7" x14ac:dyDescent="0.3">
      <c r="A545" s="139" t="s">
        <v>91</v>
      </c>
      <c r="B545" s="255">
        <v>1091.01</v>
      </c>
      <c r="C545" s="255">
        <v>983.96792683072908</v>
      </c>
      <c r="D545" s="255">
        <v>0</v>
      </c>
      <c r="E545" s="255">
        <v>359.21851016406237</v>
      </c>
      <c r="F545" s="255">
        <v>617.24950000000001</v>
      </c>
      <c r="G545" s="255">
        <v>7.4999166666666666</v>
      </c>
    </row>
    <row r="546" spans="1:7" x14ac:dyDescent="0.3">
      <c r="A546" s="139" t="s">
        <v>92</v>
      </c>
      <c r="B546" s="255">
        <v>911.24</v>
      </c>
      <c r="C546" s="255">
        <v>604.11905597950533</v>
      </c>
      <c r="D546" s="255">
        <v>0</v>
      </c>
      <c r="E546" s="255">
        <v>-26.94377735382805</v>
      </c>
      <c r="F546" s="255">
        <v>625.14550000000008</v>
      </c>
      <c r="G546" s="255">
        <v>5.9173333333333336</v>
      </c>
    </row>
    <row r="547" spans="1:7" x14ac:dyDescent="0.3">
      <c r="A547" s="139" t="s">
        <v>93</v>
      </c>
      <c r="B547" s="255">
        <v>741.56</v>
      </c>
      <c r="C547" s="255">
        <v>610.85151238664685</v>
      </c>
      <c r="D547" s="255">
        <v>0</v>
      </c>
      <c r="E547" s="255">
        <v>-24.841237613353176</v>
      </c>
      <c r="F547" s="255">
        <v>629.9136666666667</v>
      </c>
      <c r="G547" s="255">
        <v>5.7790833333333333</v>
      </c>
    </row>
    <row r="548" spans="1:7" x14ac:dyDescent="0.3">
      <c r="A548" s="7" t="s">
        <v>65</v>
      </c>
      <c r="B548" s="255">
        <v>9966.26</v>
      </c>
      <c r="C548" s="255">
        <v>8607.7709433631426</v>
      </c>
      <c r="D548" s="255">
        <v>2.1561403738789267</v>
      </c>
      <c r="E548" s="255">
        <v>709.22980298926382</v>
      </c>
      <c r="F548" s="255">
        <v>7764.9156666666668</v>
      </c>
      <c r="G548" s="255">
        <v>131.46933333333334</v>
      </c>
    </row>
    <row r="549" spans="1:7" x14ac:dyDescent="0.3">
      <c r="A549" s="138" t="s">
        <v>79</v>
      </c>
      <c r="B549" s="255">
        <v>2389.17</v>
      </c>
      <c r="C549" s="255">
        <v>2495.7773712681042</v>
      </c>
      <c r="D549" s="255">
        <v>2.1561403738789267</v>
      </c>
      <c r="E549" s="255">
        <v>549.6057308942253</v>
      </c>
      <c r="F549" s="255">
        <v>1893.4416666666666</v>
      </c>
      <c r="G549" s="255">
        <v>50.573833333333333</v>
      </c>
    </row>
    <row r="550" spans="1:7" x14ac:dyDescent="0.3">
      <c r="A550" s="139" t="s">
        <v>80</v>
      </c>
      <c r="B550" s="255">
        <v>862.7</v>
      </c>
      <c r="C550" s="255">
        <v>1248.4597552372238</v>
      </c>
      <c r="D550" s="255">
        <v>0</v>
      </c>
      <c r="E550" s="255">
        <v>606.4191719038904</v>
      </c>
      <c r="F550" s="255">
        <v>631.77449999999999</v>
      </c>
      <c r="G550" s="255">
        <v>10.266083333333334</v>
      </c>
    </row>
    <row r="551" spans="1:7" x14ac:dyDescent="0.3">
      <c r="A551" s="139" t="s">
        <v>81</v>
      </c>
      <c r="B551" s="255">
        <v>60.85</v>
      </c>
      <c r="C551" s="255">
        <v>614.30727358300089</v>
      </c>
      <c r="D551" s="255">
        <v>2.1561403738789267</v>
      </c>
      <c r="E551" s="255">
        <v>-40.928450124211302</v>
      </c>
      <c r="F551" s="255">
        <v>635.62333333333333</v>
      </c>
      <c r="G551" s="255">
        <v>17.456250000000001</v>
      </c>
    </row>
    <row r="552" spans="1:7" x14ac:dyDescent="0.3">
      <c r="A552" s="139" t="s">
        <v>82</v>
      </c>
      <c r="B552" s="255">
        <v>1465.62</v>
      </c>
      <c r="C552" s="255">
        <v>633.01034244787945</v>
      </c>
      <c r="D552" s="255">
        <v>0</v>
      </c>
      <c r="E552" s="255">
        <v>-15.884990885453819</v>
      </c>
      <c r="F552" s="255">
        <v>626.04383333333328</v>
      </c>
      <c r="G552" s="255">
        <v>22.851499999999998</v>
      </c>
    </row>
    <row r="553" spans="1:7" x14ac:dyDescent="0.3">
      <c r="A553" s="138" t="s">
        <v>83</v>
      </c>
      <c r="B553" s="255">
        <v>2613.0100000000002</v>
      </c>
      <c r="C553" s="255">
        <v>1933.7488730635612</v>
      </c>
      <c r="D553" s="255">
        <v>0</v>
      </c>
      <c r="E553" s="255">
        <v>-26.903876936438849</v>
      </c>
      <c r="F553" s="255">
        <v>1930.3643333333334</v>
      </c>
      <c r="G553" s="255">
        <v>30.288416666666663</v>
      </c>
    </row>
    <row r="554" spans="1:7" x14ac:dyDescent="0.3">
      <c r="A554" s="139" t="s">
        <v>84</v>
      </c>
      <c r="B554" s="255">
        <v>862.08</v>
      </c>
      <c r="C554" s="255">
        <v>681.65326784865476</v>
      </c>
      <c r="D554" s="255">
        <v>0</v>
      </c>
      <c r="E554" s="255">
        <v>29.971934515321408</v>
      </c>
      <c r="F554" s="255">
        <v>640.03683333333333</v>
      </c>
      <c r="G554" s="255">
        <v>11.644499999999999</v>
      </c>
    </row>
    <row r="555" spans="1:7" x14ac:dyDescent="0.3">
      <c r="A555" s="139" t="s">
        <v>85</v>
      </c>
      <c r="B555" s="255">
        <v>814.89</v>
      </c>
      <c r="C555" s="255">
        <v>595.7215274959234</v>
      </c>
      <c r="D555" s="255">
        <v>0</v>
      </c>
      <c r="E555" s="255">
        <v>-57.794389170743237</v>
      </c>
      <c r="F555" s="255">
        <v>643.73749999999995</v>
      </c>
      <c r="G555" s="255">
        <v>9.7784166666666668</v>
      </c>
    </row>
    <row r="556" spans="1:7" x14ac:dyDescent="0.3">
      <c r="A556" s="139" t="s">
        <v>86</v>
      </c>
      <c r="B556" s="255">
        <v>936.04</v>
      </c>
      <c r="C556" s="255">
        <v>656.37407771898302</v>
      </c>
      <c r="D556" s="255">
        <v>0</v>
      </c>
      <c r="E556" s="255">
        <v>0.91857771898298246</v>
      </c>
      <c r="F556" s="255">
        <v>646.59</v>
      </c>
      <c r="G556" s="255">
        <v>8.865499999999999</v>
      </c>
    </row>
    <row r="557" spans="1:7" x14ac:dyDescent="0.3">
      <c r="A557" s="138" t="s">
        <v>87</v>
      </c>
      <c r="B557" s="255">
        <v>2303.4</v>
      </c>
      <c r="C557" s="255">
        <v>2030.6337774342023</v>
      </c>
      <c r="D557" s="255">
        <v>0</v>
      </c>
      <c r="E557" s="255">
        <v>46.690277434202436</v>
      </c>
      <c r="F557" s="255">
        <v>1959.2183333333332</v>
      </c>
      <c r="G557" s="255">
        <v>24.725166666666667</v>
      </c>
    </row>
    <row r="558" spans="1:7" x14ac:dyDescent="0.3">
      <c r="A558" s="139" t="s">
        <v>88</v>
      </c>
      <c r="B558" s="255">
        <v>730.02</v>
      </c>
      <c r="C558" s="255">
        <v>775.85643072992991</v>
      </c>
      <c r="D558" s="255">
        <v>0</v>
      </c>
      <c r="E558" s="255">
        <v>116.86593072992989</v>
      </c>
      <c r="F558" s="255">
        <v>651.41416666666669</v>
      </c>
      <c r="G558" s="255">
        <v>7.5763333333333334</v>
      </c>
    </row>
    <row r="559" spans="1:7" x14ac:dyDescent="0.3">
      <c r="A559" s="139" t="s">
        <v>89</v>
      </c>
      <c r="B559" s="255">
        <v>794.05</v>
      </c>
      <c r="C559" s="255">
        <v>621.71252032291602</v>
      </c>
      <c r="D559" s="255">
        <v>0</v>
      </c>
      <c r="E559" s="255">
        <v>-39.878479677083938</v>
      </c>
      <c r="F559" s="255">
        <v>652.72433333333333</v>
      </c>
      <c r="G559" s="255">
        <v>8.8666666666666671</v>
      </c>
    </row>
    <row r="560" spans="1:7" x14ac:dyDescent="0.3">
      <c r="A560" s="139" t="s">
        <v>169</v>
      </c>
      <c r="B560" s="255">
        <v>779.33</v>
      </c>
      <c r="C560" s="255">
        <v>633.0648263813564</v>
      </c>
      <c r="D560" s="255">
        <v>0</v>
      </c>
      <c r="E560" s="255">
        <v>-30.297173618643519</v>
      </c>
      <c r="F560" s="255">
        <v>655.07983333333334</v>
      </c>
      <c r="G560" s="255">
        <v>8.2821666666666669</v>
      </c>
    </row>
    <row r="561" spans="1:7" x14ac:dyDescent="0.3">
      <c r="A561" s="138" t="s">
        <v>90</v>
      </c>
      <c r="B561" s="255">
        <v>2660.68</v>
      </c>
      <c r="C561" s="255">
        <v>2147.6109215972747</v>
      </c>
      <c r="D561" s="255">
        <v>0</v>
      </c>
      <c r="E561" s="255">
        <v>139.83767159727492</v>
      </c>
      <c r="F561" s="255">
        <v>1981.8913333333335</v>
      </c>
      <c r="G561" s="255">
        <v>25.881916666666662</v>
      </c>
    </row>
    <row r="562" spans="1:7" x14ac:dyDescent="0.3">
      <c r="A562" s="139" t="s">
        <v>91</v>
      </c>
      <c r="B562" s="255">
        <v>891.79</v>
      </c>
      <c r="C562" s="255">
        <v>912.59833329111211</v>
      </c>
      <c r="D562" s="255">
        <v>0</v>
      </c>
      <c r="E562" s="255">
        <v>247.24249995777879</v>
      </c>
      <c r="F562" s="255">
        <v>657.15066666666667</v>
      </c>
      <c r="G562" s="255">
        <v>8.2051666666666669</v>
      </c>
    </row>
    <row r="563" spans="1:7" x14ac:dyDescent="0.3">
      <c r="A563" s="139" t="s">
        <v>92</v>
      </c>
      <c r="B563" s="255">
        <v>818.14</v>
      </c>
      <c r="C563" s="255">
        <v>596.62831587383221</v>
      </c>
      <c r="D563" s="255">
        <v>0</v>
      </c>
      <c r="E563" s="255">
        <v>-72.925767459501103</v>
      </c>
      <c r="F563" s="255">
        <v>661.06133333333332</v>
      </c>
      <c r="G563" s="255">
        <v>8.4927499999999991</v>
      </c>
    </row>
    <row r="564" spans="1:7" x14ac:dyDescent="0.3">
      <c r="A564" s="139" t="s">
        <v>93</v>
      </c>
      <c r="B564" s="255">
        <v>950.75</v>
      </c>
      <c r="C564" s="255">
        <v>638.38427243233059</v>
      </c>
      <c r="D564" s="255">
        <v>0</v>
      </c>
      <c r="E564" s="255">
        <v>-34.479060901002789</v>
      </c>
      <c r="F564" s="255">
        <v>663.67933333333337</v>
      </c>
      <c r="G564" s="255">
        <v>9.1839999999999993</v>
      </c>
    </row>
    <row r="565" spans="1:7" x14ac:dyDescent="0.3">
      <c r="A565" s="7" t="s">
        <v>66</v>
      </c>
      <c r="B565" s="255">
        <v>10772.547187717968</v>
      </c>
      <c r="C565" s="255">
        <v>8599.4880212405405</v>
      </c>
      <c r="D565" s="255">
        <v>21.024614282080776</v>
      </c>
      <c r="E565" s="255">
        <v>100.30724981397901</v>
      </c>
      <c r="F565" s="255">
        <v>8252.9901117453282</v>
      </c>
      <c r="G565" s="255">
        <v>225.16604539915272</v>
      </c>
    </row>
    <row r="566" spans="1:7" x14ac:dyDescent="0.3">
      <c r="A566" s="138" t="s">
        <v>79</v>
      </c>
      <c r="B566" s="255">
        <v>2648.5071770475233</v>
      </c>
      <c r="C566" s="255">
        <v>2024.5587303025854</v>
      </c>
      <c r="D566" s="255">
        <v>21.024614282080776</v>
      </c>
      <c r="E566" s="255">
        <v>-47.851045769064427</v>
      </c>
      <c r="F566" s="255">
        <v>2015.9412685822185</v>
      </c>
      <c r="G566" s="255">
        <v>35.443893207350619</v>
      </c>
    </row>
    <row r="567" spans="1:7" x14ac:dyDescent="0.3">
      <c r="A567" s="139" t="s">
        <v>80</v>
      </c>
      <c r="B567" s="255">
        <v>879.52982791347301</v>
      </c>
      <c r="C567" s="255">
        <v>600.28409816673775</v>
      </c>
      <c r="D567" s="255">
        <v>0</v>
      </c>
      <c r="E567" s="255">
        <v>-77.483318499928984</v>
      </c>
      <c r="F567" s="255">
        <v>668.46383333333335</v>
      </c>
      <c r="G567" s="255">
        <v>9.303583333333334</v>
      </c>
    </row>
    <row r="568" spans="1:7" x14ac:dyDescent="0.3">
      <c r="A568" s="139" t="s">
        <v>81</v>
      </c>
      <c r="B568" s="255">
        <v>882.8357256825077</v>
      </c>
      <c r="C568" s="255">
        <v>720.47257442642524</v>
      </c>
      <c r="D568" s="255">
        <v>21.024614282080776</v>
      </c>
      <c r="E568" s="255">
        <v>15.559729171611755</v>
      </c>
      <c r="F568" s="255">
        <v>671.98159990966894</v>
      </c>
      <c r="G568" s="255">
        <v>11.906631063063912</v>
      </c>
    </row>
    <row r="569" spans="1:7" x14ac:dyDescent="0.3">
      <c r="A569" s="139" t="s">
        <v>82</v>
      </c>
      <c r="B569" s="255">
        <v>886.1416234515425</v>
      </c>
      <c r="C569" s="255">
        <v>703.80205770942257</v>
      </c>
      <c r="D569" s="255">
        <v>0</v>
      </c>
      <c r="E569" s="255">
        <v>14.072543559252802</v>
      </c>
      <c r="F569" s="255">
        <v>675.49583533921634</v>
      </c>
      <c r="G569" s="255">
        <v>14.233678810953373</v>
      </c>
    </row>
    <row r="570" spans="1:7" x14ac:dyDescent="0.3">
      <c r="A570" s="138" t="s">
        <v>83</v>
      </c>
      <c r="B570" s="255">
        <v>2678.2602569688361</v>
      </c>
      <c r="C570" s="255">
        <v>2180.4739010686003</v>
      </c>
      <c r="D570" s="255">
        <v>0</v>
      </c>
      <c r="E570" s="255">
        <v>81.865324734164915</v>
      </c>
      <c r="F570" s="255">
        <v>2047.5384840448501</v>
      </c>
      <c r="G570" s="255">
        <v>51.070092289585361</v>
      </c>
    </row>
    <row r="571" spans="1:7" x14ac:dyDescent="0.3">
      <c r="A571" s="139" t="s">
        <v>84</v>
      </c>
      <c r="B571" s="255">
        <v>889.44752122057719</v>
      </c>
      <c r="C571" s="255">
        <v>736.92940366603557</v>
      </c>
      <c r="D571" s="255">
        <v>0</v>
      </c>
      <c r="E571" s="255">
        <v>42.336100120193052</v>
      </c>
      <c r="F571" s="255">
        <v>679.00659847442182</v>
      </c>
      <c r="G571" s="255">
        <v>15.586705071420727</v>
      </c>
    </row>
    <row r="572" spans="1:7" x14ac:dyDescent="0.3">
      <c r="A572" s="139" t="s">
        <v>85</v>
      </c>
      <c r="B572" s="255">
        <v>892.75341898961199</v>
      </c>
      <c r="C572" s="255">
        <v>752.09918850187228</v>
      </c>
      <c r="D572" s="255">
        <v>0</v>
      </c>
      <c r="E572" s="255">
        <v>52.479039862409422</v>
      </c>
      <c r="F572" s="255">
        <v>682.51394718685776</v>
      </c>
      <c r="G572" s="255">
        <v>17.10620145260506</v>
      </c>
    </row>
    <row r="573" spans="1:7" x14ac:dyDescent="0.3">
      <c r="A573" s="139" t="s">
        <v>86</v>
      </c>
      <c r="B573" s="255">
        <v>896.05931675864667</v>
      </c>
      <c r="C573" s="255">
        <v>691.44530890069245</v>
      </c>
      <c r="D573" s="255">
        <v>0</v>
      </c>
      <c r="E573" s="255">
        <v>-12.949815248437561</v>
      </c>
      <c r="F573" s="255">
        <v>686.01793838357037</v>
      </c>
      <c r="G573" s="255">
        <v>18.377185765559577</v>
      </c>
    </row>
    <row r="574" spans="1:7" x14ac:dyDescent="0.3">
      <c r="A574" s="138" t="s">
        <v>87</v>
      </c>
      <c r="B574" s="255">
        <v>2708.0133368901488</v>
      </c>
      <c r="C574" s="255">
        <v>2181.86376234101</v>
      </c>
      <c r="D574" s="255">
        <v>0</v>
      </c>
      <c r="E574" s="255">
        <v>39.995801721064389</v>
      </c>
      <c r="F574" s="255">
        <v>2079.0450209723681</v>
      </c>
      <c r="G574" s="255">
        <v>62.822939647577577</v>
      </c>
    </row>
    <row r="575" spans="1:7" x14ac:dyDescent="0.3">
      <c r="A575" s="139" t="s">
        <v>88</v>
      </c>
      <c r="B575" s="255">
        <v>899.36521452768147</v>
      </c>
      <c r="C575" s="255">
        <v>807.59003959894756</v>
      </c>
      <c r="D575" s="255">
        <v>0</v>
      </c>
      <c r="E575" s="255">
        <v>98.522107222835203</v>
      </c>
      <c r="F575" s="255">
        <v>689.51862802315497</v>
      </c>
      <c r="G575" s="255">
        <v>19.549304352957407</v>
      </c>
    </row>
    <row r="576" spans="1:7" x14ac:dyDescent="0.3">
      <c r="A576" s="139" t="s">
        <v>89</v>
      </c>
      <c r="B576" s="255">
        <v>902.67111229671616</v>
      </c>
      <c r="C576" s="255">
        <v>669.14213714141488</v>
      </c>
      <c r="D576" s="255">
        <v>0</v>
      </c>
      <c r="E576" s="255">
        <v>-45.12835507525574</v>
      </c>
      <c r="F576" s="255">
        <v>693.01607113156365</v>
      </c>
      <c r="G576" s="255">
        <v>21.254421085107026</v>
      </c>
    </row>
    <row r="577" spans="1:7" x14ac:dyDescent="0.3">
      <c r="A577" s="139" t="s">
        <v>169</v>
      </c>
      <c r="B577" s="255">
        <v>905.97701006575096</v>
      </c>
      <c r="C577" s="255">
        <v>705.13158560064767</v>
      </c>
      <c r="D577" s="255">
        <v>0</v>
      </c>
      <c r="E577" s="255">
        <v>-13.397950426515072</v>
      </c>
      <c r="F577" s="255">
        <v>696.51032181764958</v>
      </c>
      <c r="G577" s="255">
        <v>22.019214209513144</v>
      </c>
    </row>
    <row r="578" spans="1:7" x14ac:dyDescent="0.3">
      <c r="A578" s="138" t="s">
        <v>90</v>
      </c>
      <c r="B578" s="255">
        <v>2737.7664168114616</v>
      </c>
      <c r="C578" s="255">
        <v>2212.5916275283444</v>
      </c>
      <c r="D578" s="255">
        <v>0</v>
      </c>
      <c r="E578" s="255">
        <v>26.297169127814133</v>
      </c>
      <c r="F578" s="255">
        <v>2110.4653381458911</v>
      </c>
      <c r="G578" s="255">
        <v>75.82912025463915</v>
      </c>
    </row>
    <row r="579" spans="1:7" x14ac:dyDescent="0.3">
      <c r="A579" s="139" t="s">
        <v>91</v>
      </c>
      <c r="B579" s="255">
        <v>909.28290783478565</v>
      </c>
      <c r="C579" s="255">
        <v>838.98336709893101</v>
      </c>
      <c r="D579" s="255">
        <v>0</v>
      </c>
      <c r="E579" s="255">
        <v>115.01664480800576</v>
      </c>
      <c r="F579" s="255">
        <v>700.00143328845115</v>
      </c>
      <c r="G579" s="255">
        <v>23.965289002473988</v>
      </c>
    </row>
    <row r="580" spans="1:7" x14ac:dyDescent="0.3">
      <c r="A580" s="139" t="s">
        <v>92</v>
      </c>
      <c r="B580" s="255">
        <v>912.58880560382045</v>
      </c>
      <c r="C580" s="255">
        <v>667.88827536600434</v>
      </c>
      <c r="D580" s="255">
        <v>0</v>
      </c>
      <c r="E580" s="255">
        <v>-61.240183371235524</v>
      </c>
      <c r="F580" s="255">
        <v>703.48945786422337</v>
      </c>
      <c r="G580" s="255">
        <v>25.639000873016517</v>
      </c>
    </row>
    <row r="581" spans="1:7" x14ac:dyDescent="0.3">
      <c r="A581" s="139" t="s">
        <v>93</v>
      </c>
      <c r="B581" s="255">
        <v>915.89470337285525</v>
      </c>
      <c r="C581" s="255">
        <v>705.71998506340924</v>
      </c>
      <c r="D581" s="255">
        <v>0</v>
      </c>
      <c r="E581" s="255">
        <v>-27.479292308956108</v>
      </c>
      <c r="F581" s="255">
        <v>706.9744469932167</v>
      </c>
      <c r="G581" s="255">
        <v>26.224830379148639</v>
      </c>
    </row>
    <row r="582" spans="1:7" x14ac:dyDescent="0.3">
      <c r="A582" s="7" t="s">
        <v>67</v>
      </c>
      <c r="B582" s="255">
        <v>11248.596466458974</v>
      </c>
      <c r="C582" s="255">
        <v>9260.3003776109108</v>
      </c>
      <c r="D582" s="255">
        <v>-8.5923359983066199</v>
      </c>
      <c r="E582" s="255">
        <v>98.386223194044888</v>
      </c>
      <c r="F582" s="255">
        <v>8754.4842065510838</v>
      </c>
      <c r="G582" s="255">
        <v>416.02228386408854</v>
      </c>
    </row>
    <row r="583" spans="1:7" x14ac:dyDescent="0.3">
      <c r="A583" s="138" t="s">
        <v>79</v>
      </c>
      <c r="B583" s="255">
        <v>2767.5194967327743</v>
      </c>
      <c r="C583" s="255">
        <v>2175.8192019293388</v>
      </c>
      <c r="D583" s="255">
        <v>-8.5923359983066199</v>
      </c>
      <c r="E583" s="255">
        <v>-47.879227678343192</v>
      </c>
      <c r="F583" s="255">
        <v>2141.8036751024897</v>
      </c>
      <c r="G583" s="255">
        <v>90.487090503498777</v>
      </c>
    </row>
    <row r="584" spans="1:7" x14ac:dyDescent="0.3">
      <c r="A584" s="139" t="s">
        <v>80</v>
      </c>
      <c r="B584" s="255">
        <v>919.20060114188993</v>
      </c>
      <c r="C584" s="255">
        <v>656.13970454788807</v>
      </c>
      <c r="D584" s="255">
        <v>0</v>
      </c>
      <c r="E584" s="255">
        <v>-82.580748182786365</v>
      </c>
      <c r="F584" s="255">
        <v>710.45645126621059</v>
      </c>
      <c r="G584" s="255">
        <v>28.264001464463774</v>
      </c>
    </row>
    <row r="585" spans="1:7" x14ac:dyDescent="0.3">
      <c r="A585" s="139" t="s">
        <v>81</v>
      </c>
      <c r="B585" s="255">
        <v>922.50649891092473</v>
      </c>
      <c r="C585" s="255">
        <v>756.18756502542124</v>
      </c>
      <c r="D585" s="255">
        <v>-8.5923359983066199</v>
      </c>
      <c r="E585" s="255">
        <v>20.828923142546728</v>
      </c>
      <c r="F585" s="255">
        <v>713.93552043080524</v>
      </c>
      <c r="G585" s="255">
        <v>30.015457450375827</v>
      </c>
    </row>
    <row r="586" spans="1:7" x14ac:dyDescent="0.3">
      <c r="A586" s="139" t="s">
        <v>82</v>
      </c>
      <c r="B586" s="255">
        <v>925.81239667995942</v>
      </c>
      <c r="C586" s="255">
        <v>763.49193235602945</v>
      </c>
      <c r="D586" s="255">
        <v>0</v>
      </c>
      <c r="E586" s="255">
        <v>13.872597361896448</v>
      </c>
      <c r="F586" s="255">
        <v>717.41170340547387</v>
      </c>
      <c r="G586" s="255">
        <v>32.207631588659176</v>
      </c>
    </row>
    <row r="587" spans="1:7" x14ac:dyDescent="0.3">
      <c r="A587" s="138" t="s">
        <v>83</v>
      </c>
      <c r="B587" s="255">
        <v>2797.2725766540871</v>
      </c>
      <c r="C587" s="255">
        <v>2358.6680412593487</v>
      </c>
      <c r="D587" s="255">
        <v>0</v>
      </c>
      <c r="E587" s="255">
        <v>81.012021513156952</v>
      </c>
      <c r="F587" s="255">
        <v>2173.0640629157006</v>
      </c>
      <c r="G587" s="255">
        <v>104.59195683049168</v>
      </c>
    </row>
    <row r="588" spans="1:7" x14ac:dyDescent="0.3">
      <c r="A588" s="139" t="s">
        <v>84</v>
      </c>
      <c r="B588" s="255">
        <v>929.11829444899422</v>
      </c>
      <c r="C588" s="255">
        <v>796.42857701166599</v>
      </c>
      <c r="D588" s="255">
        <v>0</v>
      </c>
      <c r="E588" s="255">
        <v>41.949906013912425</v>
      </c>
      <c r="F588" s="255">
        <v>720.88504829338194</v>
      </c>
      <c r="G588" s="255">
        <v>33.593622704371704</v>
      </c>
    </row>
    <row r="589" spans="1:7" x14ac:dyDescent="0.3">
      <c r="A589" s="139" t="s">
        <v>85</v>
      </c>
      <c r="B589" s="255">
        <v>932.42419221802891</v>
      </c>
      <c r="C589" s="255">
        <v>811.33297563672409</v>
      </c>
      <c r="D589" s="255">
        <v>0</v>
      </c>
      <c r="E589" s="255">
        <v>52.03108000034424</v>
      </c>
      <c r="F589" s="255">
        <v>724.35560239597544</v>
      </c>
      <c r="G589" s="255">
        <v>34.946293240404451</v>
      </c>
    </row>
    <row r="590" spans="1:7" x14ac:dyDescent="0.3">
      <c r="A590" s="139" t="s">
        <v>86</v>
      </c>
      <c r="B590" s="255">
        <v>935.73008998706371</v>
      </c>
      <c r="C590" s="255">
        <v>750.90648861095883</v>
      </c>
      <c r="D590" s="255">
        <v>0</v>
      </c>
      <c r="E590" s="255">
        <v>-12.968964501099727</v>
      </c>
      <c r="F590" s="255">
        <v>727.82341222634307</v>
      </c>
      <c r="G590" s="255">
        <v>36.05204088571552</v>
      </c>
    </row>
    <row r="591" spans="1:7" x14ac:dyDescent="0.3">
      <c r="A591" s="138" t="s">
        <v>87</v>
      </c>
      <c r="B591" s="255">
        <v>2827.0256565753994</v>
      </c>
      <c r="C591" s="255">
        <v>2353.3725202132646</v>
      </c>
      <c r="D591" s="255">
        <v>0</v>
      </c>
      <c r="E591" s="255">
        <v>39.4290399169019</v>
      </c>
      <c r="F591" s="255">
        <v>2204.2503344459487</v>
      </c>
      <c r="G591" s="255">
        <v>109.6931458504141</v>
      </c>
    </row>
    <row r="592" spans="1:7" x14ac:dyDescent="0.3">
      <c r="A592" s="139" t="s">
        <v>88</v>
      </c>
      <c r="B592" s="255">
        <v>939.03598775609839</v>
      </c>
      <c r="C592" s="255">
        <v>865.46504486633944</v>
      </c>
      <c r="D592" s="255">
        <v>0</v>
      </c>
      <c r="E592" s="255">
        <v>97.785350732667311</v>
      </c>
      <c r="F592" s="255">
        <v>731.28852352235492</v>
      </c>
      <c r="G592" s="255">
        <v>36.391170611317158</v>
      </c>
    </row>
    <row r="593" spans="1:7" x14ac:dyDescent="0.3">
      <c r="A593" s="139" t="s">
        <v>89</v>
      </c>
      <c r="B593" s="255">
        <v>942.34188552513319</v>
      </c>
      <c r="C593" s="255">
        <v>726.37332844287562</v>
      </c>
      <c r="D593" s="255">
        <v>0</v>
      </c>
      <c r="E593" s="255">
        <v>-44.942078992826012</v>
      </c>
      <c r="F593" s="255">
        <v>734.75098125958391</v>
      </c>
      <c r="G593" s="255">
        <v>36.564426176117749</v>
      </c>
    </row>
    <row r="594" spans="1:7" x14ac:dyDescent="0.3">
      <c r="A594" s="139" t="s">
        <v>169</v>
      </c>
      <c r="B594" s="255">
        <v>945.64778329416788</v>
      </c>
      <c r="C594" s="255">
        <v>761.53414690404952</v>
      </c>
      <c r="D594" s="255">
        <v>0</v>
      </c>
      <c r="E594" s="255">
        <v>-13.414231822939401</v>
      </c>
      <c r="F594" s="255">
        <v>738.21082966400979</v>
      </c>
      <c r="G594" s="255">
        <v>36.737549062979198</v>
      </c>
    </row>
    <row r="595" spans="1:7" x14ac:dyDescent="0.3">
      <c r="A595" s="138" t="s">
        <v>90</v>
      </c>
      <c r="B595" s="255">
        <v>2856.7787364967121</v>
      </c>
      <c r="C595" s="255">
        <v>2372.4406142089583</v>
      </c>
      <c r="D595" s="255">
        <v>0</v>
      </c>
      <c r="E595" s="255">
        <v>25.824389442329263</v>
      </c>
      <c r="F595" s="255">
        <v>2235.3661340869453</v>
      </c>
      <c r="G595" s="255">
        <v>111.25009067968398</v>
      </c>
    </row>
    <row r="596" spans="1:7" x14ac:dyDescent="0.3">
      <c r="A596" s="139" t="s">
        <v>91</v>
      </c>
      <c r="B596" s="255">
        <v>948.95368106320268</v>
      </c>
      <c r="C596" s="255">
        <v>892.76493583718923</v>
      </c>
      <c r="D596" s="255">
        <v>0</v>
      </c>
      <c r="E596" s="255">
        <v>114.18628212947621</v>
      </c>
      <c r="F596" s="255">
        <v>741.66811222451247</v>
      </c>
      <c r="G596" s="255">
        <v>36.910541483200497</v>
      </c>
    </row>
    <row r="597" spans="1:7" x14ac:dyDescent="0.3">
      <c r="A597" s="139" t="s">
        <v>92</v>
      </c>
      <c r="B597" s="255">
        <v>952.25957883223737</v>
      </c>
      <c r="C597" s="255">
        <v>721.25052021948898</v>
      </c>
      <c r="D597" s="255">
        <v>0</v>
      </c>
      <c r="E597" s="255">
        <v>-60.955757096894061</v>
      </c>
      <c r="F597" s="255">
        <v>745.12287170515742</v>
      </c>
      <c r="G597" s="255">
        <v>37.083405611225629</v>
      </c>
    </row>
    <row r="598" spans="1:7" x14ac:dyDescent="0.3">
      <c r="A598" s="139" t="s">
        <v>93</v>
      </c>
      <c r="B598" s="255">
        <v>955.56547660127217</v>
      </c>
      <c r="C598" s="255">
        <v>758.42515815228035</v>
      </c>
      <c r="D598" s="255">
        <v>0</v>
      </c>
      <c r="E598" s="255">
        <v>-27.406135590252887</v>
      </c>
      <c r="F598" s="255">
        <v>748.5751501572754</v>
      </c>
      <c r="G598" s="255">
        <v>37.256143585257867</v>
      </c>
    </row>
    <row r="599" spans="1:7" x14ac:dyDescent="0.3">
      <c r="A599" s="7" t="s">
        <v>68</v>
      </c>
      <c r="B599" s="255">
        <v>11724.645745199976</v>
      </c>
      <c r="C599" s="255">
        <v>9799.0898067020062</v>
      </c>
      <c r="D599" s="255">
        <v>-9.31391732109579</v>
      </c>
      <c r="E599" s="255">
        <v>96.568734594031767</v>
      </c>
      <c r="F599" s="255">
        <v>9251.3308568534449</v>
      </c>
      <c r="G599" s="255">
        <v>460.50413257562315</v>
      </c>
    </row>
    <row r="600" spans="1:7" x14ac:dyDescent="0.3">
      <c r="A600" s="138" t="s">
        <v>79</v>
      </c>
      <c r="B600" s="255">
        <v>2886.5318164180253</v>
      </c>
      <c r="C600" s="255">
        <v>2322.0248153525818</v>
      </c>
      <c r="D600" s="255">
        <v>-9.31391732109579</v>
      </c>
      <c r="E600" s="255">
        <v>-47.879822748022498</v>
      </c>
      <c r="F600" s="255">
        <v>2266.4149270328362</v>
      </c>
      <c r="G600" s="255">
        <v>112.80362838886379</v>
      </c>
    </row>
    <row r="601" spans="1:7" x14ac:dyDescent="0.3">
      <c r="A601" s="139" t="s">
        <v>80</v>
      </c>
      <c r="B601" s="255">
        <v>958.87137437030697</v>
      </c>
      <c r="C601" s="255">
        <v>707.30214951345067</v>
      </c>
      <c r="D601" s="255">
        <v>0</v>
      </c>
      <c r="E601" s="255">
        <v>-82.151596925755157</v>
      </c>
      <c r="F601" s="255">
        <v>752.02498893134202</v>
      </c>
      <c r="G601" s="255">
        <v>37.428757507863772</v>
      </c>
    </row>
    <row r="602" spans="1:7" x14ac:dyDescent="0.3">
      <c r="A602" s="139" t="s">
        <v>81</v>
      </c>
      <c r="B602" s="255">
        <v>962.17727213934165</v>
      </c>
      <c r="C602" s="255">
        <v>804.35080701415859</v>
      </c>
      <c r="D602" s="255">
        <v>-9.31391732109579</v>
      </c>
      <c r="E602" s="255">
        <v>20.591046200029261</v>
      </c>
      <c r="F602" s="255">
        <v>755.47242868865806</v>
      </c>
      <c r="G602" s="255">
        <v>37.601249446567103</v>
      </c>
    </row>
    <row r="603" spans="1:7" x14ac:dyDescent="0.3">
      <c r="A603" s="139" t="s">
        <v>82</v>
      </c>
      <c r="B603" s="255">
        <v>965.48316990837634</v>
      </c>
      <c r="C603" s="255">
        <v>810.37185882497261</v>
      </c>
      <c r="D603" s="255">
        <v>0</v>
      </c>
      <c r="E603" s="255">
        <v>13.680727977703398</v>
      </c>
      <c r="F603" s="255">
        <v>758.91750941283624</v>
      </c>
      <c r="G603" s="255">
        <v>37.773621434432904</v>
      </c>
    </row>
    <row r="604" spans="1:7" x14ac:dyDescent="0.3">
      <c r="A604" s="138" t="s">
        <v>83</v>
      </c>
      <c r="B604" s="255">
        <v>2916.2848963393376</v>
      </c>
      <c r="C604" s="255">
        <v>2491.9477574913244</v>
      </c>
      <c r="D604" s="255">
        <v>0</v>
      </c>
      <c r="E604" s="255">
        <v>80.193822891179039</v>
      </c>
      <c r="F604" s="255">
        <v>2297.4000080896808</v>
      </c>
      <c r="G604" s="255">
        <v>114.35392651046492</v>
      </c>
    </row>
    <row r="605" spans="1:7" x14ac:dyDescent="0.3">
      <c r="A605" s="139" t="s">
        <v>84</v>
      </c>
      <c r="B605" s="255">
        <v>968.78906767741114</v>
      </c>
      <c r="C605" s="255">
        <v>841.88602328906336</v>
      </c>
      <c r="D605" s="255">
        <v>0</v>
      </c>
      <c r="E605" s="255">
        <v>41.579877397326456</v>
      </c>
      <c r="F605" s="255">
        <v>762.36027042109515</v>
      </c>
      <c r="G605" s="255">
        <v>37.945875470641809</v>
      </c>
    </row>
    <row r="606" spans="1:7" x14ac:dyDescent="0.3">
      <c r="A606" s="139" t="s">
        <v>85</v>
      </c>
      <c r="B606" s="255">
        <v>972.09496544644594</v>
      </c>
      <c r="C606" s="255">
        <v>855.52063548554747</v>
      </c>
      <c r="D606" s="255">
        <v>0</v>
      </c>
      <c r="E606" s="255">
        <v>51.601871589125608</v>
      </c>
      <c r="F606" s="255">
        <v>765.8007503753671</v>
      </c>
      <c r="G606" s="255">
        <v>38.118013521054756</v>
      </c>
    </row>
    <row r="607" spans="1:7" x14ac:dyDescent="0.3">
      <c r="A607" s="139" t="s">
        <v>86</v>
      </c>
      <c r="B607" s="255">
        <v>975.40086321548063</v>
      </c>
      <c r="C607" s="255">
        <v>794.5410987167138</v>
      </c>
      <c r="D607" s="255">
        <v>0</v>
      </c>
      <c r="E607" s="255">
        <v>-12.987926095273021</v>
      </c>
      <c r="F607" s="255">
        <v>769.23898729321843</v>
      </c>
      <c r="G607" s="255">
        <v>38.290037518768358</v>
      </c>
    </row>
    <row r="608" spans="1:7" x14ac:dyDescent="0.3">
      <c r="A608" s="138" t="s">
        <v>87</v>
      </c>
      <c r="B608" s="255">
        <v>2946.0379762606503</v>
      </c>
      <c r="C608" s="255">
        <v>2483.1104233347519</v>
      </c>
      <c r="D608" s="255">
        <v>0</v>
      </c>
      <c r="E608" s="255">
        <v>38.884768941891373</v>
      </c>
      <c r="F608" s="255">
        <v>2328.3245100536524</v>
      </c>
      <c r="G608" s="255">
        <v>115.90114433920814</v>
      </c>
    </row>
    <row r="609" spans="1:7" x14ac:dyDescent="0.3">
      <c r="A609" s="139" t="s">
        <v>88</v>
      </c>
      <c r="B609" s="255">
        <v>978.70676098451543</v>
      </c>
      <c r="C609" s="255">
        <v>908.2165605490369</v>
      </c>
      <c r="D609" s="255">
        <v>0</v>
      </c>
      <c r="E609" s="255">
        <v>97.079592625786532</v>
      </c>
      <c r="F609" s="255">
        <v>772.6750185585895</v>
      </c>
      <c r="G609" s="255">
        <v>38.461949364660924</v>
      </c>
    </row>
    <row r="610" spans="1:7" x14ac:dyDescent="0.3">
      <c r="A610" s="139" t="s">
        <v>89</v>
      </c>
      <c r="B610" s="255">
        <v>982.01265875355011</v>
      </c>
      <c r="C610" s="255">
        <v>769.97824761432548</v>
      </c>
      <c r="D610" s="255">
        <v>0</v>
      </c>
      <c r="E610" s="255">
        <v>-44.764384245958929</v>
      </c>
      <c r="F610" s="255">
        <v>776.10888093235496</v>
      </c>
      <c r="G610" s="255">
        <v>38.633750927929476</v>
      </c>
    </row>
    <row r="611" spans="1:7" x14ac:dyDescent="0.3">
      <c r="A611" s="139" t="s">
        <v>169</v>
      </c>
      <c r="B611" s="255">
        <v>985.31855652258491</v>
      </c>
      <c r="C611" s="255">
        <v>804.91561517138962</v>
      </c>
      <c r="D611" s="255">
        <v>0</v>
      </c>
      <c r="E611" s="255">
        <v>-13.430439437936228</v>
      </c>
      <c r="F611" s="255">
        <v>779.54061056270814</v>
      </c>
      <c r="G611" s="255">
        <v>38.805444046617744</v>
      </c>
    </row>
    <row r="612" spans="1:7" x14ac:dyDescent="0.3">
      <c r="A612" s="138" t="s">
        <v>90</v>
      </c>
      <c r="B612" s="255">
        <v>2975.7910561819631</v>
      </c>
      <c r="C612" s="255">
        <v>2502.0068105233468</v>
      </c>
      <c r="D612" s="255">
        <v>0</v>
      </c>
      <c r="E612" s="255">
        <v>25.369965508983864</v>
      </c>
      <c r="F612" s="255">
        <v>2359.1914116772764</v>
      </c>
      <c r="G612" s="255">
        <v>117.4454333370862</v>
      </c>
    </row>
    <row r="613" spans="1:7" x14ac:dyDescent="0.3">
      <c r="A613" s="139" t="s">
        <v>91</v>
      </c>
      <c r="B613" s="255">
        <v>988.6244542916196</v>
      </c>
      <c r="C613" s="255">
        <v>935.33793546633535</v>
      </c>
      <c r="D613" s="255">
        <v>0</v>
      </c>
      <c r="E613" s="255">
        <v>113.39066194282729</v>
      </c>
      <c r="F613" s="255">
        <v>782.9702429953727</v>
      </c>
      <c r="G613" s="255">
        <v>38.977030528135408</v>
      </c>
    </row>
    <row r="614" spans="1:7" x14ac:dyDescent="0.3">
      <c r="A614" s="139" t="s">
        <v>92</v>
      </c>
      <c r="B614" s="255">
        <v>991.9303520606544</v>
      </c>
      <c r="C614" s="255">
        <v>764.86233273084849</v>
      </c>
      <c r="D614" s="255">
        <v>0</v>
      </c>
      <c r="E614" s="255">
        <v>-60.683992602563585</v>
      </c>
      <c r="F614" s="255">
        <v>786.39781318364339</v>
      </c>
      <c r="G614" s="255">
        <v>39.148512149768635</v>
      </c>
    </row>
    <row r="615" spans="1:7" x14ac:dyDescent="0.3">
      <c r="A615" s="139" t="s">
        <v>93</v>
      </c>
      <c r="B615" s="255">
        <v>995.23624982968909</v>
      </c>
      <c r="C615" s="255">
        <v>801.80654232616268</v>
      </c>
      <c r="D615" s="255">
        <v>0</v>
      </c>
      <c r="E615" s="255">
        <v>-27.336703831279845</v>
      </c>
      <c r="F615" s="255">
        <v>789.8233554982603</v>
      </c>
      <c r="G615" s="255">
        <v>39.319890659182171</v>
      </c>
    </row>
    <row r="616" spans="1:7" x14ac:dyDescent="0.3">
      <c r="A616" s="7" t="s">
        <v>69</v>
      </c>
      <c r="B616" s="255">
        <v>12200.69502394098</v>
      </c>
      <c r="C616" s="255">
        <v>10316.605758427624</v>
      </c>
      <c r="D616" s="255">
        <v>-7.7647910379070062</v>
      </c>
      <c r="E616" s="255">
        <v>94.82069949158803</v>
      </c>
      <c r="F616" s="255">
        <v>9744.3789090483606</v>
      </c>
      <c r="G616" s="255">
        <v>485.17094092558386</v>
      </c>
    </row>
    <row r="617" spans="1:7" x14ac:dyDescent="0.3">
      <c r="A617" s="138" t="s">
        <v>79</v>
      </c>
      <c r="B617" s="255">
        <v>3005.5441361032758</v>
      </c>
      <c r="C617" s="255">
        <v>2453.3434355692862</v>
      </c>
      <c r="D617" s="255">
        <v>-7.7647910379070062</v>
      </c>
      <c r="E617" s="255">
        <v>-47.882256155271193</v>
      </c>
      <c r="F617" s="255">
        <v>2390.0035452439552</v>
      </c>
      <c r="G617" s="255">
        <v>118.98693751850942</v>
      </c>
    </row>
    <row r="618" spans="1:7" x14ac:dyDescent="0.3">
      <c r="A618" s="139" t="s">
        <v>80</v>
      </c>
      <c r="B618" s="255">
        <v>998.54214759872389</v>
      </c>
      <c r="C618" s="255">
        <v>750.99664351719161</v>
      </c>
      <c r="D618" s="255">
        <v>0</v>
      </c>
      <c r="E618" s="255">
        <v>-81.741427994838858</v>
      </c>
      <c r="F618" s="255">
        <v>793.24690373711746</v>
      </c>
      <c r="G618" s="255">
        <v>39.491167774913016</v>
      </c>
    </row>
    <row r="619" spans="1:7" x14ac:dyDescent="0.3">
      <c r="A619" s="139" t="s">
        <v>81</v>
      </c>
      <c r="B619" s="255">
        <v>1001.8480453677587</v>
      </c>
      <c r="C619" s="255">
        <v>848.92878158309168</v>
      </c>
      <c r="D619" s="255">
        <v>-7.7647910379070062</v>
      </c>
      <c r="E619" s="255">
        <v>20.362736299331871</v>
      </c>
      <c r="F619" s="255">
        <v>796.66849113481089</v>
      </c>
      <c r="G619" s="255">
        <v>39.662345186855873</v>
      </c>
    </row>
    <row r="620" spans="1:7" x14ac:dyDescent="0.3">
      <c r="A620" s="139" t="s">
        <v>82</v>
      </c>
      <c r="B620" s="255">
        <v>1005.1539431367934</v>
      </c>
      <c r="C620" s="255">
        <v>853.41801046900298</v>
      </c>
      <c r="D620" s="255">
        <v>0</v>
      </c>
      <c r="E620" s="255">
        <v>13.496435540235794</v>
      </c>
      <c r="F620" s="255">
        <v>800.08815037202669</v>
      </c>
      <c r="G620" s="255">
        <v>39.833424556740546</v>
      </c>
    </row>
    <row r="621" spans="1:7" x14ac:dyDescent="0.3">
      <c r="A621" s="138" t="s">
        <v>83</v>
      </c>
      <c r="B621" s="255">
        <v>3035.2972160245886</v>
      </c>
      <c r="C621" s="255">
        <v>2620.6979286428168</v>
      </c>
      <c r="D621" s="255">
        <v>0</v>
      </c>
      <c r="E621" s="255">
        <v>79.408531056259861</v>
      </c>
      <c r="F621" s="255">
        <v>2420.763603770044</v>
      </c>
      <c r="G621" s="255">
        <v>120.52579381651282</v>
      </c>
    </row>
    <row r="622" spans="1:7" x14ac:dyDescent="0.3">
      <c r="A622" s="139" t="s">
        <v>84</v>
      </c>
      <c r="B622" s="255">
        <v>1008.4598409058281</v>
      </c>
      <c r="C622" s="255">
        <v>884.73530958350727</v>
      </c>
      <c r="D622" s="255">
        <v>0</v>
      </c>
      <c r="E622" s="255">
        <v>41.224988480133177</v>
      </c>
      <c r="F622" s="255">
        <v>803.50591358477277</v>
      </c>
      <c r="G622" s="255">
        <v>40.004407518601333</v>
      </c>
    </row>
    <row r="623" spans="1:7" x14ac:dyDescent="0.3">
      <c r="A623" s="139" t="s">
        <v>85</v>
      </c>
      <c r="B623" s="255">
        <v>1011.7657386748629</v>
      </c>
      <c r="C623" s="255">
        <v>898.28733515190697</v>
      </c>
      <c r="D623" s="255">
        <v>0</v>
      </c>
      <c r="E623" s="255">
        <v>51.190227099211242</v>
      </c>
      <c r="F623" s="255">
        <v>806.9218123734571</v>
      </c>
      <c r="G623" s="255">
        <v>40.175295679238637</v>
      </c>
    </row>
    <row r="624" spans="1:7" x14ac:dyDescent="0.3">
      <c r="A624" s="139" t="s">
        <v>86</v>
      </c>
      <c r="B624" s="255">
        <v>1015.0716364438977</v>
      </c>
      <c r="C624" s="255">
        <v>837.67528390740222</v>
      </c>
      <c r="D624" s="255">
        <v>0</v>
      </c>
      <c r="E624" s="255">
        <v>-13.006684523084559</v>
      </c>
      <c r="F624" s="255">
        <v>810.33587781181393</v>
      </c>
      <c r="G624" s="255">
        <v>40.346090618672854</v>
      </c>
    </row>
    <row r="625" spans="1:7" x14ac:dyDescent="0.3">
      <c r="A625" s="138" t="s">
        <v>87</v>
      </c>
      <c r="B625" s="255">
        <v>3065.0502959459013</v>
      </c>
      <c r="C625" s="255">
        <v>2611.8979023326583</v>
      </c>
      <c r="D625" s="255">
        <v>0</v>
      </c>
      <c r="E625" s="255">
        <v>38.361622048908586</v>
      </c>
      <c r="F625" s="255">
        <v>2451.4741478527931</v>
      </c>
      <c r="G625" s="255">
        <v>122.06213243095661</v>
      </c>
    </row>
    <row r="626" spans="1:7" x14ac:dyDescent="0.3">
      <c r="A626" s="139" t="s">
        <v>88</v>
      </c>
      <c r="B626" s="255">
        <v>1018.3775342129323</v>
      </c>
      <c r="C626" s="255">
        <v>950.66780266977094</v>
      </c>
      <c r="D626" s="255">
        <v>0</v>
      </c>
      <c r="E626" s="255">
        <v>96.402868323498197</v>
      </c>
      <c r="F626" s="255">
        <v>813.74814045568201</v>
      </c>
      <c r="G626" s="255">
        <v>40.516793890590698</v>
      </c>
    </row>
    <row r="627" spans="1:7" x14ac:dyDescent="0.3">
      <c r="A627" s="139" t="s">
        <v>89</v>
      </c>
      <c r="B627" s="255">
        <v>1021.6834319819671</v>
      </c>
      <c r="C627" s="255">
        <v>813.25134224127953</v>
      </c>
      <c r="D627" s="255">
        <v>0</v>
      </c>
      <c r="E627" s="255">
        <v>-44.594695133140696</v>
      </c>
      <c r="F627" s="255">
        <v>817.15863035163613</v>
      </c>
      <c r="G627" s="255">
        <v>40.6874070227841</v>
      </c>
    </row>
    <row r="628" spans="1:7" x14ac:dyDescent="0.3">
      <c r="A628" s="139" t="s">
        <v>169</v>
      </c>
      <c r="B628" s="255">
        <v>1024.9893297510018</v>
      </c>
      <c r="C628" s="255">
        <v>847.97875742160784</v>
      </c>
      <c r="D628" s="255">
        <v>0</v>
      </c>
      <c r="E628" s="255">
        <v>-13.446551141448916</v>
      </c>
      <c r="F628" s="255">
        <v>820.56737704547493</v>
      </c>
      <c r="G628" s="255">
        <v>40.857931517581811</v>
      </c>
    </row>
    <row r="629" spans="1:7" x14ac:dyDescent="0.3">
      <c r="A629" s="138" t="s">
        <v>90</v>
      </c>
      <c r="B629" s="255">
        <v>3094.8033758672141</v>
      </c>
      <c r="C629" s="255">
        <v>2630.6664918828628</v>
      </c>
      <c r="D629" s="255">
        <v>0</v>
      </c>
      <c r="E629" s="255">
        <v>24.932802541690794</v>
      </c>
      <c r="F629" s="255">
        <v>2482.137612181567</v>
      </c>
      <c r="G629" s="255">
        <v>123.59607715960502</v>
      </c>
    </row>
    <row r="630" spans="1:7" x14ac:dyDescent="0.3">
      <c r="A630" s="139" t="s">
        <v>91</v>
      </c>
      <c r="B630" s="255">
        <v>1028.2952275200366</v>
      </c>
      <c r="C630" s="255">
        <v>977.63037507808099</v>
      </c>
      <c r="D630" s="255">
        <v>0</v>
      </c>
      <c r="E630" s="255">
        <v>112.62759663524029</v>
      </c>
      <c r="F630" s="255">
        <v>823.97440959056701</v>
      </c>
      <c r="G630" s="255">
        <v>41.028368852273751</v>
      </c>
    </row>
    <row r="631" spans="1:7" x14ac:dyDescent="0.3">
      <c r="A631" s="139" t="s">
        <v>92</v>
      </c>
      <c r="B631" s="255">
        <v>1031.6011252890714</v>
      </c>
      <c r="C631" s="255">
        <v>808.15441644627492</v>
      </c>
      <c r="D631" s="255">
        <v>0</v>
      </c>
      <c r="E631" s="255">
        <v>-60.424060589311573</v>
      </c>
      <c r="F631" s="255">
        <v>827.37975655605817</v>
      </c>
      <c r="G631" s="255">
        <v>41.198720479528355</v>
      </c>
    </row>
    <row r="632" spans="1:7" x14ac:dyDescent="0.3">
      <c r="A632" s="139" t="s">
        <v>93</v>
      </c>
      <c r="B632" s="255">
        <v>1034.907023058106</v>
      </c>
      <c r="C632" s="255">
        <v>844.88170035850681</v>
      </c>
      <c r="D632" s="255">
        <v>0</v>
      </c>
      <c r="E632" s="255">
        <v>-27.270733504237928</v>
      </c>
      <c r="F632" s="255">
        <v>830.78344603494179</v>
      </c>
      <c r="G632" s="255">
        <v>41.368987827802911</v>
      </c>
    </row>
    <row r="633" spans="1:7" x14ac:dyDescent="0.3">
      <c r="A633" s="7" t="s">
        <v>70</v>
      </c>
      <c r="B633" s="255">
        <v>12676.744302681986</v>
      </c>
      <c r="C633" s="255">
        <v>10830.270428668005</v>
      </c>
      <c r="D633" s="255">
        <v>-6.8696597412208078</v>
      </c>
      <c r="E633" s="255">
        <v>93.138040459178285</v>
      </c>
      <c r="F633" s="255">
        <v>10234.32216944396</v>
      </c>
      <c r="G633" s="255">
        <v>509.67987850608819</v>
      </c>
    </row>
    <row r="634" spans="1:7" x14ac:dyDescent="0.3">
      <c r="A634" s="138" t="s">
        <v>79</v>
      </c>
      <c r="B634" s="255">
        <v>3124.5564557885268</v>
      </c>
      <c r="C634" s="255">
        <v>2583.1280670559963</v>
      </c>
      <c r="D634" s="255">
        <v>-6.8696597412208078</v>
      </c>
      <c r="E634" s="255">
        <v>-47.886330644606879</v>
      </c>
      <c r="F634" s="255">
        <v>2512.7563117288983</v>
      </c>
      <c r="G634" s="255">
        <v>125.12774571292584</v>
      </c>
    </row>
    <row r="635" spans="1:7" x14ac:dyDescent="0.3">
      <c r="A635" s="139" t="s">
        <v>80</v>
      </c>
      <c r="B635" s="255">
        <v>1038.2129208271408</v>
      </c>
      <c r="C635" s="255">
        <v>794.37567902462615</v>
      </c>
      <c r="D635" s="255">
        <v>0</v>
      </c>
      <c r="E635" s="255">
        <v>-81.348998929115439</v>
      </c>
      <c r="F635" s="255">
        <v>834.1855056519945</v>
      </c>
      <c r="G635" s="255">
        <v>41.539172301747087</v>
      </c>
    </row>
    <row r="636" spans="1:7" x14ac:dyDescent="0.3">
      <c r="A636" s="139" t="s">
        <v>81</v>
      </c>
      <c r="B636" s="255">
        <v>1041.5188185961756</v>
      </c>
      <c r="C636" s="255">
        <v>892.56898452037751</v>
      </c>
      <c r="D636" s="255">
        <v>-6.8696597412208078</v>
      </c>
      <c r="E636" s="255">
        <v>20.14340640741834</v>
      </c>
      <c r="F636" s="255">
        <v>837.58596257158035</v>
      </c>
      <c r="G636" s="255">
        <v>41.709275282599727</v>
      </c>
    </row>
    <row r="637" spans="1:7" x14ac:dyDescent="0.3">
      <c r="A637" s="139" t="s">
        <v>82</v>
      </c>
      <c r="B637" s="255">
        <v>1044.8247163652104</v>
      </c>
      <c r="C637" s="255">
        <v>896.18340351099266</v>
      </c>
      <c r="D637" s="255">
        <v>0</v>
      </c>
      <c r="E637" s="255">
        <v>13.319261877090222</v>
      </c>
      <c r="F637" s="255">
        <v>840.98484350532351</v>
      </c>
      <c r="G637" s="255">
        <v>41.879298128579016</v>
      </c>
    </row>
    <row r="638" spans="1:7" x14ac:dyDescent="0.3">
      <c r="A638" s="138" t="s">
        <v>83</v>
      </c>
      <c r="B638" s="255">
        <v>3154.3095357098391</v>
      </c>
      <c r="C638" s="255">
        <v>2748.6438303120094</v>
      </c>
      <c r="D638" s="255">
        <v>0</v>
      </c>
      <c r="E638" s="255">
        <v>78.654132661479821</v>
      </c>
      <c r="F638" s="255">
        <v>2543.332447637119</v>
      </c>
      <c r="G638" s="255">
        <v>126.65725001341052</v>
      </c>
    </row>
    <row r="639" spans="1:7" x14ac:dyDescent="0.3">
      <c r="A639" s="139" t="s">
        <v>84</v>
      </c>
      <c r="B639" s="255">
        <v>1048.1306141342452</v>
      </c>
      <c r="C639" s="255">
        <v>927.31571736771355</v>
      </c>
      <c r="D639" s="255">
        <v>0</v>
      </c>
      <c r="E639" s="255">
        <v>40.88430047279234</v>
      </c>
      <c r="F639" s="255">
        <v>844.38217471965504</v>
      </c>
      <c r="G639" s="255">
        <v>42.04924217526618</v>
      </c>
    </row>
    <row r="640" spans="1:7" x14ac:dyDescent="0.3">
      <c r="A640" s="139" t="s">
        <v>85</v>
      </c>
      <c r="B640" s="255">
        <v>1051.4365119032798</v>
      </c>
      <c r="C640" s="255">
        <v>940.79215016013029</v>
      </c>
      <c r="D640" s="255">
        <v>0</v>
      </c>
      <c r="E640" s="255">
        <v>50.795059380915944</v>
      </c>
      <c r="F640" s="255">
        <v>847.77798204323153</v>
      </c>
      <c r="G640" s="255">
        <v>42.219108735982758</v>
      </c>
    </row>
    <row r="641" spans="1:7" x14ac:dyDescent="0.3">
      <c r="A641" s="139" t="s">
        <v>86</v>
      </c>
      <c r="B641" s="255">
        <v>1054.7424096723146</v>
      </c>
      <c r="C641" s="255">
        <v>880.53596278416535</v>
      </c>
      <c r="D641" s="255">
        <v>0</v>
      </c>
      <c r="E641" s="255">
        <v>-13.025227192228474</v>
      </c>
      <c r="F641" s="255">
        <v>851.17229087423232</v>
      </c>
      <c r="G641" s="255">
        <v>42.388899102161574</v>
      </c>
    </row>
    <row r="642" spans="1:7" x14ac:dyDescent="0.3">
      <c r="A642" s="138" t="s">
        <v>87</v>
      </c>
      <c r="B642" s="255">
        <v>3184.0626156311523</v>
      </c>
      <c r="C642" s="255">
        <v>2739.9111537234376</v>
      </c>
      <c r="D642" s="255">
        <v>0</v>
      </c>
      <c r="E642" s="255">
        <v>37.858344427722429</v>
      </c>
      <c r="F642" s="255">
        <v>2573.8681128155386</v>
      </c>
      <c r="G642" s="255">
        <v>128.18469648017651</v>
      </c>
    </row>
    <row r="643" spans="1:7" x14ac:dyDescent="0.3">
      <c r="A643" s="139" t="s">
        <v>88</v>
      </c>
      <c r="B643" s="255">
        <v>1058.0483074413494</v>
      </c>
      <c r="C643" s="255">
        <v>992.87711966042593</v>
      </c>
      <c r="D643" s="255">
        <v>0</v>
      </c>
      <c r="E643" s="255">
        <v>95.753378929180641</v>
      </c>
      <c r="F643" s="255">
        <v>854.56512618753368</v>
      </c>
      <c r="G643" s="255">
        <v>42.55861454371162</v>
      </c>
    </row>
    <row r="644" spans="1:7" x14ac:dyDescent="0.3">
      <c r="A644" s="139" t="s">
        <v>89</v>
      </c>
      <c r="B644" s="255">
        <v>1061.3542052103842</v>
      </c>
      <c r="C644" s="255">
        <v>856.25228257019899</v>
      </c>
      <c r="D644" s="255">
        <v>0</v>
      </c>
      <c r="E644" s="255">
        <v>-44.432486280941681</v>
      </c>
      <c r="F644" s="255">
        <v>857.95651254176403</v>
      </c>
      <c r="G644" s="255">
        <v>42.728256309376683</v>
      </c>
    </row>
    <row r="645" spans="1:7" x14ac:dyDescent="0.3">
      <c r="A645" s="139" t="s">
        <v>169</v>
      </c>
      <c r="B645" s="255">
        <v>1064.6601029794188</v>
      </c>
      <c r="C645" s="255">
        <v>890.78175149281276</v>
      </c>
      <c r="D645" s="255">
        <v>0</v>
      </c>
      <c r="E645" s="255">
        <v>-13.462548220516529</v>
      </c>
      <c r="F645" s="255">
        <v>861.34647408624107</v>
      </c>
      <c r="G645" s="255">
        <v>42.897825627088203</v>
      </c>
    </row>
    <row r="646" spans="1:7" x14ac:dyDescent="0.3">
      <c r="A646" s="138" t="s">
        <v>90</v>
      </c>
      <c r="B646" s="255">
        <v>3213.8156955524651</v>
      </c>
      <c r="C646" s="255">
        <v>2758.5873775765626</v>
      </c>
      <c r="D646" s="255">
        <v>0</v>
      </c>
      <c r="E646" s="255">
        <v>24.511894014582936</v>
      </c>
      <c r="F646" s="255">
        <v>2604.3652972624045</v>
      </c>
      <c r="G646" s="255">
        <v>129.71018629957535</v>
      </c>
    </row>
    <row r="647" spans="1:7" x14ac:dyDescent="0.3">
      <c r="A647" s="139" t="s">
        <v>91</v>
      </c>
      <c r="B647" s="255">
        <v>1067.9660007484536</v>
      </c>
      <c r="C647" s="255">
        <v>1019.6974400599254</v>
      </c>
      <c r="D647" s="255">
        <v>0</v>
      </c>
      <c r="E647" s="255">
        <v>111.89508178781945</v>
      </c>
      <c r="F647" s="255">
        <v>864.73503456779395</v>
      </c>
      <c r="G647" s="255">
        <v>43.067323704312052</v>
      </c>
    </row>
    <row r="648" spans="1:7" x14ac:dyDescent="0.3">
      <c r="A648" s="139" t="s">
        <v>92</v>
      </c>
      <c r="B648" s="255">
        <v>1071.2718985174884</v>
      </c>
      <c r="C648" s="255">
        <v>851.18376611293195</v>
      </c>
      <c r="D648" s="255">
        <v>0</v>
      </c>
      <c r="E648" s="255">
        <v>-60.175202952929446</v>
      </c>
      <c r="F648" s="255">
        <v>868.12221733747174</v>
      </c>
      <c r="G648" s="255">
        <v>43.236751728389699</v>
      </c>
    </row>
    <row r="649" spans="1:7" x14ac:dyDescent="0.3">
      <c r="A649" s="139" t="s">
        <v>93</v>
      </c>
      <c r="B649" s="255">
        <v>1074.5777962865232</v>
      </c>
      <c r="C649" s="255">
        <v>887.7061714037053</v>
      </c>
      <c r="D649" s="255">
        <v>0</v>
      </c>
      <c r="E649" s="255">
        <v>-27.207984820307068</v>
      </c>
      <c r="F649" s="255">
        <v>871.50804535713871</v>
      </c>
      <c r="G649" s="255">
        <v>43.40611086687359</v>
      </c>
    </row>
    <row r="650" spans="1:7" x14ac:dyDescent="0.3">
      <c r="A650" s="7" t="s">
        <v>71</v>
      </c>
      <c r="B650" s="255">
        <v>13152.793581422986</v>
      </c>
      <c r="C650" s="255">
        <v>11341.158916826827</v>
      </c>
      <c r="D650" s="255">
        <v>-6.1455890304741274</v>
      </c>
      <c r="E650" s="255">
        <v>91.517003740548233</v>
      </c>
      <c r="F650" s="255">
        <v>10721.727722020938</v>
      </c>
      <c r="G650" s="255">
        <v>534.05978009581509</v>
      </c>
    </row>
    <row r="651" spans="1:7" x14ac:dyDescent="0.3">
      <c r="A651" s="138" t="s">
        <v>79</v>
      </c>
      <c r="B651" s="255">
        <v>3243.5687754737774</v>
      </c>
      <c r="C651" s="255">
        <v>2712.0222495788057</v>
      </c>
      <c r="D651" s="255">
        <v>-6.1455890304741274</v>
      </c>
      <c r="E651" s="255">
        <v>-47.891870198382911</v>
      </c>
      <c r="F651" s="255">
        <v>2634.8258931251689</v>
      </c>
      <c r="G651" s="255">
        <v>131.23381568249445</v>
      </c>
    </row>
    <row r="652" spans="1:7" x14ac:dyDescent="0.3">
      <c r="A652" s="139" t="s">
        <v>80</v>
      </c>
      <c r="B652" s="255">
        <v>1077.883694055558</v>
      </c>
      <c r="C652" s="255">
        <v>837.49476923993325</v>
      </c>
      <c r="D652" s="255">
        <v>0</v>
      </c>
      <c r="E652" s="255">
        <v>-80.973174233885558</v>
      </c>
      <c r="F652" s="255">
        <v>874.89254120596183</v>
      </c>
      <c r="G652" s="255">
        <v>43.575402267856937</v>
      </c>
    </row>
    <row r="653" spans="1:7" x14ac:dyDescent="0.3">
      <c r="A653" s="139" t="s">
        <v>81</v>
      </c>
      <c r="B653" s="255">
        <v>1081.1895918245925</v>
      </c>
      <c r="C653" s="255">
        <v>935.8072829996546</v>
      </c>
      <c r="D653" s="255">
        <v>-6.1455890304741274</v>
      </c>
      <c r="E653" s="255">
        <v>19.932517883042401</v>
      </c>
      <c r="F653" s="255">
        <v>878.27572708678838</v>
      </c>
      <c r="G653" s="255">
        <v>43.744627060298093</v>
      </c>
    </row>
    <row r="654" spans="1:7" x14ac:dyDescent="0.3">
      <c r="A654" s="139" t="s">
        <v>82</v>
      </c>
      <c r="B654" s="255">
        <v>1084.4954895936273</v>
      </c>
      <c r="C654" s="255">
        <v>938.7201973392182</v>
      </c>
      <c r="D654" s="255">
        <v>0</v>
      </c>
      <c r="E654" s="255">
        <v>13.148786152460247</v>
      </c>
      <c r="F654" s="255">
        <v>881.65762483241849</v>
      </c>
      <c r="G654" s="255">
        <v>43.913786354339422</v>
      </c>
    </row>
    <row r="655" spans="1:7" x14ac:dyDescent="0.3">
      <c r="A655" s="138" t="s">
        <v>83</v>
      </c>
      <c r="B655" s="255">
        <v>3273.3218553950906</v>
      </c>
      <c r="C655" s="255">
        <v>2875.9361551220172</v>
      </c>
      <c r="D655" s="255">
        <v>0</v>
      </c>
      <c r="E655" s="255">
        <v>77.928779501069101</v>
      </c>
      <c r="F655" s="255">
        <v>2665.2516995119413</v>
      </c>
      <c r="G655" s="255">
        <v>132.7556761090072</v>
      </c>
    </row>
    <row r="656" spans="1:7" x14ac:dyDescent="0.3">
      <c r="A656" s="139" t="s">
        <v>84</v>
      </c>
      <c r="B656" s="255">
        <v>1087.8013873626621</v>
      </c>
      <c r="C656" s="255">
        <v>969.6780895503606</v>
      </c>
      <c r="D656" s="255">
        <v>0</v>
      </c>
      <c r="E656" s="255">
        <v>40.556952396967738</v>
      </c>
      <c r="F656" s="255">
        <v>885.0382559117719</v>
      </c>
      <c r="G656" s="255">
        <v>44.082881241620932</v>
      </c>
    </row>
    <row r="657" spans="1:7" x14ac:dyDescent="0.3">
      <c r="A657" s="139" t="s">
        <v>85</v>
      </c>
      <c r="B657" s="255">
        <v>1091.1072851316967</v>
      </c>
      <c r="C657" s="255">
        <v>983.08492533828814</v>
      </c>
      <c r="D657" s="255">
        <v>0</v>
      </c>
      <c r="E657" s="255">
        <v>50.415371106746129</v>
      </c>
      <c r="F657" s="255">
        <v>888.41764143595344</v>
      </c>
      <c r="G657" s="255">
        <v>44.251912795588602</v>
      </c>
    </row>
    <row r="658" spans="1:7" x14ac:dyDescent="0.3">
      <c r="A658" s="139" t="s">
        <v>86</v>
      </c>
      <c r="B658" s="255">
        <v>1094.4131829007315</v>
      </c>
      <c r="C658" s="255">
        <v>923.1731402333686</v>
      </c>
      <c r="D658" s="255">
        <v>0</v>
      </c>
      <c r="E658" s="255">
        <v>-13.043544002644762</v>
      </c>
      <c r="F658" s="255">
        <v>891.79580216421573</v>
      </c>
      <c r="G658" s="255">
        <v>44.420882071797678</v>
      </c>
    </row>
    <row r="659" spans="1:7" x14ac:dyDescent="0.3">
      <c r="A659" s="138" t="s">
        <v>87</v>
      </c>
      <c r="B659" s="255">
        <v>3303.0749353164033</v>
      </c>
      <c r="C659" s="255">
        <v>2867.2940633426215</v>
      </c>
      <c r="D659" s="255">
        <v>0</v>
      </c>
      <c r="E659" s="255">
        <v>37.373781715274333</v>
      </c>
      <c r="F659" s="255">
        <v>2695.6444270663542</v>
      </c>
      <c r="G659" s="255">
        <v>134.2758545609932</v>
      </c>
    </row>
    <row r="660" spans="1:7" x14ac:dyDescent="0.3">
      <c r="A660" s="139" t="s">
        <v>88</v>
      </c>
      <c r="B660" s="255">
        <v>1097.7190806697663</v>
      </c>
      <c r="C660" s="255">
        <v>1034.8920224950314</v>
      </c>
      <c r="D660" s="255">
        <v>0</v>
      </c>
      <c r="E660" s="255">
        <v>95.129473876996244</v>
      </c>
      <c r="F660" s="255">
        <v>895.17275850982435</v>
      </c>
      <c r="G660" s="255">
        <v>44.589790108210792</v>
      </c>
    </row>
    <row r="661" spans="1:7" x14ac:dyDescent="0.3">
      <c r="A661" s="139" t="s">
        <v>89</v>
      </c>
      <c r="B661" s="255">
        <v>1101.0249784388011</v>
      </c>
      <c r="C661" s="255">
        <v>899.02989121928908</v>
      </c>
      <c r="D661" s="255">
        <v>0</v>
      </c>
      <c r="E661" s="255">
        <v>-44.277277252025556</v>
      </c>
      <c r="F661" s="255">
        <v>898.54853054582338</v>
      </c>
      <c r="G661" s="255">
        <v>44.758637925491222</v>
      </c>
    </row>
    <row r="662" spans="1:7" x14ac:dyDescent="0.3">
      <c r="A662" s="139" t="s">
        <v>169</v>
      </c>
      <c r="B662" s="255">
        <v>1104.3308762078359</v>
      </c>
      <c r="C662" s="255">
        <v>933.37214962830114</v>
      </c>
      <c r="D662" s="255">
        <v>0</v>
      </c>
      <c r="E662" s="255">
        <v>-13.478414909696353</v>
      </c>
      <c r="F662" s="255">
        <v>901.92313801070634</v>
      </c>
      <c r="G662" s="255">
        <v>44.927426527291168</v>
      </c>
    </row>
    <row r="663" spans="1:7" x14ac:dyDescent="0.3">
      <c r="A663" s="138" t="s">
        <v>90</v>
      </c>
      <c r="B663" s="255">
        <v>3332.8280152377156</v>
      </c>
      <c r="C663" s="255">
        <v>2885.9064487833825</v>
      </c>
      <c r="D663" s="255">
        <v>0</v>
      </c>
      <c r="E663" s="255">
        <v>24.106312722587685</v>
      </c>
      <c r="F663" s="255">
        <v>2726.0057023174745</v>
      </c>
      <c r="G663" s="255">
        <v>135.79443374332021</v>
      </c>
    </row>
    <row r="664" spans="1:7" x14ac:dyDescent="0.3">
      <c r="A664" s="139" t="s">
        <v>91</v>
      </c>
      <c r="B664" s="255">
        <v>1107.6367739768705</v>
      </c>
      <c r="C664" s="255">
        <v>1061.5840343457239</v>
      </c>
      <c r="D664" s="255">
        <v>0</v>
      </c>
      <c r="E664" s="255">
        <v>111.19127713119687</v>
      </c>
      <c r="F664" s="255">
        <v>905.2966003139918</v>
      </c>
      <c r="G664" s="255">
        <v>45.09615690053532</v>
      </c>
    </row>
    <row r="665" spans="1:7" x14ac:dyDescent="0.3">
      <c r="A665" s="139" t="s">
        <v>92</v>
      </c>
      <c r="B665" s="255">
        <v>1110.9426717459053</v>
      </c>
      <c r="C665" s="255">
        <v>893.9970412905285</v>
      </c>
      <c r="D665" s="255">
        <v>0</v>
      </c>
      <c r="E665" s="255">
        <v>-59.936725266877403</v>
      </c>
      <c r="F665" s="255">
        <v>908.66893654170633</v>
      </c>
      <c r="G665" s="255">
        <v>45.264830015699587</v>
      </c>
    </row>
    <row r="666" spans="1:7" x14ac:dyDescent="0.3">
      <c r="A666" s="139" t="s">
        <v>93</v>
      </c>
      <c r="B666" s="255">
        <v>1114.2485695149401</v>
      </c>
      <c r="C666" s="255">
        <v>930.32537314712988</v>
      </c>
      <c r="D666" s="255">
        <v>0</v>
      </c>
      <c r="E666" s="255">
        <v>-27.148239141731782</v>
      </c>
      <c r="F666" s="255">
        <v>912.04016546177638</v>
      </c>
      <c r="G666" s="255">
        <v>45.433446827085319</v>
      </c>
    </row>
    <row r="667" spans="1:7" x14ac:dyDescent="0.3">
      <c r="A667" s="7" t="s">
        <v>72</v>
      </c>
      <c r="B667" s="255">
        <v>13628.842860163992</v>
      </c>
      <c r="C667" s="255">
        <v>11849.852584401258</v>
      </c>
      <c r="D667" s="255">
        <v>-5.4948304244644142</v>
      </c>
      <c r="E667" s="255">
        <v>89.954126955742225</v>
      </c>
      <c r="F667" s="255">
        <v>11207.059074010896</v>
      </c>
      <c r="G667" s="255">
        <v>558.33421385908321</v>
      </c>
    </row>
    <row r="668" spans="1:7" x14ac:dyDescent="0.3">
      <c r="A668" s="138" t="s">
        <v>79</v>
      </c>
      <c r="B668" s="255">
        <v>3362.5810951590288</v>
      </c>
      <c r="C668" s="255">
        <v>2840.2550161982308</v>
      </c>
      <c r="D668" s="255">
        <v>-5.4948304244644142</v>
      </c>
      <c r="E668" s="255">
        <v>-47.898717487282227</v>
      </c>
      <c r="F668" s="255">
        <v>2756.3370718158271</v>
      </c>
      <c r="G668" s="255">
        <v>137.31149229415058</v>
      </c>
    </row>
    <row r="669" spans="1:7" x14ac:dyDescent="0.3">
      <c r="A669" s="139" t="s">
        <v>80</v>
      </c>
      <c r="B669" s="255">
        <v>1117.5544672839749</v>
      </c>
      <c r="C669" s="255">
        <v>880.39939977165818</v>
      </c>
      <c r="D669" s="255">
        <v>0</v>
      </c>
      <c r="E669" s="255">
        <v>-80.612914030759697</v>
      </c>
      <c r="F669" s="255">
        <v>915.41030552932909</v>
      </c>
      <c r="G669" s="255">
        <v>45.602008273088821</v>
      </c>
    </row>
    <row r="670" spans="1:7" x14ac:dyDescent="0.3">
      <c r="A670" s="139" t="s">
        <v>81</v>
      </c>
      <c r="B670" s="255">
        <v>1120.8603650530094</v>
      </c>
      <c r="C670" s="255">
        <v>978.784635233264</v>
      </c>
      <c r="D670" s="255">
        <v>-5.4948304244644142</v>
      </c>
      <c r="E670" s="255">
        <v>19.729575489355504</v>
      </c>
      <c r="F670" s="255">
        <v>918.77937489190651</v>
      </c>
      <c r="G670" s="255">
        <v>45.770515276466455</v>
      </c>
    </row>
    <row r="671" spans="1:7" x14ac:dyDescent="0.3">
      <c r="A671" s="139" t="s">
        <v>82</v>
      </c>
      <c r="B671" s="255">
        <v>1124.1662628220442</v>
      </c>
      <c r="C671" s="255">
        <v>981.07098119330874</v>
      </c>
      <c r="D671" s="255">
        <v>0</v>
      </c>
      <c r="E671" s="255">
        <v>12.984621054121963</v>
      </c>
      <c r="F671" s="255">
        <v>922.14739139459152</v>
      </c>
      <c r="G671" s="255">
        <v>45.938968744595329</v>
      </c>
    </row>
    <row r="672" spans="1:7" x14ac:dyDescent="0.3">
      <c r="A672" s="138" t="s">
        <v>83</v>
      </c>
      <c r="B672" s="255">
        <v>3392.3341750803415</v>
      </c>
      <c r="C672" s="255">
        <v>3002.6978826507989</v>
      </c>
      <c r="D672" s="255">
        <v>0</v>
      </c>
      <c r="E672" s="255">
        <v>77.230771599850215</v>
      </c>
      <c r="F672" s="255">
        <v>2786.6400060660421</v>
      </c>
      <c r="G672" s="255">
        <v>138.82710498490619</v>
      </c>
    </row>
    <row r="673" spans="1:7" x14ac:dyDescent="0.3">
      <c r="A673" s="139" t="s">
        <v>84</v>
      </c>
      <c r="B673" s="255">
        <v>1127.472160591079</v>
      </c>
      <c r="C673" s="255">
        <v>1011.8638952061441</v>
      </c>
      <c r="D673" s="255">
        <v>0</v>
      </c>
      <c r="E673" s="255">
        <v>40.242153051365413</v>
      </c>
      <c r="F673" s="255">
        <v>925.51437258504905</v>
      </c>
      <c r="G673" s="255">
        <v>46.107369569729578</v>
      </c>
    </row>
    <row r="674" spans="1:7" x14ac:dyDescent="0.3">
      <c r="A674" s="139" t="s">
        <v>85</v>
      </c>
      <c r="B674" s="255">
        <v>1130.7780583601138</v>
      </c>
      <c r="C674" s="255">
        <v>1025.2062998825913</v>
      </c>
      <c r="D674" s="255">
        <v>0</v>
      </c>
      <c r="E674" s="255">
        <v>50.050245534855918</v>
      </c>
      <c r="F674" s="255">
        <v>928.88033571848291</v>
      </c>
      <c r="G674" s="255">
        <v>46.275718629252452</v>
      </c>
    </row>
    <row r="675" spans="1:7" x14ac:dyDescent="0.3">
      <c r="A675" s="139" t="s">
        <v>86</v>
      </c>
      <c r="B675" s="255">
        <v>1134.0839561291486</v>
      </c>
      <c r="C675" s="255">
        <v>965.62768756206322</v>
      </c>
      <c r="D675" s="255">
        <v>0</v>
      </c>
      <c r="E675" s="255">
        <v>-13.061626986371119</v>
      </c>
      <c r="F675" s="255">
        <v>932.24529776251018</v>
      </c>
      <c r="G675" s="255">
        <v>46.444016785924155</v>
      </c>
    </row>
    <row r="676" spans="1:7" x14ac:dyDescent="0.3">
      <c r="A676" s="138" t="s">
        <v>87</v>
      </c>
      <c r="B676" s="255">
        <v>3422.0872550016538</v>
      </c>
      <c r="C676" s="255">
        <v>2994.1641160928575</v>
      </c>
      <c r="D676" s="255">
        <v>0</v>
      </c>
      <c r="E676" s="255">
        <v>36.906869916324979</v>
      </c>
      <c r="F676" s="255">
        <v>2816.915903266131</v>
      </c>
      <c r="G676" s="255">
        <v>140.34134291040112</v>
      </c>
    </row>
    <row r="677" spans="1:7" x14ac:dyDescent="0.3">
      <c r="A677" s="139" t="s">
        <v>88</v>
      </c>
      <c r="B677" s="255">
        <v>1137.3898538981832</v>
      </c>
      <c r="C677" s="255">
        <v>1076.7511760298303</v>
      </c>
      <c r="D677" s="255">
        <v>0</v>
      </c>
      <c r="E677" s="255">
        <v>94.529635739750631</v>
      </c>
      <c r="F677" s="255">
        <v>935.60927540195416</v>
      </c>
      <c r="G677" s="255">
        <v>46.612264888125509</v>
      </c>
    </row>
    <row r="678" spans="1:7" x14ac:dyDescent="0.3">
      <c r="A678" s="139" t="s">
        <v>89</v>
      </c>
      <c r="B678" s="255">
        <v>1140.695751667218</v>
      </c>
      <c r="C678" s="255">
        <v>941.62412097981758</v>
      </c>
      <c r="D678" s="255">
        <v>0</v>
      </c>
      <c r="E678" s="255">
        <v>-44.128627833838095</v>
      </c>
      <c r="F678" s="255">
        <v>938.97228504355792</v>
      </c>
      <c r="G678" s="255">
        <v>46.780463770097718</v>
      </c>
    </row>
    <row r="679" spans="1:7" x14ac:dyDescent="0.3">
      <c r="A679" s="139" t="s">
        <v>169</v>
      </c>
      <c r="B679" s="255">
        <v>1144.0016494362528</v>
      </c>
      <c r="C679" s="255">
        <v>975.78881908320932</v>
      </c>
      <c r="D679" s="255">
        <v>0</v>
      </c>
      <c r="E679" s="255">
        <v>-13.494137989587555</v>
      </c>
      <c r="F679" s="255">
        <v>942.33434282061899</v>
      </c>
      <c r="G679" s="255">
        <v>46.948614252177897</v>
      </c>
    </row>
    <row r="680" spans="1:7" x14ac:dyDescent="0.3">
      <c r="A680" s="138" t="s">
        <v>90</v>
      </c>
      <c r="B680" s="255">
        <v>3451.8403349229666</v>
      </c>
      <c r="C680" s="255">
        <v>3012.7355694593707</v>
      </c>
      <c r="D680" s="255">
        <v>0</v>
      </c>
      <c r="E680" s="255">
        <v>23.715202926849255</v>
      </c>
      <c r="F680" s="255">
        <v>2847.1660928628962</v>
      </c>
      <c r="G680" s="255">
        <v>141.85427366962534</v>
      </c>
    </row>
    <row r="681" spans="1:7" x14ac:dyDescent="0.3">
      <c r="A681" s="139" t="s">
        <v>91</v>
      </c>
      <c r="B681" s="255">
        <v>1147.3075472052874</v>
      </c>
      <c r="C681" s="255">
        <v>1103.3266715918342</v>
      </c>
      <c r="D681" s="255">
        <v>0</v>
      </c>
      <c r="E681" s="255">
        <v>110.51448985325715</v>
      </c>
      <c r="F681" s="255">
        <v>945.69546459754611</v>
      </c>
      <c r="G681" s="255">
        <v>47.116717141030946</v>
      </c>
    </row>
    <row r="682" spans="1:7" x14ac:dyDescent="0.3">
      <c r="A682" s="139" t="s">
        <v>92</v>
      </c>
      <c r="B682" s="255">
        <v>1150.6134449743222</v>
      </c>
      <c r="C682" s="255">
        <v>936.63244900163943</v>
      </c>
      <c r="D682" s="255">
        <v>0</v>
      </c>
      <c r="E682" s="255">
        <v>-59.70799020257963</v>
      </c>
      <c r="F682" s="255">
        <v>949.05566597434176</v>
      </c>
      <c r="G682" s="255">
        <v>47.28477322987731</v>
      </c>
    </row>
    <row r="683" spans="1:7" x14ac:dyDescent="0.3">
      <c r="A683" s="139" t="s">
        <v>93</v>
      </c>
      <c r="B683" s="255">
        <v>1153.919342743357</v>
      </c>
      <c r="C683" s="255">
        <v>972.77644886589701</v>
      </c>
      <c r="D683" s="255">
        <v>0</v>
      </c>
      <c r="E683" s="255">
        <v>-27.091296723828261</v>
      </c>
      <c r="F683" s="255">
        <v>952.41496229100812</v>
      </c>
      <c r="G683" s="255">
        <v>47.452783298717094</v>
      </c>
    </row>
    <row r="684" spans="1:7" x14ac:dyDescent="0.3">
      <c r="A684" s="7" t="s">
        <v>73</v>
      </c>
      <c r="B684" s="255">
        <v>14104.892138904994</v>
      </c>
      <c r="C684" s="255">
        <v>12356.772056446653</v>
      </c>
      <c r="D684" s="255">
        <v>-4.8916714857684021</v>
      </c>
      <c r="E684" s="255">
        <v>88.44621066868018</v>
      </c>
      <c r="F684" s="255">
        <v>11690.695073981364</v>
      </c>
      <c r="G684" s="255">
        <v>582.52244328237725</v>
      </c>
    </row>
    <row r="685" spans="1:7" x14ac:dyDescent="0.3">
      <c r="A685" s="138" t="s">
        <v>79</v>
      </c>
      <c r="B685" s="255">
        <v>3481.5934148442798</v>
      </c>
      <c r="C685" s="255">
        <v>2967.9593973187671</v>
      </c>
      <c r="D685" s="255">
        <v>-4.8916714857684021</v>
      </c>
      <c r="E685" s="255">
        <v>-47.906731665620818</v>
      </c>
      <c r="F685" s="255">
        <v>2877.3918389325177</v>
      </c>
      <c r="G685" s="255">
        <v>143.3659615376389</v>
      </c>
    </row>
    <row r="686" spans="1:7" x14ac:dyDescent="0.3">
      <c r="A686" s="139" t="s">
        <v>80</v>
      </c>
      <c r="B686" s="255">
        <v>1157.2252405123918</v>
      </c>
      <c r="C686" s="255">
        <v>923.12685261458466</v>
      </c>
      <c r="D686" s="255">
        <v>0</v>
      </c>
      <c r="E686" s="255">
        <v>-80.267264131846318</v>
      </c>
      <c r="F686" s="255">
        <v>955.77336863188054</v>
      </c>
      <c r="G686" s="255">
        <v>47.620748114550409</v>
      </c>
    </row>
    <row r="687" spans="1:7" x14ac:dyDescent="0.3">
      <c r="A687" s="139" t="s">
        <v>81</v>
      </c>
      <c r="B687" s="255">
        <v>1160.5311382814266</v>
      </c>
      <c r="C687" s="255">
        <v>1021.5620197959297</v>
      </c>
      <c r="D687" s="255">
        <v>-4.8916714857684021</v>
      </c>
      <c r="E687" s="255">
        <v>19.534123020215063</v>
      </c>
      <c r="F687" s="255">
        <v>959.13089982988902</v>
      </c>
      <c r="G687" s="255">
        <v>47.788668431594033</v>
      </c>
    </row>
    <row r="688" spans="1:7" x14ac:dyDescent="0.3">
      <c r="A688" s="139" t="s">
        <v>82</v>
      </c>
      <c r="B688" s="255">
        <v>1163.8370360504614</v>
      </c>
      <c r="C688" s="255">
        <v>1023.2705249082528</v>
      </c>
      <c r="D688" s="255">
        <v>0</v>
      </c>
      <c r="E688" s="255">
        <v>12.826409446010437</v>
      </c>
      <c r="F688" s="255">
        <v>962.48757047074798</v>
      </c>
      <c r="G688" s="255">
        <v>47.956544991494454</v>
      </c>
    </row>
    <row r="689" spans="1:7" x14ac:dyDescent="0.3">
      <c r="A689" s="138" t="s">
        <v>83</v>
      </c>
      <c r="B689" s="255">
        <v>3511.3464947655921</v>
      </c>
      <c r="C689" s="255">
        <v>3129.0293533919248</v>
      </c>
      <c r="D689" s="255">
        <v>0</v>
      </c>
      <c r="E689" s="255">
        <v>76.558542367999124</v>
      </c>
      <c r="F689" s="255">
        <v>2907.5943433949119</v>
      </c>
      <c r="G689" s="255">
        <v>144.87646762901375</v>
      </c>
    </row>
    <row r="690" spans="1:7" x14ac:dyDescent="0.3">
      <c r="A690" s="139" t="s">
        <v>84</v>
      </c>
      <c r="B690" s="255">
        <v>1167.142933819496</v>
      </c>
      <c r="C690" s="255">
        <v>1053.9069473860659</v>
      </c>
      <c r="D690" s="255">
        <v>0</v>
      </c>
      <c r="E690" s="255">
        <v>39.939173965451879</v>
      </c>
      <c r="F690" s="255">
        <v>965.84339489707656</v>
      </c>
      <c r="G690" s="255">
        <v>48.124378523537402</v>
      </c>
    </row>
    <row r="691" spans="1:7" x14ac:dyDescent="0.3">
      <c r="A691" s="139" t="s">
        <v>85</v>
      </c>
      <c r="B691" s="255">
        <v>1170.4488315885308</v>
      </c>
      <c r="C691" s="255">
        <v>1067.1893953601661</v>
      </c>
      <c r="D691" s="255">
        <v>0</v>
      </c>
      <c r="E691" s="255">
        <v>49.698838402862158</v>
      </c>
      <c r="F691" s="255">
        <v>969.19838721245026</v>
      </c>
      <c r="G691" s="255">
        <v>48.29216974485383</v>
      </c>
    </row>
    <row r="692" spans="1:7" x14ac:dyDescent="0.3">
      <c r="A692" s="139" t="s">
        <v>86</v>
      </c>
      <c r="B692" s="255">
        <v>1173.7547293575656</v>
      </c>
      <c r="C692" s="255">
        <v>1007.9330106456925</v>
      </c>
      <c r="D692" s="255">
        <v>0</v>
      </c>
      <c r="E692" s="255">
        <v>-13.079470000314908</v>
      </c>
      <c r="F692" s="255">
        <v>972.55256128538497</v>
      </c>
      <c r="G692" s="255">
        <v>48.459919360622514</v>
      </c>
    </row>
    <row r="693" spans="1:7" x14ac:dyDescent="0.3">
      <c r="A693" s="138" t="s">
        <v>87</v>
      </c>
      <c r="B693" s="255">
        <v>3541.0995746869048</v>
      </c>
      <c r="C693" s="255">
        <v>3120.6172256572831</v>
      </c>
      <c r="D693" s="255">
        <v>0</v>
      </c>
      <c r="E693" s="255">
        <v>36.456626534010141</v>
      </c>
      <c r="F693" s="255">
        <v>2937.774749070034</v>
      </c>
      <c r="G693" s="255">
        <v>146.38585005323918</v>
      </c>
    </row>
    <row r="694" spans="1:7" x14ac:dyDescent="0.3">
      <c r="A694" s="139" t="s">
        <v>88</v>
      </c>
      <c r="B694" s="255">
        <v>1177.0606271266001</v>
      </c>
      <c r="C694" s="255">
        <v>1118.4860257037128</v>
      </c>
      <c r="D694" s="255">
        <v>0</v>
      </c>
      <c r="E694" s="255">
        <v>93.952466886188844</v>
      </c>
      <c r="F694" s="255">
        <v>975.90593075325467</v>
      </c>
      <c r="G694" s="255">
        <v>48.627628064269253</v>
      </c>
    </row>
    <row r="695" spans="1:7" x14ac:dyDescent="0.3">
      <c r="A695" s="139" t="s">
        <v>89</v>
      </c>
      <c r="B695" s="255">
        <v>1180.3665248956349</v>
      </c>
      <c r="C695" s="255">
        <v>984.06767165432768</v>
      </c>
      <c r="D695" s="255">
        <v>0</v>
      </c>
      <c r="E695" s="255">
        <v>-43.986133909478767</v>
      </c>
      <c r="F695" s="255">
        <v>979.25850902614377</v>
      </c>
      <c r="G695" s="255">
        <v>48.795296537662729</v>
      </c>
    </row>
    <row r="696" spans="1:7" x14ac:dyDescent="0.3">
      <c r="A696" s="139" t="s">
        <v>169</v>
      </c>
      <c r="B696" s="255">
        <v>1183.6724226646697</v>
      </c>
      <c r="C696" s="255">
        <v>1018.0635282992426</v>
      </c>
      <c r="D696" s="255">
        <v>0</v>
      </c>
      <c r="E696" s="255">
        <v>-13.509706442699937</v>
      </c>
      <c r="F696" s="255">
        <v>982.61030929063543</v>
      </c>
      <c r="G696" s="255">
        <v>48.962925451307193</v>
      </c>
    </row>
    <row r="697" spans="1:7" x14ac:dyDescent="0.3">
      <c r="A697" s="138" t="s">
        <v>90</v>
      </c>
      <c r="B697" s="255">
        <v>3570.852654608218</v>
      </c>
      <c r="C697" s="255">
        <v>3139.1660800786781</v>
      </c>
      <c r="D697" s="255">
        <v>0</v>
      </c>
      <c r="E697" s="255">
        <v>23.337773432291726</v>
      </c>
      <c r="F697" s="255">
        <v>2967.9341425839002</v>
      </c>
      <c r="G697" s="255">
        <v>147.89416406248552</v>
      </c>
    </row>
    <row r="698" spans="1:7" x14ac:dyDescent="0.3">
      <c r="A698" s="139" t="s">
        <v>91</v>
      </c>
      <c r="B698" s="255">
        <v>1186.9783204337045</v>
      </c>
      <c r="C698" s="255">
        <v>1144.9550199021578</v>
      </c>
      <c r="D698" s="255">
        <v>0</v>
      </c>
      <c r="E698" s="255">
        <v>109.86315992408997</v>
      </c>
      <c r="F698" s="255">
        <v>985.96134451353601</v>
      </c>
      <c r="G698" s="255">
        <v>49.130515464531769</v>
      </c>
    </row>
    <row r="699" spans="1:7" x14ac:dyDescent="0.3">
      <c r="A699" s="139" t="s">
        <v>92</v>
      </c>
      <c r="B699" s="255">
        <v>1190.2842182027393</v>
      </c>
      <c r="C699" s="255">
        <v>979.12128291848398</v>
      </c>
      <c r="D699" s="255">
        <v>0</v>
      </c>
      <c r="E699" s="255">
        <v>-59.4884117527317</v>
      </c>
      <c r="F699" s="255">
        <v>989.31162744553887</v>
      </c>
      <c r="G699" s="255">
        <v>49.298067225676803</v>
      </c>
    </row>
    <row r="700" spans="1:7" x14ac:dyDescent="0.3">
      <c r="A700" s="139" t="s">
        <v>93</v>
      </c>
      <c r="B700" s="255">
        <v>1193.5901159717741</v>
      </c>
      <c r="C700" s="255">
        <v>1015.089777258036</v>
      </c>
      <c r="D700" s="255">
        <v>0</v>
      </c>
      <c r="E700" s="255">
        <v>-27.036974739066544</v>
      </c>
      <c r="F700" s="255">
        <v>992.66117062482556</v>
      </c>
      <c r="G700" s="255">
        <v>49.465581372276944</v>
      </c>
    </row>
    <row r="701" spans="1:7" x14ac:dyDescent="0.3">
      <c r="A701" s="7" t="s">
        <v>74</v>
      </c>
      <c r="B701" s="255">
        <v>14580.941417645998</v>
      </c>
      <c r="C701" s="255">
        <v>12862.250892262899</v>
      </c>
      <c r="D701" s="255">
        <v>-4.3249890044595141</v>
      </c>
      <c r="E701" s="255">
        <v>86.990293281666197</v>
      </c>
      <c r="F701" s="255">
        <v>12172.945374570594</v>
      </c>
      <c r="G701" s="255">
        <v>606.64021341509999</v>
      </c>
    </row>
    <row r="702" spans="1:7" x14ac:dyDescent="0.3">
      <c r="A702" s="138" t="s">
        <v>79</v>
      </c>
      <c r="B702" s="255">
        <v>3600.6057345295303</v>
      </c>
      <c r="C702" s="255">
        <v>3095.2342438602295</v>
      </c>
      <c r="D702" s="255">
        <v>-4.3249890044595141</v>
      </c>
      <c r="E702" s="255">
        <v>-47.915786459131212</v>
      </c>
      <c r="F702" s="255">
        <v>2998.0735571317182</v>
      </c>
      <c r="G702" s="255">
        <v>149.40146219210226</v>
      </c>
    </row>
    <row r="703" spans="1:7" x14ac:dyDescent="0.3">
      <c r="A703" s="139" t="s">
        <v>80</v>
      </c>
      <c r="B703" s="255">
        <v>1196.8960137408087</v>
      </c>
      <c r="C703" s="255">
        <v>965.70769757928633</v>
      </c>
      <c r="D703" s="255">
        <v>0</v>
      </c>
      <c r="E703" s="255">
        <v>-79.935347332562984</v>
      </c>
      <c r="F703" s="255">
        <v>996.0099863806081</v>
      </c>
      <c r="G703" s="255">
        <v>49.633058531241282</v>
      </c>
    </row>
    <row r="704" spans="1:7" x14ac:dyDescent="0.3">
      <c r="A704" s="139" t="s">
        <v>81</v>
      </c>
      <c r="B704" s="255">
        <v>1200.2019115098435</v>
      </c>
      <c r="C704" s="255">
        <v>1064.1793366038637</v>
      </c>
      <c r="D704" s="255">
        <v>-4.3249890044595141</v>
      </c>
      <c r="E704" s="255">
        <v>19.345739452681372</v>
      </c>
      <c r="F704" s="255">
        <v>999.35808683661139</v>
      </c>
      <c r="G704" s="255">
        <v>49.800499319030408</v>
      </c>
    </row>
    <row r="705" spans="1:7" x14ac:dyDescent="0.3">
      <c r="A705" s="139" t="s">
        <v>82</v>
      </c>
      <c r="B705" s="255">
        <v>1203.5078092788783</v>
      </c>
      <c r="C705" s="255">
        <v>1065.3472096770795</v>
      </c>
      <c r="D705" s="255">
        <v>0</v>
      </c>
      <c r="E705" s="255">
        <v>12.673821420750397</v>
      </c>
      <c r="F705" s="255">
        <v>1002.7054839144986</v>
      </c>
      <c r="G705" s="255">
        <v>49.967904341830575</v>
      </c>
    </row>
    <row r="706" spans="1:7" x14ac:dyDescent="0.3">
      <c r="A706" s="138" t="s">
        <v>83</v>
      </c>
      <c r="B706" s="255">
        <v>3630.3588144508431</v>
      </c>
      <c r="C706" s="255">
        <v>3255.0124150288621</v>
      </c>
      <c r="D706" s="255">
        <v>0</v>
      </c>
      <c r="E706" s="255">
        <v>75.910645529507633</v>
      </c>
      <c r="F706" s="255">
        <v>3028.1939751051459</v>
      </c>
      <c r="G706" s="255">
        <v>150.90779439420766</v>
      </c>
    </row>
    <row r="707" spans="1:7" x14ac:dyDescent="0.3">
      <c r="A707" s="139" t="s">
        <v>84</v>
      </c>
      <c r="B707" s="255">
        <v>1206.8137070479129</v>
      </c>
      <c r="C707" s="255">
        <v>1095.834806733691</v>
      </c>
      <c r="D707" s="255">
        <v>0</v>
      </c>
      <c r="E707" s="255">
        <v>39.647343200727768</v>
      </c>
      <c r="F707" s="255">
        <v>1006.0521893372382</v>
      </c>
      <c r="G707" s="255">
        <v>50.135274195724932</v>
      </c>
    </row>
    <row r="708" spans="1:7" x14ac:dyDescent="0.3">
      <c r="A708" s="139" t="s">
        <v>85</v>
      </c>
      <c r="B708" s="255">
        <v>1210.1196048169477</v>
      </c>
      <c r="C708" s="255">
        <v>1109.0611948917783</v>
      </c>
      <c r="D708" s="255">
        <v>0</v>
      </c>
      <c r="E708" s="255">
        <v>49.360370792500177</v>
      </c>
      <c r="F708" s="255">
        <v>1009.3982146324162</v>
      </c>
      <c r="G708" s="255">
        <v>50.302609466861909</v>
      </c>
    </row>
    <row r="709" spans="1:7" x14ac:dyDescent="0.3">
      <c r="A709" s="139" t="s">
        <v>86</v>
      </c>
      <c r="B709" s="255">
        <v>1213.4255025859825</v>
      </c>
      <c r="C709" s="255">
        <v>1050.1164134033922</v>
      </c>
      <c r="D709" s="255">
        <v>0</v>
      </c>
      <c r="E709" s="255">
        <v>-13.097068463720316</v>
      </c>
      <c r="F709" s="255">
        <v>1012.7435711354916</v>
      </c>
      <c r="G709" s="255">
        <v>50.469910731620807</v>
      </c>
    </row>
    <row r="710" spans="1:7" x14ac:dyDescent="0.3">
      <c r="A710" s="138" t="s">
        <v>87</v>
      </c>
      <c r="B710" s="255">
        <v>3660.1118943721558</v>
      </c>
      <c r="C710" s="255">
        <v>3246.7316814972319</v>
      </c>
      <c r="D710" s="255">
        <v>0</v>
      </c>
      <c r="E710" s="255">
        <v>36.022142742150209</v>
      </c>
      <c r="F710" s="255">
        <v>3058.2963305903722</v>
      </c>
      <c r="G710" s="255">
        <v>152.41320816470957</v>
      </c>
    </row>
    <row r="711" spans="1:7" x14ac:dyDescent="0.3">
      <c r="A711" s="139" t="s">
        <v>88</v>
      </c>
      <c r="B711" s="255">
        <v>1216.7314003550173</v>
      </c>
      <c r="C711" s="255">
        <v>1160.1221262779766</v>
      </c>
      <c r="D711" s="255">
        <v>0</v>
      </c>
      <c r="E711" s="255">
        <v>93.396677728202391</v>
      </c>
      <c r="F711" s="255">
        <v>1016.0882699929997</v>
      </c>
      <c r="G711" s="255">
        <v>50.637178556774579</v>
      </c>
    </row>
    <row r="712" spans="1:7" x14ac:dyDescent="0.3">
      <c r="A712" s="139" t="s">
        <v>89</v>
      </c>
      <c r="B712" s="255">
        <v>1220.0372981240521</v>
      </c>
      <c r="C712" s="255">
        <v>1026.3873118371218</v>
      </c>
      <c r="D712" s="255">
        <v>0</v>
      </c>
      <c r="E712" s="255">
        <v>-43.849423828228367</v>
      </c>
      <c r="F712" s="255">
        <v>1019.4323221657</v>
      </c>
      <c r="G712" s="255">
        <v>50.804413499649989</v>
      </c>
    </row>
    <row r="713" spans="1:7" x14ac:dyDescent="0.3">
      <c r="A713" s="139" t="s">
        <v>169</v>
      </c>
      <c r="B713" s="255">
        <v>1223.3431958930867</v>
      </c>
      <c r="C713" s="255">
        <v>1060.2222433821337</v>
      </c>
      <c r="D713" s="255">
        <v>0</v>
      </c>
      <c r="E713" s="255">
        <v>-13.525111157823817</v>
      </c>
      <c r="F713" s="255">
        <v>1022.7757384316725</v>
      </c>
      <c r="G713" s="255">
        <v>50.971616108285012</v>
      </c>
    </row>
    <row r="714" spans="1:7" x14ac:dyDescent="0.3">
      <c r="A714" s="138" t="s">
        <v>90</v>
      </c>
      <c r="B714" s="255">
        <v>3689.8649742934685</v>
      </c>
      <c r="C714" s="255">
        <v>3265.2725518765765</v>
      </c>
      <c r="D714" s="255">
        <v>0</v>
      </c>
      <c r="E714" s="255">
        <v>22.97329146913955</v>
      </c>
      <c r="F714" s="255">
        <v>3088.3815117433564</v>
      </c>
      <c r="G714" s="255">
        <v>153.91774866408053</v>
      </c>
    </row>
    <row r="715" spans="1:7" x14ac:dyDescent="0.3">
      <c r="A715" s="139" t="s">
        <v>91</v>
      </c>
      <c r="B715" s="255">
        <v>1226.6490936621215</v>
      </c>
      <c r="C715" s="255">
        <v>1186.4931634681388</v>
      </c>
      <c r="D715" s="255">
        <v>0</v>
      </c>
      <c r="E715" s="255">
        <v>109.2358471571925</v>
      </c>
      <c r="F715" s="255">
        <v>1026.1185293893627</v>
      </c>
      <c r="G715" s="255">
        <v>51.138786921583623</v>
      </c>
    </row>
    <row r="716" spans="1:7" x14ac:dyDescent="0.3">
      <c r="A716" s="139" t="s">
        <v>92</v>
      </c>
      <c r="B716" s="255">
        <v>1229.9549914311563</v>
      </c>
      <c r="C716" s="255">
        <v>1021.4891817848576</v>
      </c>
      <c r="D716" s="255">
        <v>0</v>
      </c>
      <c r="E716" s="255">
        <v>-59.277450145185981</v>
      </c>
      <c r="F716" s="255">
        <v>1029.4607054605754</v>
      </c>
      <c r="G716" s="255">
        <v>51.30592646946814</v>
      </c>
    </row>
    <row r="717" spans="1:7" x14ac:dyDescent="0.3">
      <c r="A717" s="139" t="s">
        <v>93</v>
      </c>
      <c r="B717" s="255">
        <v>1233.2608892001908</v>
      </c>
      <c r="C717" s="255">
        <v>1057.2902066235802</v>
      </c>
      <c r="D717" s="255">
        <v>0</v>
      </c>
      <c r="E717" s="255">
        <v>-26.985105542866965</v>
      </c>
      <c r="F717" s="255">
        <v>1032.8022768934184</v>
      </c>
      <c r="G717" s="255">
        <v>51.473035273028778</v>
      </c>
    </row>
    <row r="718" spans="1:7" x14ac:dyDescent="0.3">
      <c r="A718" s="7" t="s">
        <v>75</v>
      </c>
      <c r="B718" s="255">
        <v>246231.01872413777</v>
      </c>
      <c r="C718" s="255">
        <v>209160.61322900024</v>
      </c>
      <c r="D718" s="255">
        <v>-435.92016158577337</v>
      </c>
      <c r="E718" s="255">
        <v>11700.614456879463</v>
      </c>
      <c r="F718" s="255">
        <v>186229.99166489256</v>
      </c>
      <c r="G718" s="255">
        <v>7760.9391819229131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C0A0-4AD4-40EB-B82C-5A3CC6D598CE}">
  <sheetPr codeName="Sheet3" filterMode="1"/>
  <dimension ref="A1:J68"/>
  <sheetViews>
    <sheetView zoomScaleNormal="100" workbookViewId="0">
      <selection activeCell="G53" sqref="G53"/>
    </sheetView>
  </sheetViews>
  <sheetFormatPr defaultColWidth="8.6640625" defaultRowHeight="14.4" x14ac:dyDescent="0.3"/>
  <cols>
    <col min="1" max="1" width="12.5546875" bestFit="1" customWidth="1"/>
    <col min="2" max="2" width="18.33203125" bestFit="1" customWidth="1"/>
    <col min="3" max="3" width="18.109375" customWidth="1"/>
    <col min="4" max="5" width="31.109375" bestFit="1" customWidth="1"/>
    <col min="6" max="6" width="18.44140625" customWidth="1"/>
    <col min="7" max="7" width="33.44140625" bestFit="1" customWidth="1"/>
    <col min="9" max="9" width="9.6640625" bestFit="1" customWidth="1"/>
    <col min="10" max="10" width="14.6640625" bestFit="1" customWidth="1"/>
  </cols>
  <sheetData>
    <row r="1" spans="1:10" x14ac:dyDescent="0.3">
      <c r="F1" s="142"/>
    </row>
    <row r="4" spans="1:10" x14ac:dyDescent="0.3">
      <c r="A4" s="100" t="s">
        <v>94</v>
      </c>
      <c r="B4" t="s">
        <v>101</v>
      </c>
      <c r="I4" s="110"/>
    </row>
    <row r="5" spans="1:10" x14ac:dyDescent="0.3">
      <c r="A5" s="7" t="s">
        <v>66</v>
      </c>
      <c r="B5" s="255">
        <v>1893.8134367306934</v>
      </c>
    </row>
    <row r="6" spans="1:10" x14ac:dyDescent="0.3">
      <c r="A6" s="7" t="s">
        <v>67</v>
      </c>
      <c r="B6" s="255">
        <v>1988.2960888480616</v>
      </c>
    </row>
    <row r="7" spans="1:10" x14ac:dyDescent="0.3">
      <c r="A7" s="7" t="s">
        <v>68</v>
      </c>
      <c r="B7" s="255">
        <v>1925.5559384979711</v>
      </c>
    </row>
    <row r="8" spans="1:10" x14ac:dyDescent="0.3">
      <c r="A8" s="7" t="s">
        <v>69</v>
      </c>
      <c r="B8" s="255">
        <v>1884.0892655133562</v>
      </c>
    </row>
    <row r="9" spans="1:10" x14ac:dyDescent="0.3">
      <c r="A9" s="7" t="s">
        <v>70</v>
      </c>
      <c r="B9" s="255">
        <v>1846.4738740139778</v>
      </c>
      <c r="G9" s="2"/>
      <c r="H9" s="2"/>
      <c r="I9" s="2"/>
      <c r="J9" s="2"/>
    </row>
    <row r="10" spans="1:10" x14ac:dyDescent="0.3">
      <c r="A10" s="7" t="s">
        <v>71</v>
      </c>
      <c r="B10" s="255">
        <v>1811.6346645961598</v>
      </c>
    </row>
    <row r="11" spans="1:10" x14ac:dyDescent="0.3">
      <c r="A11" s="7" t="s">
        <v>72</v>
      </c>
      <c r="B11" s="255">
        <v>1778.9902757627333</v>
      </c>
    </row>
    <row r="12" spans="1:10" x14ac:dyDescent="0.3">
      <c r="A12" s="7" t="s">
        <v>73</v>
      </c>
      <c r="B12" s="255">
        <v>1748.120082458342</v>
      </c>
    </row>
    <row r="13" spans="1:10" x14ac:dyDescent="0.3">
      <c r="A13" s="7" t="s">
        <v>74</v>
      </c>
      <c r="B13" s="255">
        <v>1542.7198428064878</v>
      </c>
    </row>
    <row r="14" spans="1:10" x14ac:dyDescent="0.3">
      <c r="A14" s="7" t="s">
        <v>75</v>
      </c>
      <c r="B14" s="255">
        <v>16419.693469227783</v>
      </c>
    </row>
    <row r="49" spans="3:4" x14ac:dyDescent="0.3">
      <c r="D49" s="137"/>
    </row>
    <row r="52" spans="3:4" x14ac:dyDescent="0.3">
      <c r="C52" s="2"/>
      <c r="D52" s="2"/>
    </row>
    <row r="53" spans="3:4" hidden="1" x14ac:dyDescent="0.3">
      <c r="C53">
        <v>1989</v>
      </c>
      <c r="D53">
        <f t="shared" ref="D53:D68" si="0">B5</f>
        <v>1893.8134367306934</v>
      </c>
    </row>
    <row r="54" spans="3:4" hidden="1" x14ac:dyDescent="0.3">
      <c r="C54">
        <v>1990</v>
      </c>
      <c r="D54">
        <f t="shared" si="0"/>
        <v>1988.2960888480616</v>
      </c>
    </row>
    <row r="55" spans="3:4" hidden="1" x14ac:dyDescent="0.3">
      <c r="C55">
        <v>1991</v>
      </c>
      <c r="D55">
        <f t="shared" si="0"/>
        <v>1925.5559384979711</v>
      </c>
    </row>
    <row r="56" spans="3:4" hidden="1" x14ac:dyDescent="0.3">
      <c r="C56">
        <v>1992</v>
      </c>
      <c r="D56">
        <f t="shared" si="0"/>
        <v>1884.0892655133562</v>
      </c>
    </row>
    <row r="57" spans="3:4" hidden="1" x14ac:dyDescent="0.3">
      <c r="C57">
        <v>1993</v>
      </c>
      <c r="D57">
        <f t="shared" si="0"/>
        <v>1846.4738740139778</v>
      </c>
    </row>
    <row r="58" spans="3:4" hidden="1" x14ac:dyDescent="0.3">
      <c r="C58">
        <v>1994</v>
      </c>
      <c r="D58">
        <f t="shared" si="0"/>
        <v>1811.6346645961598</v>
      </c>
    </row>
    <row r="59" spans="3:4" hidden="1" x14ac:dyDescent="0.3">
      <c r="C59">
        <v>1995</v>
      </c>
      <c r="D59">
        <f t="shared" si="0"/>
        <v>1778.9902757627333</v>
      </c>
    </row>
    <row r="60" spans="3:4" hidden="1" x14ac:dyDescent="0.3">
      <c r="C60">
        <v>1996</v>
      </c>
      <c r="D60">
        <f t="shared" si="0"/>
        <v>1748.120082458342</v>
      </c>
    </row>
    <row r="61" spans="3:4" hidden="1" x14ac:dyDescent="0.3">
      <c r="C61">
        <v>1997</v>
      </c>
      <c r="D61">
        <f t="shared" si="0"/>
        <v>1542.7198428064878</v>
      </c>
    </row>
    <row r="62" spans="3:4" hidden="1" x14ac:dyDescent="0.3">
      <c r="C62">
        <v>1998</v>
      </c>
      <c r="D62">
        <f t="shared" si="0"/>
        <v>16419.693469227783</v>
      </c>
    </row>
    <row r="63" spans="3:4" hidden="1" x14ac:dyDescent="0.3">
      <c r="C63">
        <v>1999</v>
      </c>
      <c r="D63">
        <f t="shared" si="0"/>
        <v>0</v>
      </c>
    </row>
    <row r="64" spans="3:4" hidden="1" x14ac:dyDescent="0.3">
      <c r="C64">
        <v>2000</v>
      </c>
      <c r="D64">
        <f t="shared" si="0"/>
        <v>0</v>
      </c>
    </row>
    <row r="65" spans="3:4" hidden="1" x14ac:dyDescent="0.3">
      <c r="C65">
        <v>2001</v>
      </c>
      <c r="D65">
        <f t="shared" si="0"/>
        <v>0</v>
      </c>
    </row>
    <row r="66" spans="3:4" hidden="1" x14ac:dyDescent="0.3">
      <c r="C66">
        <v>2002</v>
      </c>
      <c r="D66">
        <f t="shared" si="0"/>
        <v>0</v>
      </c>
    </row>
    <row r="67" spans="3:4" hidden="1" x14ac:dyDescent="0.3">
      <c r="C67">
        <v>2003</v>
      </c>
      <c r="D67">
        <f t="shared" si="0"/>
        <v>0</v>
      </c>
    </row>
    <row r="68" spans="3:4" hidden="1" x14ac:dyDescent="0.3">
      <c r="C68">
        <v>2004</v>
      </c>
      <c r="D68">
        <f t="shared" si="0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B5083-48EF-49D7-AD31-38364B1CCF8B}">
  <sheetPr codeName="Sheet4"/>
  <dimension ref="A1:J718"/>
  <sheetViews>
    <sheetView zoomScaleNormal="100" workbookViewId="0">
      <selection activeCell="G53" sqref="G53"/>
    </sheetView>
  </sheetViews>
  <sheetFormatPr defaultColWidth="8.6640625" defaultRowHeight="14.4" x14ac:dyDescent="0.3"/>
  <cols>
    <col min="1" max="1" width="12.5546875" bestFit="1" customWidth="1"/>
    <col min="2" max="2" width="18.33203125" bestFit="1" customWidth="1"/>
    <col min="3" max="3" width="18.109375" customWidth="1"/>
    <col min="4" max="5" width="31.109375" bestFit="1" customWidth="1"/>
    <col min="6" max="6" width="18.44140625" customWidth="1"/>
    <col min="7" max="7" width="33.44140625" bestFit="1" customWidth="1"/>
    <col min="9" max="9" width="9.6640625" bestFit="1" customWidth="1"/>
    <col min="10" max="10" width="14.6640625" bestFit="1" customWidth="1"/>
  </cols>
  <sheetData>
    <row r="1" spans="1:10" x14ac:dyDescent="0.3">
      <c r="F1" s="142"/>
    </row>
    <row r="4" spans="1:10" x14ac:dyDescent="0.3">
      <c r="A4" s="100" t="s">
        <v>94</v>
      </c>
      <c r="B4" t="s">
        <v>101</v>
      </c>
      <c r="I4" s="110"/>
    </row>
    <row r="5" spans="1:10" x14ac:dyDescent="0.3">
      <c r="A5" s="7" t="s">
        <v>33</v>
      </c>
      <c r="B5" s="255">
        <v>253.09832331455078</v>
      </c>
    </row>
    <row r="6" spans="1:10" x14ac:dyDescent="0.3">
      <c r="A6" s="138" t="s">
        <v>79</v>
      </c>
      <c r="B6" s="255">
        <v>-115.01543159822516</v>
      </c>
    </row>
    <row r="7" spans="1:10" x14ac:dyDescent="0.3">
      <c r="A7" s="139" t="s">
        <v>80</v>
      </c>
      <c r="B7" s="255">
        <v>-53.549999999999358</v>
      </c>
    </row>
    <row r="8" spans="1:10" x14ac:dyDescent="0.3">
      <c r="A8" s="139" t="s">
        <v>81</v>
      </c>
      <c r="B8" s="255">
        <v>-78.202834712015999</v>
      </c>
    </row>
    <row r="9" spans="1:10" x14ac:dyDescent="0.3">
      <c r="A9" s="139" t="s">
        <v>82</v>
      </c>
      <c r="B9" s="255">
        <v>16.737403113790194</v>
      </c>
      <c r="G9" s="2"/>
      <c r="H9" s="2"/>
      <c r="I9" s="2"/>
      <c r="J9" s="2"/>
    </row>
    <row r="10" spans="1:10" x14ac:dyDescent="0.3">
      <c r="A10" s="138" t="s">
        <v>83</v>
      </c>
      <c r="B10" s="255">
        <v>51.501271263807411</v>
      </c>
    </row>
    <row r="11" spans="1:10" x14ac:dyDescent="0.3">
      <c r="A11" s="139" t="s">
        <v>84</v>
      </c>
      <c r="B11" s="255">
        <v>4.3235793727654226</v>
      </c>
    </row>
    <row r="12" spans="1:10" x14ac:dyDescent="0.3">
      <c r="A12" s="139" t="s">
        <v>85</v>
      </c>
      <c r="B12" s="255">
        <v>7.3760559976915232</v>
      </c>
    </row>
    <row r="13" spans="1:10" x14ac:dyDescent="0.3">
      <c r="A13" s="139" t="s">
        <v>86</v>
      </c>
      <c r="B13" s="255">
        <v>39.801635893350465</v>
      </c>
    </row>
    <row r="14" spans="1:10" x14ac:dyDescent="0.3">
      <c r="A14" s="138" t="s">
        <v>87</v>
      </c>
      <c r="B14" s="255">
        <v>56.771431464683396</v>
      </c>
    </row>
    <row r="15" spans="1:10" x14ac:dyDescent="0.3">
      <c r="A15" s="139" t="s">
        <v>88</v>
      </c>
      <c r="B15" s="255">
        <v>-21.528420437552619</v>
      </c>
    </row>
    <row r="16" spans="1:10" x14ac:dyDescent="0.3">
      <c r="A16" s="139" t="s">
        <v>89</v>
      </c>
      <c r="B16" s="255">
        <v>21.720916273703423</v>
      </c>
    </row>
    <row r="17" spans="1:2" x14ac:dyDescent="0.3">
      <c r="A17" s="139" t="s">
        <v>169</v>
      </c>
      <c r="B17" s="255">
        <v>56.578935628532591</v>
      </c>
    </row>
    <row r="18" spans="1:2" x14ac:dyDescent="0.3">
      <c r="A18" s="138" t="s">
        <v>90</v>
      </c>
      <c r="B18" s="255">
        <v>259.8410521842851</v>
      </c>
    </row>
    <row r="19" spans="1:2" x14ac:dyDescent="0.3">
      <c r="A19" s="139" t="s">
        <v>91</v>
      </c>
      <c r="B19" s="255">
        <v>-11.734014592030732</v>
      </c>
    </row>
    <row r="20" spans="1:2" x14ac:dyDescent="0.3">
      <c r="A20" s="139" t="s">
        <v>92</v>
      </c>
      <c r="B20" s="255">
        <v>26.882327918303886</v>
      </c>
    </row>
    <row r="21" spans="1:2" x14ac:dyDescent="0.3">
      <c r="A21" s="139" t="s">
        <v>93</v>
      </c>
      <c r="B21" s="255">
        <v>244.69273885801198</v>
      </c>
    </row>
    <row r="22" spans="1:2" x14ac:dyDescent="0.3">
      <c r="A22" s="7" t="s">
        <v>34</v>
      </c>
      <c r="B22" s="255">
        <v>727.45604106017277</v>
      </c>
    </row>
    <row r="23" spans="1:2" x14ac:dyDescent="0.3">
      <c r="A23" s="138" t="s">
        <v>79</v>
      </c>
      <c r="B23" s="255">
        <v>239.33094165668516</v>
      </c>
    </row>
    <row r="24" spans="1:2" x14ac:dyDescent="0.3">
      <c r="A24" s="139" t="s">
        <v>80</v>
      </c>
      <c r="B24" s="255">
        <v>279.75104485472195</v>
      </c>
    </row>
    <row r="25" spans="1:2" x14ac:dyDescent="0.3">
      <c r="A25" s="139" t="s">
        <v>81</v>
      </c>
      <c r="B25" s="255">
        <v>-48.969783919543104</v>
      </c>
    </row>
    <row r="26" spans="1:2" x14ac:dyDescent="0.3">
      <c r="A26" s="139" t="s">
        <v>82</v>
      </c>
      <c r="B26" s="255">
        <v>8.5496807215062915</v>
      </c>
    </row>
    <row r="27" spans="1:2" x14ac:dyDescent="0.3">
      <c r="A27" s="138" t="s">
        <v>83</v>
      </c>
      <c r="B27" s="255">
        <v>59.897878917515449</v>
      </c>
    </row>
    <row r="28" spans="1:2" x14ac:dyDescent="0.3">
      <c r="A28" s="139" t="s">
        <v>84</v>
      </c>
      <c r="B28" s="255">
        <v>82.590065580300973</v>
      </c>
    </row>
    <row r="29" spans="1:2" x14ac:dyDescent="0.3">
      <c r="A29" s="139" t="s">
        <v>85</v>
      </c>
      <c r="B29" s="255">
        <v>-66.625006420421258</v>
      </c>
    </row>
    <row r="30" spans="1:2" x14ac:dyDescent="0.3">
      <c r="A30" s="139" t="s">
        <v>86</v>
      </c>
      <c r="B30" s="255">
        <v>43.932819757635734</v>
      </c>
    </row>
    <row r="31" spans="1:2" x14ac:dyDescent="0.3">
      <c r="A31" s="138" t="s">
        <v>87</v>
      </c>
      <c r="B31" s="255">
        <v>93.852385655706485</v>
      </c>
    </row>
    <row r="32" spans="1:2" x14ac:dyDescent="0.3">
      <c r="A32" s="139" t="s">
        <v>88</v>
      </c>
      <c r="B32" s="255">
        <v>-14.753604002143859</v>
      </c>
    </row>
    <row r="33" spans="1:2" x14ac:dyDescent="0.3">
      <c r="A33" s="139" t="s">
        <v>89</v>
      </c>
      <c r="B33" s="255">
        <v>83.939790038733008</v>
      </c>
    </row>
    <row r="34" spans="1:2" x14ac:dyDescent="0.3">
      <c r="A34" s="139" t="s">
        <v>169</v>
      </c>
      <c r="B34" s="255">
        <v>24.666199619117336</v>
      </c>
    </row>
    <row r="35" spans="1:2" x14ac:dyDescent="0.3">
      <c r="A35" s="138" t="s">
        <v>90</v>
      </c>
      <c r="B35" s="255">
        <v>334.37483483026563</v>
      </c>
    </row>
    <row r="36" spans="1:2" x14ac:dyDescent="0.3">
      <c r="A36" s="139" t="s">
        <v>91</v>
      </c>
      <c r="B36" s="255">
        <v>-8.7832537047472385</v>
      </c>
    </row>
    <row r="37" spans="1:2" x14ac:dyDescent="0.3">
      <c r="A37" s="139" t="s">
        <v>92</v>
      </c>
      <c r="B37" s="255">
        <v>-83.960274965412196</v>
      </c>
    </row>
    <row r="38" spans="1:2" x14ac:dyDescent="0.3">
      <c r="A38" s="139" t="s">
        <v>93</v>
      </c>
      <c r="B38" s="255">
        <v>427.11836350042506</v>
      </c>
    </row>
    <row r="39" spans="1:2" x14ac:dyDescent="0.3">
      <c r="A39" s="7" t="s">
        <v>35</v>
      </c>
      <c r="B39" s="255">
        <v>164.31569130685128</v>
      </c>
    </row>
    <row r="40" spans="1:2" x14ac:dyDescent="0.3">
      <c r="A40" s="138" t="s">
        <v>79</v>
      </c>
      <c r="B40" s="255">
        <v>43.713842377877612</v>
      </c>
    </row>
    <row r="41" spans="1:2" x14ac:dyDescent="0.3">
      <c r="A41" s="139" t="s">
        <v>80</v>
      </c>
      <c r="B41" s="255">
        <v>10.873446956788598</v>
      </c>
    </row>
    <row r="42" spans="1:2" x14ac:dyDescent="0.3">
      <c r="A42" s="139" t="s">
        <v>81</v>
      </c>
      <c r="B42" s="255">
        <v>102.26126040477179</v>
      </c>
    </row>
    <row r="43" spans="1:2" x14ac:dyDescent="0.3">
      <c r="A43" s="139" t="s">
        <v>82</v>
      </c>
      <c r="B43" s="255">
        <v>-69.420864983682776</v>
      </c>
    </row>
    <row r="44" spans="1:2" x14ac:dyDescent="0.3">
      <c r="A44" s="138" t="s">
        <v>83</v>
      </c>
      <c r="B44" s="255">
        <v>-21.101550861752528</v>
      </c>
    </row>
    <row r="45" spans="1:2" x14ac:dyDescent="0.3">
      <c r="A45" s="139" t="s">
        <v>84</v>
      </c>
      <c r="B45" s="255">
        <v>-44.795516602781838</v>
      </c>
    </row>
    <row r="46" spans="1:2" x14ac:dyDescent="0.3">
      <c r="A46" s="139" t="s">
        <v>85</v>
      </c>
      <c r="B46" s="255">
        <v>9.4573541727532557</v>
      </c>
    </row>
    <row r="47" spans="1:2" x14ac:dyDescent="0.3">
      <c r="A47" s="139" t="s">
        <v>86</v>
      </c>
      <c r="B47" s="255">
        <v>14.236611568276054</v>
      </c>
    </row>
    <row r="48" spans="1:2" x14ac:dyDescent="0.3">
      <c r="A48" s="138" t="s">
        <v>87</v>
      </c>
      <c r="B48" s="255">
        <v>-76.670473099542093</v>
      </c>
    </row>
    <row r="49" spans="1:4" x14ac:dyDescent="0.3">
      <c r="A49" s="139" t="s">
        <v>88</v>
      </c>
      <c r="B49" s="255">
        <v>-92.328371090289679</v>
      </c>
      <c r="D49" s="137"/>
    </row>
    <row r="50" spans="1:4" x14ac:dyDescent="0.3">
      <c r="A50" s="139" t="s">
        <v>89</v>
      </c>
      <c r="B50" s="255">
        <v>48.40711146505015</v>
      </c>
    </row>
    <row r="51" spans="1:4" x14ac:dyDescent="0.3">
      <c r="A51" s="139" t="s">
        <v>169</v>
      </c>
      <c r="B51" s="255">
        <v>-32.749213474302564</v>
      </c>
    </row>
    <row r="52" spans="1:4" x14ac:dyDescent="0.3">
      <c r="A52" s="138" t="s">
        <v>90</v>
      </c>
      <c r="B52" s="255">
        <v>218.37387289026827</v>
      </c>
      <c r="C52" s="2"/>
      <c r="D52" s="2"/>
    </row>
    <row r="53" spans="1:4" x14ac:dyDescent="0.3">
      <c r="A53" s="139" t="s">
        <v>91</v>
      </c>
      <c r="B53" s="255">
        <v>-6.7976880071589534</v>
      </c>
    </row>
    <row r="54" spans="1:4" x14ac:dyDescent="0.3">
      <c r="A54" s="139" t="s">
        <v>92</v>
      </c>
      <c r="B54" s="255">
        <v>81.88963331963447</v>
      </c>
    </row>
    <row r="55" spans="1:4" x14ac:dyDescent="0.3">
      <c r="A55" s="139" t="s">
        <v>93</v>
      </c>
      <c r="B55" s="255">
        <v>143.28192757779277</v>
      </c>
    </row>
    <row r="56" spans="1:4" x14ac:dyDescent="0.3">
      <c r="A56" s="7" t="s">
        <v>36</v>
      </c>
      <c r="B56" s="255">
        <v>329.42053984837105</v>
      </c>
    </row>
    <row r="57" spans="1:4" x14ac:dyDescent="0.3">
      <c r="A57" s="138" t="s">
        <v>79</v>
      </c>
      <c r="B57" s="255">
        <v>74.678322427316402</v>
      </c>
    </row>
    <row r="58" spans="1:4" x14ac:dyDescent="0.3">
      <c r="A58" s="139" t="s">
        <v>80</v>
      </c>
      <c r="B58" s="255">
        <v>376.21952617775003</v>
      </c>
    </row>
    <row r="59" spans="1:4" x14ac:dyDescent="0.3">
      <c r="A59" s="139" t="s">
        <v>81</v>
      </c>
      <c r="B59" s="255">
        <v>-147.33580314775645</v>
      </c>
    </row>
    <row r="60" spans="1:4" x14ac:dyDescent="0.3">
      <c r="A60" s="139" t="s">
        <v>82</v>
      </c>
      <c r="B60" s="255">
        <v>-154.20540060267717</v>
      </c>
    </row>
    <row r="61" spans="1:4" x14ac:dyDescent="0.3">
      <c r="A61" s="138" t="s">
        <v>83</v>
      </c>
      <c r="B61" s="255">
        <v>11.572578290856995</v>
      </c>
    </row>
    <row r="62" spans="1:4" x14ac:dyDescent="0.3">
      <c r="A62" s="139" t="s">
        <v>84</v>
      </c>
      <c r="B62" s="255">
        <v>53.828931203090434</v>
      </c>
    </row>
    <row r="63" spans="1:4" x14ac:dyDescent="0.3">
      <c r="A63" s="139" t="s">
        <v>85</v>
      </c>
      <c r="B63" s="255">
        <v>-13.496220542104055</v>
      </c>
    </row>
    <row r="64" spans="1:4" x14ac:dyDescent="0.3">
      <c r="A64" s="139" t="s">
        <v>86</v>
      </c>
      <c r="B64" s="255">
        <v>-28.760132370129384</v>
      </c>
    </row>
    <row r="65" spans="1:2" x14ac:dyDescent="0.3">
      <c r="A65" s="138" t="s">
        <v>87</v>
      </c>
      <c r="B65" s="255">
        <v>-86.679953277239122</v>
      </c>
    </row>
    <row r="66" spans="1:2" x14ac:dyDescent="0.3">
      <c r="A66" s="139" t="s">
        <v>88</v>
      </c>
      <c r="B66" s="255">
        <v>-48.287073471552333</v>
      </c>
    </row>
    <row r="67" spans="1:2" x14ac:dyDescent="0.3">
      <c r="A67" s="139" t="s">
        <v>89</v>
      </c>
      <c r="B67" s="255">
        <v>-1.6359735060847242</v>
      </c>
    </row>
    <row r="68" spans="1:2" x14ac:dyDescent="0.3">
      <c r="A68" s="139" t="s">
        <v>169</v>
      </c>
      <c r="B68" s="255">
        <v>-36.756906299602065</v>
      </c>
    </row>
    <row r="69" spans="1:2" x14ac:dyDescent="0.3">
      <c r="A69" s="138" t="s">
        <v>90</v>
      </c>
      <c r="B69" s="255">
        <v>329.84959240743672</v>
      </c>
    </row>
    <row r="70" spans="1:2" x14ac:dyDescent="0.3">
      <c r="A70" s="139" t="s">
        <v>91</v>
      </c>
      <c r="B70" s="255">
        <v>59.024504370620122</v>
      </c>
    </row>
    <row r="71" spans="1:2" x14ac:dyDescent="0.3">
      <c r="A71" s="139" t="s">
        <v>92</v>
      </c>
      <c r="B71" s="255">
        <v>22.187575002201982</v>
      </c>
    </row>
    <row r="72" spans="1:2" x14ac:dyDescent="0.3">
      <c r="A72" s="139" t="s">
        <v>93</v>
      </c>
      <c r="B72" s="255">
        <v>248.63751303461464</v>
      </c>
    </row>
    <row r="73" spans="1:2" x14ac:dyDescent="0.3">
      <c r="A73" s="7" t="s">
        <v>37</v>
      </c>
      <c r="B73" s="255">
        <v>406.5905099455037</v>
      </c>
    </row>
    <row r="74" spans="1:2" x14ac:dyDescent="0.3">
      <c r="A74" s="138" t="s">
        <v>79</v>
      </c>
      <c r="B74" s="255">
        <v>55.964219729935067</v>
      </c>
    </row>
    <row r="75" spans="1:2" x14ac:dyDescent="0.3">
      <c r="A75" s="139" t="s">
        <v>80</v>
      </c>
      <c r="B75" s="255">
        <v>238.67609348201114</v>
      </c>
    </row>
    <row r="76" spans="1:2" x14ac:dyDescent="0.3">
      <c r="A76" s="139" t="s">
        <v>81</v>
      </c>
      <c r="B76" s="255">
        <v>-105.11018919982523</v>
      </c>
    </row>
    <row r="77" spans="1:2" x14ac:dyDescent="0.3">
      <c r="A77" s="139" t="s">
        <v>82</v>
      </c>
      <c r="B77" s="255">
        <v>-77.601684552250831</v>
      </c>
    </row>
    <row r="78" spans="1:2" x14ac:dyDescent="0.3">
      <c r="A78" s="138" t="s">
        <v>83</v>
      </c>
      <c r="B78" s="255">
        <v>5.0540380184471019</v>
      </c>
    </row>
    <row r="79" spans="1:2" x14ac:dyDescent="0.3">
      <c r="A79" s="139" t="s">
        <v>84</v>
      </c>
      <c r="B79" s="255">
        <v>30.102811556802095</v>
      </c>
    </row>
    <row r="80" spans="1:2" x14ac:dyDescent="0.3">
      <c r="A80" s="139" t="s">
        <v>85</v>
      </c>
      <c r="B80" s="255">
        <v>13.508858146242133</v>
      </c>
    </row>
    <row r="81" spans="1:2" x14ac:dyDescent="0.3">
      <c r="A81" s="139" t="s">
        <v>86</v>
      </c>
      <c r="B81" s="255">
        <v>-38.557631684597126</v>
      </c>
    </row>
    <row r="82" spans="1:2" x14ac:dyDescent="0.3">
      <c r="A82" s="138" t="s">
        <v>87</v>
      </c>
      <c r="B82" s="255">
        <v>-2.8277546468046637</v>
      </c>
    </row>
    <row r="83" spans="1:2" x14ac:dyDescent="0.3">
      <c r="A83" s="139" t="s">
        <v>88</v>
      </c>
      <c r="B83" s="255">
        <v>33.037574722468634</v>
      </c>
    </row>
    <row r="84" spans="1:2" x14ac:dyDescent="0.3">
      <c r="A84" s="139" t="s">
        <v>89</v>
      </c>
      <c r="B84" s="255">
        <v>-16.481331297025051</v>
      </c>
    </row>
    <row r="85" spans="1:2" x14ac:dyDescent="0.3">
      <c r="A85" s="139" t="s">
        <v>169</v>
      </c>
      <c r="B85" s="255">
        <v>-19.383998072248247</v>
      </c>
    </row>
    <row r="86" spans="1:2" x14ac:dyDescent="0.3">
      <c r="A86" s="138" t="s">
        <v>90</v>
      </c>
      <c r="B86" s="255">
        <v>348.40000684392623</v>
      </c>
    </row>
    <row r="87" spans="1:2" x14ac:dyDescent="0.3">
      <c r="A87" s="139" t="s">
        <v>91</v>
      </c>
      <c r="B87" s="255">
        <v>3.7118613193742931</v>
      </c>
    </row>
    <row r="88" spans="1:2" x14ac:dyDescent="0.3">
      <c r="A88" s="139" t="s">
        <v>92</v>
      </c>
      <c r="B88" s="255">
        <v>51.410782608917742</v>
      </c>
    </row>
    <row r="89" spans="1:2" x14ac:dyDescent="0.3">
      <c r="A89" s="139" t="s">
        <v>93</v>
      </c>
      <c r="B89" s="255">
        <v>293.27736291563417</v>
      </c>
    </row>
    <row r="90" spans="1:2" x14ac:dyDescent="0.3">
      <c r="A90" s="7" t="s">
        <v>38</v>
      </c>
      <c r="B90" s="255">
        <v>613.25677547516671</v>
      </c>
    </row>
    <row r="91" spans="1:2" x14ac:dyDescent="0.3">
      <c r="A91" s="138" t="s">
        <v>79</v>
      </c>
      <c r="B91" s="255">
        <v>186.76980865235475</v>
      </c>
    </row>
    <row r="92" spans="1:2" x14ac:dyDescent="0.3">
      <c r="A92" s="139" t="s">
        <v>80</v>
      </c>
      <c r="B92" s="255">
        <v>126.68850624260331</v>
      </c>
    </row>
    <row r="93" spans="1:2" x14ac:dyDescent="0.3">
      <c r="A93" s="139" t="s">
        <v>81</v>
      </c>
      <c r="B93" s="255">
        <v>100.84633634473381</v>
      </c>
    </row>
    <row r="94" spans="1:2" x14ac:dyDescent="0.3">
      <c r="A94" s="139" t="s">
        <v>82</v>
      </c>
      <c r="B94" s="255">
        <v>-40.76503393498237</v>
      </c>
    </row>
    <row r="95" spans="1:2" x14ac:dyDescent="0.3">
      <c r="A95" s="138" t="s">
        <v>83</v>
      </c>
      <c r="B95" s="255">
        <v>10.720173582355201</v>
      </c>
    </row>
    <row r="96" spans="1:2" x14ac:dyDescent="0.3">
      <c r="A96" s="139" t="s">
        <v>84</v>
      </c>
      <c r="B96" s="255">
        <v>34.987291486147114</v>
      </c>
    </row>
    <row r="97" spans="1:2" x14ac:dyDescent="0.3">
      <c r="A97" s="139" t="s">
        <v>85</v>
      </c>
      <c r="B97" s="255">
        <v>-23.881366503635292</v>
      </c>
    </row>
    <row r="98" spans="1:2" x14ac:dyDescent="0.3">
      <c r="A98" s="139" t="s">
        <v>86</v>
      </c>
      <c r="B98" s="255">
        <v>-0.38575140015662157</v>
      </c>
    </row>
    <row r="99" spans="1:2" x14ac:dyDescent="0.3">
      <c r="A99" s="138" t="s">
        <v>87</v>
      </c>
      <c r="B99" s="255">
        <v>90.647925278603793</v>
      </c>
    </row>
    <row r="100" spans="1:2" x14ac:dyDescent="0.3">
      <c r="A100" s="139" t="s">
        <v>88</v>
      </c>
      <c r="B100" s="255">
        <v>5.7411713797912682</v>
      </c>
    </row>
    <row r="101" spans="1:2" x14ac:dyDescent="0.3">
      <c r="A101" s="139" t="s">
        <v>89</v>
      </c>
      <c r="B101" s="255">
        <v>20.429778638122492</v>
      </c>
    </row>
    <row r="102" spans="1:2" x14ac:dyDescent="0.3">
      <c r="A102" s="139" t="s">
        <v>169</v>
      </c>
      <c r="B102" s="255">
        <v>64.47697526069004</v>
      </c>
    </row>
    <row r="103" spans="1:2" x14ac:dyDescent="0.3">
      <c r="A103" s="138" t="s">
        <v>90</v>
      </c>
      <c r="B103" s="255">
        <v>325.11886796185297</v>
      </c>
    </row>
    <row r="104" spans="1:2" x14ac:dyDescent="0.3">
      <c r="A104" s="139" t="s">
        <v>91</v>
      </c>
      <c r="B104" s="255">
        <v>20.245800755147613</v>
      </c>
    </row>
    <row r="105" spans="1:2" x14ac:dyDescent="0.3">
      <c r="A105" s="139" t="s">
        <v>92</v>
      </c>
      <c r="B105" s="255">
        <v>49.679026090973366</v>
      </c>
    </row>
    <row r="106" spans="1:2" x14ac:dyDescent="0.3">
      <c r="A106" s="139" t="s">
        <v>93</v>
      </c>
      <c r="B106" s="255">
        <v>255.19404111573198</v>
      </c>
    </row>
    <row r="107" spans="1:2" x14ac:dyDescent="0.3">
      <c r="A107" s="7" t="s">
        <v>39</v>
      </c>
      <c r="B107" s="255">
        <v>648.79362456822162</v>
      </c>
    </row>
    <row r="108" spans="1:2" x14ac:dyDescent="0.3">
      <c r="A108" s="138" t="s">
        <v>79</v>
      </c>
      <c r="B108" s="255">
        <v>443.6365377250163</v>
      </c>
    </row>
    <row r="109" spans="1:2" x14ac:dyDescent="0.3">
      <c r="A109" s="139" t="s">
        <v>80</v>
      </c>
      <c r="B109" s="255">
        <v>653.06818754632786</v>
      </c>
    </row>
    <row r="110" spans="1:2" x14ac:dyDescent="0.3">
      <c r="A110" s="139" t="s">
        <v>81</v>
      </c>
      <c r="B110" s="255">
        <v>-121.82349125186852</v>
      </c>
    </row>
    <row r="111" spans="1:2" x14ac:dyDescent="0.3">
      <c r="A111" s="139" t="s">
        <v>82</v>
      </c>
      <c r="B111" s="255">
        <v>-87.608158569443034</v>
      </c>
    </row>
    <row r="112" spans="1:2" x14ac:dyDescent="0.3">
      <c r="A112" s="138" t="s">
        <v>83</v>
      </c>
      <c r="B112" s="255">
        <v>-2.8128217049268471</v>
      </c>
    </row>
    <row r="113" spans="1:2" x14ac:dyDescent="0.3">
      <c r="A113" s="139" t="s">
        <v>84</v>
      </c>
      <c r="B113" s="255">
        <v>76.948921807647594</v>
      </c>
    </row>
    <row r="114" spans="1:2" x14ac:dyDescent="0.3">
      <c r="A114" s="139" t="s">
        <v>85</v>
      </c>
      <c r="B114" s="255">
        <v>-90.9006240720054</v>
      </c>
    </row>
    <row r="115" spans="1:2" x14ac:dyDescent="0.3">
      <c r="A115" s="139" t="s">
        <v>86</v>
      </c>
      <c r="B115" s="255">
        <v>11.138880559430959</v>
      </c>
    </row>
    <row r="116" spans="1:2" x14ac:dyDescent="0.3">
      <c r="A116" s="138" t="s">
        <v>87</v>
      </c>
      <c r="B116" s="255">
        <v>-6.6452512276533895</v>
      </c>
    </row>
    <row r="117" spans="1:2" x14ac:dyDescent="0.3">
      <c r="A117" s="139" t="s">
        <v>88</v>
      </c>
      <c r="B117" s="255">
        <v>-57.615685495699438</v>
      </c>
    </row>
    <row r="118" spans="1:2" x14ac:dyDescent="0.3">
      <c r="A118" s="139" t="s">
        <v>89</v>
      </c>
      <c r="B118" s="255">
        <v>4.7601413047819818</v>
      </c>
    </row>
    <row r="119" spans="1:2" x14ac:dyDescent="0.3">
      <c r="A119" s="139" t="s">
        <v>169</v>
      </c>
      <c r="B119" s="255">
        <v>46.210292963264067</v>
      </c>
    </row>
    <row r="120" spans="1:2" x14ac:dyDescent="0.3">
      <c r="A120" s="138" t="s">
        <v>90</v>
      </c>
      <c r="B120" s="255">
        <v>214.61515977578551</v>
      </c>
    </row>
    <row r="121" spans="1:2" x14ac:dyDescent="0.3">
      <c r="A121" s="139" t="s">
        <v>91</v>
      </c>
      <c r="B121" s="255">
        <v>-83.784234153077819</v>
      </c>
    </row>
    <row r="122" spans="1:2" x14ac:dyDescent="0.3">
      <c r="A122" s="139" t="s">
        <v>92</v>
      </c>
      <c r="B122" s="255">
        <v>56.826903517762005</v>
      </c>
    </row>
    <row r="123" spans="1:2" x14ac:dyDescent="0.3">
      <c r="A123" s="139" t="s">
        <v>93</v>
      </c>
      <c r="B123" s="255">
        <v>241.57249041110134</v>
      </c>
    </row>
    <row r="124" spans="1:2" x14ac:dyDescent="0.3">
      <c r="A124" s="7" t="s">
        <v>40</v>
      </c>
      <c r="B124" s="255">
        <v>763.69109565045596</v>
      </c>
    </row>
    <row r="125" spans="1:2" x14ac:dyDescent="0.3">
      <c r="A125" s="138" t="s">
        <v>79</v>
      </c>
      <c r="B125" s="255">
        <v>241.40855869947552</v>
      </c>
    </row>
    <row r="126" spans="1:2" x14ac:dyDescent="0.3">
      <c r="A126" s="139" t="s">
        <v>80</v>
      </c>
      <c r="B126" s="255">
        <v>-112.20842298558038</v>
      </c>
    </row>
    <row r="127" spans="1:2" x14ac:dyDescent="0.3">
      <c r="A127" s="139" t="s">
        <v>81</v>
      </c>
      <c r="B127" s="255">
        <v>477.86475575289427</v>
      </c>
    </row>
    <row r="128" spans="1:2" x14ac:dyDescent="0.3">
      <c r="A128" s="139" t="s">
        <v>82</v>
      </c>
      <c r="B128" s="255">
        <v>-124.24777406783835</v>
      </c>
    </row>
    <row r="129" spans="1:2" x14ac:dyDescent="0.3">
      <c r="A129" s="138" t="s">
        <v>83</v>
      </c>
      <c r="B129" s="255">
        <v>323.36186281303043</v>
      </c>
    </row>
    <row r="130" spans="1:2" x14ac:dyDescent="0.3">
      <c r="A130" s="139" t="s">
        <v>84</v>
      </c>
      <c r="B130" s="255">
        <v>16.171386884882864</v>
      </c>
    </row>
    <row r="131" spans="1:2" x14ac:dyDescent="0.3">
      <c r="A131" s="139" t="s">
        <v>85</v>
      </c>
      <c r="B131" s="255">
        <v>340.42095856377426</v>
      </c>
    </row>
    <row r="132" spans="1:2" x14ac:dyDescent="0.3">
      <c r="A132" s="139" t="s">
        <v>86</v>
      </c>
      <c r="B132" s="255">
        <v>-33.230482635626686</v>
      </c>
    </row>
    <row r="133" spans="1:2" x14ac:dyDescent="0.3">
      <c r="A133" s="138" t="s">
        <v>87</v>
      </c>
      <c r="B133" s="255">
        <v>-73.162072473639356</v>
      </c>
    </row>
    <row r="134" spans="1:2" x14ac:dyDescent="0.3">
      <c r="A134" s="139" t="s">
        <v>88</v>
      </c>
      <c r="B134" s="255">
        <v>-78.949192823129479</v>
      </c>
    </row>
    <row r="135" spans="1:2" x14ac:dyDescent="0.3">
      <c r="A135" s="139" t="s">
        <v>89</v>
      </c>
      <c r="B135" s="255">
        <v>52.862879175307711</v>
      </c>
    </row>
    <row r="136" spans="1:2" x14ac:dyDescent="0.3">
      <c r="A136" s="139" t="s">
        <v>169</v>
      </c>
      <c r="B136" s="255">
        <v>-47.075758825817587</v>
      </c>
    </row>
    <row r="137" spans="1:2" x14ac:dyDescent="0.3">
      <c r="A137" s="138" t="s">
        <v>90</v>
      </c>
      <c r="B137" s="255">
        <v>272.08274661158936</v>
      </c>
    </row>
    <row r="138" spans="1:2" x14ac:dyDescent="0.3">
      <c r="A138" s="139" t="s">
        <v>91</v>
      </c>
      <c r="B138" s="255">
        <v>-32.185675394941725</v>
      </c>
    </row>
    <row r="139" spans="1:2" x14ac:dyDescent="0.3">
      <c r="A139" s="139" t="s">
        <v>92</v>
      </c>
      <c r="B139" s="255">
        <v>84.944645151535013</v>
      </c>
    </row>
    <row r="140" spans="1:2" x14ac:dyDescent="0.3">
      <c r="A140" s="139" t="s">
        <v>93</v>
      </c>
      <c r="B140" s="255">
        <v>219.32377685499608</v>
      </c>
    </row>
    <row r="141" spans="1:2" x14ac:dyDescent="0.3">
      <c r="A141" s="7" t="s">
        <v>41</v>
      </c>
      <c r="B141" s="255">
        <v>407.91745737373685</v>
      </c>
    </row>
    <row r="142" spans="1:2" x14ac:dyDescent="0.3">
      <c r="A142" s="138" t="s">
        <v>79</v>
      </c>
      <c r="B142" s="255">
        <v>373.03098378678618</v>
      </c>
    </row>
    <row r="143" spans="1:2" x14ac:dyDescent="0.3">
      <c r="A143" s="139" t="s">
        <v>80</v>
      </c>
      <c r="B143" s="255">
        <v>502.97649362726247</v>
      </c>
    </row>
    <row r="144" spans="1:2" x14ac:dyDescent="0.3">
      <c r="A144" s="139" t="s">
        <v>81</v>
      </c>
      <c r="B144" s="255">
        <v>-33.818992711441766</v>
      </c>
    </row>
    <row r="145" spans="1:2" x14ac:dyDescent="0.3">
      <c r="A145" s="139" t="s">
        <v>82</v>
      </c>
      <c r="B145" s="255">
        <v>-96.126517129034539</v>
      </c>
    </row>
    <row r="146" spans="1:2" x14ac:dyDescent="0.3">
      <c r="A146" s="138" t="s">
        <v>83</v>
      </c>
      <c r="B146" s="255">
        <v>-209.19669861403713</v>
      </c>
    </row>
    <row r="147" spans="1:2" x14ac:dyDescent="0.3">
      <c r="A147" s="139" t="s">
        <v>84</v>
      </c>
      <c r="B147" s="255">
        <v>-111.15275662798157</v>
      </c>
    </row>
    <row r="148" spans="1:2" x14ac:dyDescent="0.3">
      <c r="A148" s="139" t="s">
        <v>85</v>
      </c>
      <c r="B148" s="255">
        <v>-14.419847523808755</v>
      </c>
    </row>
    <row r="149" spans="1:2" x14ac:dyDescent="0.3">
      <c r="A149" s="139" t="s">
        <v>86</v>
      </c>
      <c r="B149" s="255">
        <v>-83.624094462246802</v>
      </c>
    </row>
    <row r="150" spans="1:2" x14ac:dyDescent="0.3">
      <c r="A150" s="138" t="s">
        <v>87</v>
      </c>
      <c r="B150" s="255">
        <v>-154.73164367466421</v>
      </c>
    </row>
    <row r="151" spans="1:2" x14ac:dyDescent="0.3">
      <c r="A151" s="139" t="s">
        <v>88</v>
      </c>
      <c r="B151" s="255">
        <v>-107.12148937884763</v>
      </c>
    </row>
    <row r="152" spans="1:2" x14ac:dyDescent="0.3">
      <c r="A152" s="139" t="s">
        <v>89</v>
      </c>
      <c r="B152" s="255">
        <v>74.390200635002302</v>
      </c>
    </row>
    <row r="153" spans="1:2" x14ac:dyDescent="0.3">
      <c r="A153" s="139" t="s">
        <v>169</v>
      </c>
      <c r="B153" s="255">
        <v>-122.00035493081887</v>
      </c>
    </row>
    <row r="154" spans="1:2" x14ac:dyDescent="0.3">
      <c r="A154" s="138" t="s">
        <v>90</v>
      </c>
      <c r="B154" s="255">
        <v>398.81481587565202</v>
      </c>
    </row>
    <row r="155" spans="1:2" x14ac:dyDescent="0.3">
      <c r="A155" s="139" t="s">
        <v>91</v>
      </c>
      <c r="B155" s="255">
        <v>96.733752796354281</v>
      </c>
    </row>
    <row r="156" spans="1:2" x14ac:dyDescent="0.3">
      <c r="A156" s="139" t="s">
        <v>92</v>
      </c>
      <c r="B156" s="255">
        <v>9.8391691143788051</v>
      </c>
    </row>
    <row r="157" spans="1:2" x14ac:dyDescent="0.3">
      <c r="A157" s="139" t="s">
        <v>93</v>
      </c>
      <c r="B157" s="255">
        <v>292.24189396491892</v>
      </c>
    </row>
    <row r="158" spans="1:2" x14ac:dyDescent="0.3">
      <c r="A158" s="7" t="s">
        <v>42</v>
      </c>
      <c r="B158" s="255">
        <v>-995.69949373376835</v>
      </c>
    </row>
    <row r="159" spans="1:2" x14ac:dyDescent="0.3">
      <c r="A159" s="138" t="s">
        <v>79</v>
      </c>
      <c r="B159" s="255">
        <v>519.03511235751762</v>
      </c>
    </row>
    <row r="160" spans="1:2" x14ac:dyDescent="0.3">
      <c r="A160" s="139" t="s">
        <v>80</v>
      </c>
      <c r="B160" s="255">
        <v>871.89710739023701</v>
      </c>
    </row>
    <row r="161" spans="1:2" x14ac:dyDescent="0.3">
      <c r="A161" s="139" t="s">
        <v>81</v>
      </c>
      <c r="B161" s="255">
        <v>-134.82911101153721</v>
      </c>
    </row>
    <row r="162" spans="1:2" x14ac:dyDescent="0.3">
      <c r="A162" s="139" t="s">
        <v>82</v>
      </c>
      <c r="B162" s="255">
        <v>-218.03288402118224</v>
      </c>
    </row>
    <row r="163" spans="1:2" x14ac:dyDescent="0.3">
      <c r="A163" s="138" t="s">
        <v>83</v>
      </c>
      <c r="B163" s="255">
        <v>-460.85847474832576</v>
      </c>
    </row>
    <row r="164" spans="1:2" x14ac:dyDescent="0.3">
      <c r="A164" s="139" t="s">
        <v>84</v>
      </c>
      <c r="B164" s="255">
        <v>-150.45412831283426</v>
      </c>
    </row>
    <row r="165" spans="1:2" x14ac:dyDescent="0.3">
      <c r="A165" s="139" t="s">
        <v>85</v>
      </c>
      <c r="B165" s="255">
        <v>-156.27388945199806</v>
      </c>
    </row>
    <row r="166" spans="1:2" x14ac:dyDescent="0.3">
      <c r="A166" s="139" t="s">
        <v>86</v>
      </c>
      <c r="B166" s="255">
        <v>-154.13045698349345</v>
      </c>
    </row>
    <row r="167" spans="1:2" x14ac:dyDescent="0.3">
      <c r="A167" s="138" t="s">
        <v>87</v>
      </c>
      <c r="B167" s="255">
        <v>-97.00351142923958</v>
      </c>
    </row>
    <row r="168" spans="1:2" x14ac:dyDescent="0.3">
      <c r="A168" s="139" t="s">
        <v>88</v>
      </c>
      <c r="B168" s="255">
        <v>-5.9218620105201865</v>
      </c>
    </row>
    <row r="169" spans="1:2" x14ac:dyDescent="0.3">
      <c r="A169" s="139" t="s">
        <v>89</v>
      </c>
      <c r="B169" s="255">
        <v>18.317345101305222</v>
      </c>
    </row>
    <row r="170" spans="1:2" x14ac:dyDescent="0.3">
      <c r="A170" s="139" t="s">
        <v>169</v>
      </c>
      <c r="B170" s="255">
        <v>-109.39899452002462</v>
      </c>
    </row>
    <row r="171" spans="1:2" x14ac:dyDescent="0.3">
      <c r="A171" s="138" t="s">
        <v>90</v>
      </c>
      <c r="B171" s="255">
        <v>-956.87261991372065</v>
      </c>
    </row>
    <row r="172" spans="1:2" x14ac:dyDescent="0.3">
      <c r="A172" s="139" t="s">
        <v>91</v>
      </c>
      <c r="B172" s="255">
        <v>-34.665006678969121</v>
      </c>
    </row>
    <row r="173" spans="1:2" x14ac:dyDescent="0.3">
      <c r="A173" s="139" t="s">
        <v>92</v>
      </c>
      <c r="B173" s="255">
        <v>-216.66430527059674</v>
      </c>
    </row>
    <row r="174" spans="1:2" x14ac:dyDescent="0.3">
      <c r="A174" s="139" t="s">
        <v>93</v>
      </c>
      <c r="B174" s="255">
        <v>-705.54330796415479</v>
      </c>
    </row>
    <row r="175" spans="1:2" x14ac:dyDescent="0.3">
      <c r="A175" s="7" t="s">
        <v>43</v>
      </c>
      <c r="B175" s="255">
        <v>207.32801028437891</v>
      </c>
    </row>
    <row r="176" spans="1:2" x14ac:dyDescent="0.3">
      <c r="A176" s="138" t="s">
        <v>79</v>
      </c>
      <c r="B176" s="255">
        <v>-346.31536076356309</v>
      </c>
    </row>
    <row r="177" spans="1:2" x14ac:dyDescent="0.3">
      <c r="A177" s="139" t="s">
        <v>80</v>
      </c>
      <c r="B177" s="255">
        <v>-460.93167103846201</v>
      </c>
    </row>
    <row r="178" spans="1:2" x14ac:dyDescent="0.3">
      <c r="A178" s="139" t="s">
        <v>81</v>
      </c>
      <c r="B178" s="255">
        <v>62.156315101509136</v>
      </c>
    </row>
    <row r="179" spans="1:2" x14ac:dyDescent="0.3">
      <c r="A179" s="139" t="s">
        <v>82</v>
      </c>
      <c r="B179" s="255">
        <v>52.459995173389814</v>
      </c>
    </row>
    <row r="180" spans="1:2" x14ac:dyDescent="0.3">
      <c r="A180" s="138" t="s">
        <v>83</v>
      </c>
      <c r="B180" s="255">
        <v>124.43402983157507</v>
      </c>
    </row>
    <row r="181" spans="1:2" x14ac:dyDescent="0.3">
      <c r="A181" s="139" t="s">
        <v>84</v>
      </c>
      <c r="B181" s="255">
        <v>40.09848100459476</v>
      </c>
    </row>
    <row r="182" spans="1:2" x14ac:dyDescent="0.3">
      <c r="A182" s="139" t="s">
        <v>85</v>
      </c>
      <c r="B182" s="255">
        <v>90.686689027379771</v>
      </c>
    </row>
    <row r="183" spans="1:2" x14ac:dyDescent="0.3">
      <c r="A183" s="139" t="s">
        <v>86</v>
      </c>
      <c r="B183" s="255">
        <v>-6.3511402003994561</v>
      </c>
    </row>
    <row r="184" spans="1:2" x14ac:dyDescent="0.3">
      <c r="A184" s="138" t="s">
        <v>87</v>
      </c>
      <c r="B184" s="255">
        <v>67.093488203890757</v>
      </c>
    </row>
    <row r="185" spans="1:2" x14ac:dyDescent="0.3">
      <c r="A185" s="139" t="s">
        <v>88</v>
      </c>
      <c r="B185" s="255">
        <v>17.264363342134857</v>
      </c>
    </row>
    <row r="186" spans="1:2" x14ac:dyDescent="0.3">
      <c r="A186" s="139" t="s">
        <v>89</v>
      </c>
      <c r="B186" s="255">
        <v>-6.0747556069963196</v>
      </c>
    </row>
    <row r="187" spans="1:2" x14ac:dyDescent="0.3">
      <c r="A187" s="139" t="s">
        <v>169</v>
      </c>
      <c r="B187" s="255">
        <v>55.90388046875222</v>
      </c>
    </row>
    <row r="188" spans="1:2" x14ac:dyDescent="0.3">
      <c r="A188" s="138" t="s">
        <v>90</v>
      </c>
      <c r="B188" s="255">
        <v>362.11585301247618</v>
      </c>
    </row>
    <row r="189" spans="1:2" x14ac:dyDescent="0.3">
      <c r="A189" s="139" t="s">
        <v>91</v>
      </c>
      <c r="B189" s="255">
        <v>32.880631963094089</v>
      </c>
    </row>
    <row r="190" spans="1:2" x14ac:dyDescent="0.3">
      <c r="A190" s="139" t="s">
        <v>92</v>
      </c>
      <c r="B190" s="255">
        <v>46.531041353071345</v>
      </c>
    </row>
    <row r="191" spans="1:2" x14ac:dyDescent="0.3">
      <c r="A191" s="139" t="s">
        <v>93</v>
      </c>
      <c r="B191" s="255">
        <v>282.70417969631075</v>
      </c>
    </row>
    <row r="192" spans="1:2" x14ac:dyDescent="0.3">
      <c r="A192" s="7" t="s">
        <v>44</v>
      </c>
      <c r="B192" s="255">
        <v>-88.600395803961277</v>
      </c>
    </row>
    <row r="193" spans="1:2" x14ac:dyDescent="0.3">
      <c r="A193" s="138" t="s">
        <v>79</v>
      </c>
      <c r="B193" s="255">
        <v>-182.38642178566943</v>
      </c>
    </row>
    <row r="194" spans="1:2" x14ac:dyDescent="0.3">
      <c r="A194" s="139" t="s">
        <v>80</v>
      </c>
      <c r="B194" s="255">
        <v>-145.88076077033861</v>
      </c>
    </row>
    <row r="195" spans="1:2" x14ac:dyDescent="0.3">
      <c r="A195" s="139" t="s">
        <v>81</v>
      </c>
      <c r="B195" s="255">
        <v>-9.4393662777332281</v>
      </c>
    </row>
    <row r="196" spans="1:2" x14ac:dyDescent="0.3">
      <c r="A196" s="139" t="s">
        <v>82</v>
      </c>
      <c r="B196" s="255">
        <v>-27.066294737597573</v>
      </c>
    </row>
    <row r="197" spans="1:2" x14ac:dyDescent="0.3">
      <c r="A197" s="138" t="s">
        <v>83</v>
      </c>
      <c r="B197" s="255">
        <v>10.030275862824894</v>
      </c>
    </row>
    <row r="198" spans="1:2" x14ac:dyDescent="0.3">
      <c r="A198" s="139" t="s">
        <v>84</v>
      </c>
      <c r="B198" s="255">
        <v>-39.991544476424053</v>
      </c>
    </row>
    <row r="199" spans="1:2" x14ac:dyDescent="0.3">
      <c r="A199" s="139" t="s">
        <v>85</v>
      </c>
      <c r="B199" s="255">
        <v>-13.604390940329679</v>
      </c>
    </row>
    <row r="200" spans="1:2" x14ac:dyDescent="0.3">
      <c r="A200" s="139" t="s">
        <v>86</v>
      </c>
      <c r="B200" s="255">
        <v>63.626211279578627</v>
      </c>
    </row>
    <row r="201" spans="1:2" x14ac:dyDescent="0.3">
      <c r="A201" s="138" t="s">
        <v>87</v>
      </c>
      <c r="B201" s="255">
        <v>63.780977822382084</v>
      </c>
    </row>
    <row r="202" spans="1:2" x14ac:dyDescent="0.3">
      <c r="A202" s="139" t="s">
        <v>88</v>
      </c>
      <c r="B202" s="255">
        <v>30.3478055001938</v>
      </c>
    </row>
    <row r="203" spans="1:2" x14ac:dyDescent="0.3">
      <c r="A203" s="139" t="s">
        <v>89</v>
      </c>
      <c r="B203" s="255">
        <v>-20.259900112330826</v>
      </c>
    </row>
    <row r="204" spans="1:2" x14ac:dyDescent="0.3">
      <c r="A204" s="139" t="s">
        <v>169</v>
      </c>
      <c r="B204" s="255">
        <v>53.693072434519109</v>
      </c>
    </row>
    <row r="205" spans="1:2" x14ac:dyDescent="0.3">
      <c r="A205" s="138" t="s">
        <v>90</v>
      </c>
      <c r="B205" s="255">
        <v>19.974772296501158</v>
      </c>
    </row>
    <row r="206" spans="1:2" x14ac:dyDescent="0.3">
      <c r="A206" s="139" t="s">
        <v>91</v>
      </c>
      <c r="B206" s="255">
        <v>-18.484124847974982</v>
      </c>
    </row>
    <row r="207" spans="1:2" x14ac:dyDescent="0.3">
      <c r="A207" s="139" t="s">
        <v>92</v>
      </c>
      <c r="B207" s="255">
        <v>-29.888304588787747</v>
      </c>
    </row>
    <row r="208" spans="1:2" x14ac:dyDescent="0.3">
      <c r="A208" s="139" t="s">
        <v>93</v>
      </c>
      <c r="B208" s="255">
        <v>68.347201733263887</v>
      </c>
    </row>
    <row r="209" spans="1:2" x14ac:dyDescent="0.3">
      <c r="A209" s="7" t="s">
        <v>45</v>
      </c>
      <c r="B209" s="255">
        <v>-458.26004398329314</v>
      </c>
    </row>
    <row r="210" spans="1:2" x14ac:dyDescent="0.3">
      <c r="A210" s="138" t="s">
        <v>79</v>
      </c>
      <c r="B210" s="255">
        <v>80.231332296125046</v>
      </c>
    </row>
    <row r="211" spans="1:2" x14ac:dyDescent="0.3">
      <c r="A211" s="139" t="s">
        <v>80</v>
      </c>
      <c r="B211" s="255">
        <v>30.901603868095307</v>
      </c>
    </row>
    <row r="212" spans="1:2" x14ac:dyDescent="0.3">
      <c r="A212" s="139" t="s">
        <v>81</v>
      </c>
      <c r="B212" s="255">
        <v>-87.490293164469023</v>
      </c>
    </row>
    <row r="213" spans="1:2" x14ac:dyDescent="0.3">
      <c r="A213" s="139" t="s">
        <v>82</v>
      </c>
      <c r="B213" s="255">
        <v>136.82002159249876</v>
      </c>
    </row>
    <row r="214" spans="1:2" x14ac:dyDescent="0.3">
      <c r="A214" s="138" t="s">
        <v>83</v>
      </c>
      <c r="B214" s="255">
        <v>78.426614803736214</v>
      </c>
    </row>
    <row r="215" spans="1:2" x14ac:dyDescent="0.3">
      <c r="A215" s="139" t="s">
        <v>84</v>
      </c>
      <c r="B215" s="255">
        <v>41.411544030813346</v>
      </c>
    </row>
    <row r="216" spans="1:2" x14ac:dyDescent="0.3">
      <c r="A216" s="139" t="s">
        <v>85</v>
      </c>
      <c r="B216" s="255">
        <v>-21.599975755589568</v>
      </c>
    </row>
    <row r="217" spans="1:2" x14ac:dyDescent="0.3">
      <c r="A217" s="139" t="s">
        <v>86</v>
      </c>
      <c r="B217" s="255">
        <v>58.615046528512437</v>
      </c>
    </row>
    <row r="218" spans="1:2" x14ac:dyDescent="0.3">
      <c r="A218" s="138" t="s">
        <v>87</v>
      </c>
      <c r="B218" s="255">
        <v>-202.37766900802967</v>
      </c>
    </row>
    <row r="219" spans="1:2" x14ac:dyDescent="0.3">
      <c r="A219" s="139" t="s">
        <v>88</v>
      </c>
      <c r="B219" s="255">
        <v>7.7137253299888755</v>
      </c>
    </row>
    <row r="220" spans="1:2" x14ac:dyDescent="0.3">
      <c r="A220" s="139" t="s">
        <v>89</v>
      </c>
      <c r="B220" s="255">
        <v>-23.344093748286312</v>
      </c>
    </row>
    <row r="221" spans="1:2" x14ac:dyDescent="0.3">
      <c r="A221" s="139" t="s">
        <v>169</v>
      </c>
      <c r="B221" s="255">
        <v>-186.74730058973222</v>
      </c>
    </row>
    <row r="222" spans="1:2" x14ac:dyDescent="0.3">
      <c r="A222" s="138" t="s">
        <v>90</v>
      </c>
      <c r="B222" s="255">
        <v>-414.54032207512466</v>
      </c>
    </row>
    <row r="223" spans="1:2" x14ac:dyDescent="0.3">
      <c r="A223" s="139" t="s">
        <v>91</v>
      </c>
      <c r="B223" s="255">
        <v>-254.09235987142918</v>
      </c>
    </row>
    <row r="224" spans="1:2" x14ac:dyDescent="0.3">
      <c r="A224" s="139" t="s">
        <v>92</v>
      </c>
      <c r="B224" s="255">
        <v>-125.05275025671128</v>
      </c>
    </row>
    <row r="225" spans="1:2" x14ac:dyDescent="0.3">
      <c r="A225" s="139" t="s">
        <v>93</v>
      </c>
      <c r="B225" s="255">
        <v>-35.395211946984176</v>
      </c>
    </row>
    <row r="226" spans="1:2" x14ac:dyDescent="0.3">
      <c r="A226" s="7" t="s">
        <v>46</v>
      </c>
      <c r="B226" s="255">
        <v>-138.3746654754203</v>
      </c>
    </row>
    <row r="227" spans="1:2" x14ac:dyDescent="0.3">
      <c r="A227" s="138" t="s">
        <v>79</v>
      </c>
      <c r="B227" s="255">
        <v>-40.184356991355202</v>
      </c>
    </row>
    <row r="228" spans="1:2" x14ac:dyDescent="0.3">
      <c r="A228" s="139" t="s">
        <v>80</v>
      </c>
      <c r="B228" s="255">
        <v>-117.31310634016832</v>
      </c>
    </row>
    <row r="229" spans="1:2" x14ac:dyDescent="0.3">
      <c r="A229" s="139" t="s">
        <v>81</v>
      </c>
      <c r="B229" s="255">
        <v>-66.867712999372102</v>
      </c>
    </row>
    <row r="230" spans="1:2" x14ac:dyDescent="0.3">
      <c r="A230" s="139" t="s">
        <v>82</v>
      </c>
      <c r="B230" s="255">
        <v>143.99646234818522</v>
      </c>
    </row>
    <row r="231" spans="1:2" x14ac:dyDescent="0.3">
      <c r="A231" s="138" t="s">
        <v>83</v>
      </c>
      <c r="B231" s="255">
        <v>-6.6105074859205217</v>
      </c>
    </row>
    <row r="232" spans="1:2" x14ac:dyDescent="0.3">
      <c r="A232" s="139" t="s">
        <v>84</v>
      </c>
      <c r="B232" s="255">
        <v>-42.258858087034127</v>
      </c>
    </row>
    <row r="233" spans="1:2" x14ac:dyDescent="0.3">
      <c r="A233" s="139" t="s">
        <v>85</v>
      </c>
      <c r="B233" s="255">
        <v>-22.783346995664829</v>
      </c>
    </row>
    <row r="234" spans="1:2" x14ac:dyDescent="0.3">
      <c r="A234" s="139" t="s">
        <v>86</v>
      </c>
      <c r="B234" s="255">
        <v>58.431697596778434</v>
      </c>
    </row>
    <row r="235" spans="1:2" x14ac:dyDescent="0.3">
      <c r="A235" s="138" t="s">
        <v>87</v>
      </c>
      <c r="B235" s="255">
        <v>-152.62038498225544</v>
      </c>
    </row>
    <row r="236" spans="1:2" x14ac:dyDescent="0.3">
      <c r="A236" s="139" t="s">
        <v>88</v>
      </c>
      <c r="B236" s="255">
        <v>-172.47014074920642</v>
      </c>
    </row>
    <row r="237" spans="1:2" x14ac:dyDescent="0.3">
      <c r="A237" s="139" t="s">
        <v>89</v>
      </c>
      <c r="B237" s="255">
        <v>-8.0449639894878544</v>
      </c>
    </row>
    <row r="238" spans="1:2" x14ac:dyDescent="0.3">
      <c r="A238" s="139" t="s">
        <v>169</v>
      </c>
      <c r="B238" s="255">
        <v>27.894719756438832</v>
      </c>
    </row>
    <row r="239" spans="1:2" x14ac:dyDescent="0.3">
      <c r="A239" s="138" t="s">
        <v>90</v>
      </c>
      <c r="B239" s="255">
        <v>61.040583984110867</v>
      </c>
    </row>
    <row r="240" spans="1:2" x14ac:dyDescent="0.3">
      <c r="A240" s="139" t="s">
        <v>91</v>
      </c>
      <c r="B240" s="255">
        <v>6.0624265169494436</v>
      </c>
    </row>
    <row r="241" spans="1:2" x14ac:dyDescent="0.3">
      <c r="A241" s="139" t="s">
        <v>92</v>
      </c>
      <c r="B241" s="255">
        <v>100.09080611680091</v>
      </c>
    </row>
    <row r="242" spans="1:2" x14ac:dyDescent="0.3">
      <c r="A242" s="139" t="s">
        <v>93</v>
      </c>
      <c r="B242" s="255">
        <v>-45.112648649639482</v>
      </c>
    </row>
    <row r="243" spans="1:2" x14ac:dyDescent="0.3">
      <c r="A243" s="7" t="s">
        <v>47</v>
      </c>
      <c r="B243" s="255">
        <v>-2662.1173711108727</v>
      </c>
    </row>
    <row r="244" spans="1:2" x14ac:dyDescent="0.3">
      <c r="A244" s="138" t="s">
        <v>79</v>
      </c>
      <c r="B244" s="255">
        <v>-248.047147129336</v>
      </c>
    </row>
    <row r="245" spans="1:2" x14ac:dyDescent="0.3">
      <c r="A245" s="139" t="s">
        <v>80</v>
      </c>
      <c r="B245" s="255">
        <v>145.70460239437807</v>
      </c>
    </row>
    <row r="246" spans="1:2" x14ac:dyDescent="0.3">
      <c r="A246" s="139" t="s">
        <v>81</v>
      </c>
      <c r="B246" s="255">
        <v>-38.983066975173926</v>
      </c>
    </row>
    <row r="247" spans="1:2" x14ac:dyDescent="0.3">
      <c r="A247" s="139" t="s">
        <v>82</v>
      </c>
      <c r="B247" s="255">
        <v>-354.76868254854014</v>
      </c>
    </row>
    <row r="248" spans="1:2" x14ac:dyDescent="0.3">
      <c r="A248" s="138" t="s">
        <v>83</v>
      </c>
      <c r="B248" s="255">
        <v>-1283.8931882000998</v>
      </c>
    </row>
    <row r="249" spans="1:2" x14ac:dyDescent="0.3">
      <c r="A249" s="139" t="s">
        <v>84</v>
      </c>
      <c r="B249" s="255">
        <v>-149.04979137096657</v>
      </c>
    </row>
    <row r="250" spans="1:2" x14ac:dyDescent="0.3">
      <c r="A250" s="139" t="s">
        <v>85</v>
      </c>
      <c r="B250" s="255">
        <v>-620.30524937855284</v>
      </c>
    </row>
    <row r="251" spans="1:2" x14ac:dyDescent="0.3">
      <c r="A251" s="139" t="s">
        <v>86</v>
      </c>
      <c r="B251" s="255">
        <v>-514.53814745058025</v>
      </c>
    </row>
    <row r="252" spans="1:2" x14ac:dyDescent="0.3">
      <c r="A252" s="138" t="s">
        <v>87</v>
      </c>
      <c r="B252" s="255">
        <v>-993.67988679062682</v>
      </c>
    </row>
    <row r="253" spans="1:2" x14ac:dyDescent="0.3">
      <c r="A253" s="139" t="s">
        <v>88</v>
      </c>
      <c r="B253" s="255">
        <v>-454.47350526749585</v>
      </c>
    </row>
    <row r="254" spans="1:2" x14ac:dyDescent="0.3">
      <c r="A254" s="139" t="s">
        <v>89</v>
      </c>
      <c r="B254" s="255">
        <v>-345.02428287552038</v>
      </c>
    </row>
    <row r="255" spans="1:2" x14ac:dyDescent="0.3">
      <c r="A255" s="139" t="s">
        <v>169</v>
      </c>
      <c r="B255" s="255">
        <v>-194.18209864761064</v>
      </c>
    </row>
    <row r="256" spans="1:2" x14ac:dyDescent="0.3">
      <c r="A256" s="138" t="s">
        <v>90</v>
      </c>
      <c r="B256" s="255">
        <v>-136.49714899081016</v>
      </c>
    </row>
    <row r="257" spans="1:2" x14ac:dyDescent="0.3">
      <c r="A257" s="139" t="s">
        <v>91</v>
      </c>
      <c r="B257" s="255">
        <v>-144.47164239742276</v>
      </c>
    </row>
    <row r="258" spans="1:2" x14ac:dyDescent="0.3">
      <c r="A258" s="139" t="s">
        <v>92</v>
      </c>
      <c r="B258" s="255">
        <v>11.371031117430562</v>
      </c>
    </row>
    <row r="259" spans="1:2" x14ac:dyDescent="0.3">
      <c r="A259" s="139" t="s">
        <v>93</v>
      </c>
      <c r="B259" s="255">
        <v>-3.3965377108179666</v>
      </c>
    </row>
    <row r="260" spans="1:2" x14ac:dyDescent="0.3">
      <c r="A260" s="7" t="s">
        <v>48</v>
      </c>
      <c r="B260" s="255">
        <v>463.11719266662067</v>
      </c>
    </row>
    <row r="261" spans="1:2" x14ac:dyDescent="0.3">
      <c r="A261" s="138" t="s">
        <v>79</v>
      </c>
      <c r="B261" s="255">
        <v>144.03401831727197</v>
      </c>
    </row>
    <row r="262" spans="1:2" x14ac:dyDescent="0.3">
      <c r="A262" s="139" t="s">
        <v>80</v>
      </c>
      <c r="B262" s="255">
        <v>-20.613563489347939</v>
      </c>
    </row>
    <row r="263" spans="1:2" x14ac:dyDescent="0.3">
      <c r="A263" s="139" t="s">
        <v>81</v>
      </c>
      <c r="B263" s="255">
        <v>116.88159847752127</v>
      </c>
    </row>
    <row r="264" spans="1:2" x14ac:dyDescent="0.3">
      <c r="A264" s="139" t="s">
        <v>82</v>
      </c>
      <c r="B264" s="255">
        <v>47.765983329098646</v>
      </c>
    </row>
    <row r="265" spans="1:2" x14ac:dyDescent="0.3">
      <c r="A265" s="138" t="s">
        <v>83</v>
      </c>
      <c r="B265" s="255">
        <v>109.93458492258915</v>
      </c>
    </row>
    <row r="266" spans="1:2" x14ac:dyDescent="0.3">
      <c r="A266" s="139" t="s">
        <v>84</v>
      </c>
      <c r="B266" s="255">
        <v>-7.1879471701064404</v>
      </c>
    </row>
    <row r="267" spans="1:2" x14ac:dyDescent="0.3">
      <c r="A267" s="139" t="s">
        <v>85</v>
      </c>
      <c r="B267" s="255">
        <v>103.06115403098616</v>
      </c>
    </row>
    <row r="268" spans="1:2" x14ac:dyDescent="0.3">
      <c r="A268" s="139" t="s">
        <v>86</v>
      </c>
      <c r="B268" s="255">
        <v>14.061378061709433</v>
      </c>
    </row>
    <row r="269" spans="1:2" x14ac:dyDescent="0.3">
      <c r="A269" s="138" t="s">
        <v>87</v>
      </c>
      <c r="B269" s="255">
        <v>139.91675343087317</v>
      </c>
    </row>
    <row r="270" spans="1:2" x14ac:dyDescent="0.3">
      <c r="A270" s="139" t="s">
        <v>88</v>
      </c>
      <c r="B270" s="255">
        <v>130.93362000550033</v>
      </c>
    </row>
    <row r="271" spans="1:2" x14ac:dyDescent="0.3">
      <c r="A271" s="139" t="s">
        <v>89</v>
      </c>
      <c r="B271" s="255">
        <v>-44.641114517889179</v>
      </c>
    </row>
    <row r="272" spans="1:2" x14ac:dyDescent="0.3">
      <c r="A272" s="139" t="s">
        <v>169</v>
      </c>
      <c r="B272" s="255">
        <v>53.62424794326202</v>
      </c>
    </row>
    <row r="273" spans="1:2" x14ac:dyDescent="0.3">
      <c r="A273" s="138" t="s">
        <v>90</v>
      </c>
      <c r="B273" s="255">
        <v>69.231835995886314</v>
      </c>
    </row>
    <row r="274" spans="1:2" x14ac:dyDescent="0.3">
      <c r="A274" s="139" t="s">
        <v>91</v>
      </c>
      <c r="B274" s="255">
        <v>-6.7476730120727098</v>
      </c>
    </row>
    <row r="275" spans="1:2" x14ac:dyDescent="0.3">
      <c r="A275" s="139" t="s">
        <v>92</v>
      </c>
      <c r="B275" s="255">
        <v>31.035069556294957</v>
      </c>
    </row>
    <row r="276" spans="1:2" x14ac:dyDescent="0.3">
      <c r="A276" s="139" t="s">
        <v>93</v>
      </c>
      <c r="B276" s="255">
        <v>44.944439451664067</v>
      </c>
    </row>
    <row r="277" spans="1:2" x14ac:dyDescent="0.3">
      <c r="A277" s="7" t="s">
        <v>49</v>
      </c>
      <c r="B277" s="255">
        <v>1092.2059285341709</v>
      </c>
    </row>
    <row r="278" spans="1:2" x14ac:dyDescent="0.3">
      <c r="A278" s="138" t="s">
        <v>79</v>
      </c>
      <c r="B278" s="255">
        <v>134.99888651895478</v>
      </c>
    </row>
    <row r="279" spans="1:2" x14ac:dyDescent="0.3">
      <c r="A279" s="139" t="s">
        <v>80</v>
      </c>
      <c r="B279" s="255">
        <v>116.21708728158933</v>
      </c>
    </row>
    <row r="280" spans="1:2" x14ac:dyDescent="0.3">
      <c r="A280" s="139" t="s">
        <v>81</v>
      </c>
      <c r="B280" s="255">
        <v>-15.389239160919459</v>
      </c>
    </row>
    <row r="281" spans="1:2" x14ac:dyDescent="0.3">
      <c r="A281" s="139" t="s">
        <v>82</v>
      </c>
      <c r="B281" s="255">
        <v>34.171038398284907</v>
      </c>
    </row>
    <row r="282" spans="1:2" x14ac:dyDescent="0.3">
      <c r="A282" s="138" t="s">
        <v>83</v>
      </c>
      <c r="B282" s="255">
        <v>74.801996344912396</v>
      </c>
    </row>
    <row r="283" spans="1:2" x14ac:dyDescent="0.3">
      <c r="A283" s="139" t="s">
        <v>84</v>
      </c>
      <c r="B283" s="255">
        <v>45.471995272523799</v>
      </c>
    </row>
    <row r="284" spans="1:2" x14ac:dyDescent="0.3">
      <c r="A284" s="139" t="s">
        <v>85</v>
      </c>
      <c r="B284" s="255">
        <v>18.52946660266818</v>
      </c>
    </row>
    <row r="285" spans="1:2" x14ac:dyDescent="0.3">
      <c r="A285" s="139" t="s">
        <v>86</v>
      </c>
      <c r="B285" s="255">
        <v>10.800534469720418</v>
      </c>
    </row>
    <row r="286" spans="1:2" x14ac:dyDescent="0.3">
      <c r="A286" s="138" t="s">
        <v>87</v>
      </c>
      <c r="B286" s="255">
        <v>173.38932900934867</v>
      </c>
    </row>
    <row r="287" spans="1:2" x14ac:dyDescent="0.3">
      <c r="A287" s="139" t="s">
        <v>88</v>
      </c>
      <c r="B287" s="255">
        <v>56.09794073305136</v>
      </c>
    </row>
    <row r="288" spans="1:2" x14ac:dyDescent="0.3">
      <c r="A288" s="139" t="s">
        <v>89</v>
      </c>
      <c r="B288" s="255">
        <v>14.690363055448245</v>
      </c>
    </row>
    <row r="289" spans="1:2" x14ac:dyDescent="0.3">
      <c r="A289" s="139" t="s">
        <v>169</v>
      </c>
      <c r="B289" s="255">
        <v>102.60102522084907</v>
      </c>
    </row>
    <row r="290" spans="1:2" x14ac:dyDescent="0.3">
      <c r="A290" s="138" t="s">
        <v>90</v>
      </c>
      <c r="B290" s="255">
        <v>709.01571666095515</v>
      </c>
    </row>
    <row r="291" spans="1:2" x14ac:dyDescent="0.3">
      <c r="A291" s="139" t="s">
        <v>91</v>
      </c>
      <c r="B291" s="255">
        <v>193.91525082570905</v>
      </c>
    </row>
    <row r="292" spans="1:2" x14ac:dyDescent="0.3">
      <c r="A292" s="139" t="s">
        <v>92</v>
      </c>
      <c r="B292" s="255">
        <v>344.61641691939377</v>
      </c>
    </row>
    <row r="293" spans="1:2" x14ac:dyDescent="0.3">
      <c r="A293" s="139" t="s">
        <v>93</v>
      </c>
      <c r="B293" s="255">
        <v>170.48404891585233</v>
      </c>
    </row>
    <row r="294" spans="1:2" x14ac:dyDescent="0.3">
      <c r="A294" s="7" t="s">
        <v>50</v>
      </c>
      <c r="B294" s="255">
        <v>286.31092245303387</v>
      </c>
    </row>
    <row r="295" spans="1:2" x14ac:dyDescent="0.3">
      <c r="A295" s="138" t="s">
        <v>79</v>
      </c>
      <c r="B295" s="255">
        <v>89.340084591539323</v>
      </c>
    </row>
    <row r="296" spans="1:2" x14ac:dyDescent="0.3">
      <c r="A296" s="139" t="s">
        <v>80</v>
      </c>
      <c r="B296" s="255">
        <v>126.14073936367524</v>
      </c>
    </row>
    <row r="297" spans="1:2" x14ac:dyDescent="0.3">
      <c r="A297" s="139" t="s">
        <v>81</v>
      </c>
      <c r="B297" s="255">
        <v>-8.5124837653301597</v>
      </c>
    </row>
    <row r="298" spans="1:2" x14ac:dyDescent="0.3">
      <c r="A298" s="139" t="s">
        <v>82</v>
      </c>
      <c r="B298" s="255">
        <v>-28.288171006805754</v>
      </c>
    </row>
    <row r="299" spans="1:2" x14ac:dyDescent="0.3">
      <c r="A299" s="138" t="s">
        <v>83</v>
      </c>
      <c r="B299" s="255">
        <v>48.803400684116127</v>
      </c>
    </row>
    <row r="300" spans="1:2" x14ac:dyDescent="0.3">
      <c r="A300" s="139" t="s">
        <v>84</v>
      </c>
      <c r="B300" s="255">
        <v>58.45938933286368</v>
      </c>
    </row>
    <row r="301" spans="1:2" x14ac:dyDescent="0.3">
      <c r="A301" s="139" t="s">
        <v>85</v>
      </c>
      <c r="B301" s="255">
        <v>-20.790049470259817</v>
      </c>
    </row>
    <row r="302" spans="1:2" x14ac:dyDescent="0.3">
      <c r="A302" s="139" t="s">
        <v>86</v>
      </c>
      <c r="B302" s="255">
        <v>11.134060821512264</v>
      </c>
    </row>
    <row r="303" spans="1:2" x14ac:dyDescent="0.3">
      <c r="A303" s="138" t="s">
        <v>87</v>
      </c>
      <c r="B303" s="255">
        <v>137.66467335601851</v>
      </c>
    </row>
    <row r="304" spans="1:2" x14ac:dyDescent="0.3">
      <c r="A304" s="139" t="s">
        <v>88</v>
      </c>
      <c r="B304" s="255">
        <v>-37.027434643672308</v>
      </c>
    </row>
    <row r="305" spans="1:2" x14ac:dyDescent="0.3">
      <c r="A305" s="139" t="s">
        <v>89</v>
      </c>
      <c r="B305" s="255">
        <v>24.098890639544265</v>
      </c>
    </row>
    <row r="306" spans="1:2" x14ac:dyDescent="0.3">
      <c r="A306" s="139" t="s">
        <v>169</v>
      </c>
      <c r="B306" s="255">
        <v>150.59321736014655</v>
      </c>
    </row>
    <row r="307" spans="1:2" x14ac:dyDescent="0.3">
      <c r="A307" s="138" t="s">
        <v>90</v>
      </c>
      <c r="B307" s="255">
        <v>10.502763821359906</v>
      </c>
    </row>
    <row r="308" spans="1:2" x14ac:dyDescent="0.3">
      <c r="A308" s="139" t="s">
        <v>91</v>
      </c>
      <c r="B308" s="255">
        <v>-190.70434665746467</v>
      </c>
    </row>
    <row r="309" spans="1:2" x14ac:dyDescent="0.3">
      <c r="A309" s="139" t="s">
        <v>92</v>
      </c>
      <c r="B309" s="255">
        <v>72.282500000000027</v>
      </c>
    </row>
    <row r="310" spans="1:2" x14ac:dyDescent="0.3">
      <c r="A310" s="139" t="s">
        <v>93</v>
      </c>
      <c r="B310" s="255">
        <v>128.92461047882455</v>
      </c>
    </row>
    <row r="311" spans="1:2" x14ac:dyDescent="0.3">
      <c r="A311" s="7" t="s">
        <v>51</v>
      </c>
      <c r="B311" s="255">
        <v>585.11287461371262</v>
      </c>
    </row>
    <row r="312" spans="1:2" x14ac:dyDescent="0.3">
      <c r="A312" s="138" t="s">
        <v>79</v>
      </c>
      <c r="B312" s="255">
        <v>73.235939437605992</v>
      </c>
    </row>
    <row r="313" spans="1:2" x14ac:dyDescent="0.3">
      <c r="A313" s="139" t="s">
        <v>80</v>
      </c>
      <c r="B313" s="255">
        <v>-73.447593192396681</v>
      </c>
    </row>
    <row r="314" spans="1:2" x14ac:dyDescent="0.3">
      <c r="A314" s="139" t="s">
        <v>81</v>
      </c>
      <c r="B314" s="255">
        <v>106.96074798191813</v>
      </c>
    </row>
    <row r="315" spans="1:2" x14ac:dyDescent="0.3">
      <c r="A315" s="139" t="s">
        <v>82</v>
      </c>
      <c r="B315" s="255">
        <v>39.722784648084541</v>
      </c>
    </row>
    <row r="316" spans="1:2" x14ac:dyDescent="0.3">
      <c r="A316" s="138" t="s">
        <v>83</v>
      </c>
      <c r="B316" s="255">
        <v>188.12208353685793</v>
      </c>
    </row>
    <row r="317" spans="1:2" x14ac:dyDescent="0.3">
      <c r="A317" s="139" t="s">
        <v>84</v>
      </c>
      <c r="B317" s="255">
        <v>-18.261865129593104</v>
      </c>
    </row>
    <row r="318" spans="1:2" x14ac:dyDescent="0.3">
      <c r="A318" s="139" t="s">
        <v>85</v>
      </c>
      <c r="B318" s="255">
        <v>78.29631550011851</v>
      </c>
    </row>
    <row r="319" spans="1:2" x14ac:dyDescent="0.3">
      <c r="A319" s="139" t="s">
        <v>86</v>
      </c>
      <c r="B319" s="255">
        <v>128.08763316633252</v>
      </c>
    </row>
    <row r="320" spans="1:2" x14ac:dyDescent="0.3">
      <c r="A320" s="138" t="s">
        <v>87</v>
      </c>
      <c r="B320" s="255">
        <v>210.9327959034899</v>
      </c>
    </row>
    <row r="321" spans="1:2" x14ac:dyDescent="0.3">
      <c r="A321" s="139" t="s">
        <v>88</v>
      </c>
      <c r="B321" s="255">
        <v>-70.489478403527585</v>
      </c>
    </row>
    <row r="322" spans="1:2" x14ac:dyDescent="0.3">
      <c r="A322" s="139" t="s">
        <v>89</v>
      </c>
      <c r="B322" s="255">
        <v>97.850412439184169</v>
      </c>
    </row>
    <row r="323" spans="1:2" x14ac:dyDescent="0.3">
      <c r="A323" s="139" t="s">
        <v>169</v>
      </c>
      <c r="B323" s="255">
        <v>183.57186186783332</v>
      </c>
    </row>
    <row r="324" spans="1:2" x14ac:dyDescent="0.3">
      <c r="A324" s="138" t="s">
        <v>90</v>
      </c>
      <c r="B324" s="255">
        <v>112.82205573575885</v>
      </c>
    </row>
    <row r="325" spans="1:2" x14ac:dyDescent="0.3">
      <c r="A325" s="139" t="s">
        <v>91</v>
      </c>
      <c r="B325" s="255">
        <v>-187.62181100753929</v>
      </c>
    </row>
    <row r="326" spans="1:2" x14ac:dyDescent="0.3">
      <c r="A326" s="139" t="s">
        <v>92</v>
      </c>
      <c r="B326" s="255">
        <v>150.63809072100679</v>
      </c>
    </row>
    <row r="327" spans="1:2" x14ac:dyDescent="0.3">
      <c r="A327" s="139" t="s">
        <v>93</v>
      </c>
      <c r="B327" s="255">
        <v>149.80577602229135</v>
      </c>
    </row>
    <row r="328" spans="1:2" x14ac:dyDescent="0.3">
      <c r="A328" s="7" t="s">
        <v>52</v>
      </c>
      <c r="B328" s="255">
        <v>1073.9958120554675</v>
      </c>
    </row>
    <row r="329" spans="1:2" x14ac:dyDescent="0.3">
      <c r="A329" s="138" t="s">
        <v>79</v>
      </c>
      <c r="B329" s="255">
        <v>-79.80077957565203</v>
      </c>
    </row>
    <row r="330" spans="1:2" x14ac:dyDescent="0.3">
      <c r="A330" s="139" t="s">
        <v>80</v>
      </c>
      <c r="B330" s="255">
        <v>-71.9235783789332</v>
      </c>
    </row>
    <row r="331" spans="1:2" x14ac:dyDescent="0.3">
      <c r="A331" s="139" t="s">
        <v>81</v>
      </c>
      <c r="B331" s="255">
        <v>47.892813921335005</v>
      </c>
    </row>
    <row r="332" spans="1:2" x14ac:dyDescent="0.3">
      <c r="A332" s="139" t="s">
        <v>82</v>
      </c>
      <c r="B332" s="255">
        <v>-55.770015118053834</v>
      </c>
    </row>
    <row r="333" spans="1:2" x14ac:dyDescent="0.3">
      <c r="A333" s="138" t="s">
        <v>83</v>
      </c>
      <c r="B333" s="255">
        <v>254.45726725501717</v>
      </c>
    </row>
    <row r="334" spans="1:2" x14ac:dyDescent="0.3">
      <c r="A334" s="139" t="s">
        <v>84</v>
      </c>
      <c r="B334" s="255">
        <v>-25.964168852033822</v>
      </c>
    </row>
    <row r="335" spans="1:2" x14ac:dyDescent="0.3">
      <c r="A335" s="139" t="s">
        <v>85</v>
      </c>
      <c r="B335" s="255">
        <v>249.65130396168794</v>
      </c>
    </row>
    <row r="336" spans="1:2" x14ac:dyDescent="0.3">
      <c r="A336" s="139" t="s">
        <v>86</v>
      </c>
      <c r="B336" s="255">
        <v>30.77013214536305</v>
      </c>
    </row>
    <row r="337" spans="1:2" x14ac:dyDescent="0.3">
      <c r="A337" s="138" t="s">
        <v>87</v>
      </c>
      <c r="B337" s="255">
        <v>507.2351012423469</v>
      </c>
    </row>
    <row r="338" spans="1:2" x14ac:dyDescent="0.3">
      <c r="A338" s="139" t="s">
        <v>88</v>
      </c>
      <c r="B338" s="255">
        <v>9.4576879111497192</v>
      </c>
    </row>
    <row r="339" spans="1:2" x14ac:dyDescent="0.3">
      <c r="A339" s="139" t="s">
        <v>89</v>
      </c>
      <c r="B339" s="255">
        <v>201.53908445910304</v>
      </c>
    </row>
    <row r="340" spans="1:2" x14ac:dyDescent="0.3">
      <c r="A340" s="139" t="s">
        <v>169</v>
      </c>
      <c r="B340" s="255">
        <v>296.23832887209414</v>
      </c>
    </row>
    <row r="341" spans="1:2" x14ac:dyDescent="0.3">
      <c r="A341" s="138" t="s">
        <v>90</v>
      </c>
      <c r="B341" s="255">
        <v>392.10422313375562</v>
      </c>
    </row>
    <row r="342" spans="1:2" x14ac:dyDescent="0.3">
      <c r="A342" s="139" t="s">
        <v>91</v>
      </c>
      <c r="B342" s="255">
        <v>509.71519651191556</v>
      </c>
    </row>
    <row r="343" spans="1:2" x14ac:dyDescent="0.3">
      <c r="A343" s="139" t="s">
        <v>92</v>
      </c>
      <c r="B343" s="255">
        <v>38.272838972106115</v>
      </c>
    </row>
    <row r="344" spans="1:2" x14ac:dyDescent="0.3">
      <c r="A344" s="139" t="s">
        <v>93</v>
      </c>
      <c r="B344" s="255">
        <v>-155.88381235026606</v>
      </c>
    </row>
    <row r="345" spans="1:2" x14ac:dyDescent="0.3">
      <c r="A345" s="7" t="s">
        <v>53</v>
      </c>
      <c r="B345" s="255">
        <v>-904.57732627456289</v>
      </c>
    </row>
    <row r="346" spans="1:2" x14ac:dyDescent="0.3">
      <c r="A346" s="138" t="s">
        <v>79</v>
      </c>
      <c r="B346" s="255">
        <v>-280.13705544685968</v>
      </c>
    </row>
    <row r="347" spans="1:2" x14ac:dyDescent="0.3">
      <c r="A347" s="139" t="s">
        <v>80</v>
      </c>
      <c r="B347" s="255">
        <v>131.82138226073963</v>
      </c>
    </row>
    <row r="348" spans="1:2" x14ac:dyDescent="0.3">
      <c r="A348" s="139" t="s">
        <v>81</v>
      </c>
      <c r="B348" s="255">
        <v>7.3646851407185636</v>
      </c>
    </row>
    <row r="349" spans="1:2" x14ac:dyDescent="0.3">
      <c r="A349" s="139" t="s">
        <v>82</v>
      </c>
      <c r="B349" s="255">
        <v>-419.32312284831789</v>
      </c>
    </row>
    <row r="350" spans="1:2" x14ac:dyDescent="0.3">
      <c r="A350" s="138" t="s">
        <v>83</v>
      </c>
      <c r="B350" s="255">
        <v>-665.77479197502771</v>
      </c>
    </row>
    <row r="351" spans="1:2" x14ac:dyDescent="0.3">
      <c r="A351" s="139" t="s">
        <v>84</v>
      </c>
      <c r="B351" s="255">
        <v>-208.83169780326548</v>
      </c>
    </row>
    <row r="352" spans="1:2" x14ac:dyDescent="0.3">
      <c r="A352" s="139" t="s">
        <v>85</v>
      </c>
      <c r="B352" s="255">
        <v>82.165341500702198</v>
      </c>
    </row>
    <row r="353" spans="1:2" x14ac:dyDescent="0.3">
      <c r="A353" s="139" t="s">
        <v>86</v>
      </c>
      <c r="B353" s="255">
        <v>-539.10843567246445</v>
      </c>
    </row>
    <row r="354" spans="1:2" x14ac:dyDescent="0.3">
      <c r="A354" s="138" t="s">
        <v>87</v>
      </c>
      <c r="B354" s="255">
        <v>-66.729964996027661</v>
      </c>
    </row>
    <row r="355" spans="1:2" x14ac:dyDescent="0.3">
      <c r="A355" s="139" t="s">
        <v>88</v>
      </c>
      <c r="B355" s="255">
        <v>-211.16122631034443</v>
      </c>
    </row>
    <row r="356" spans="1:2" x14ac:dyDescent="0.3">
      <c r="A356" s="139" t="s">
        <v>89</v>
      </c>
      <c r="B356" s="255">
        <v>153.62670523191991</v>
      </c>
    </row>
    <row r="357" spans="1:2" x14ac:dyDescent="0.3">
      <c r="A357" s="139" t="s">
        <v>169</v>
      </c>
      <c r="B357" s="255">
        <v>-9.1954439176031428</v>
      </c>
    </row>
    <row r="358" spans="1:2" x14ac:dyDescent="0.3">
      <c r="A358" s="138" t="s">
        <v>90</v>
      </c>
      <c r="B358" s="255">
        <v>108.06448614335213</v>
      </c>
    </row>
    <row r="359" spans="1:2" x14ac:dyDescent="0.3">
      <c r="A359" s="139" t="s">
        <v>91</v>
      </c>
      <c r="B359" s="255">
        <v>23.561124112847835</v>
      </c>
    </row>
    <row r="360" spans="1:2" x14ac:dyDescent="0.3">
      <c r="A360" s="139" t="s">
        <v>92</v>
      </c>
      <c r="B360" s="255">
        <v>82.213501954663201</v>
      </c>
    </row>
    <row r="361" spans="1:2" x14ac:dyDescent="0.3">
      <c r="A361" s="139" t="s">
        <v>93</v>
      </c>
      <c r="B361" s="255">
        <v>2.2898600758410907</v>
      </c>
    </row>
    <row r="362" spans="1:2" x14ac:dyDescent="0.3">
      <c r="A362" s="7" t="s">
        <v>54</v>
      </c>
      <c r="B362" s="255">
        <v>-80.769846993864007</v>
      </c>
    </row>
    <row r="363" spans="1:2" x14ac:dyDescent="0.3">
      <c r="A363" s="138" t="s">
        <v>79</v>
      </c>
      <c r="B363" s="255">
        <v>-208.38077376004327</v>
      </c>
    </row>
    <row r="364" spans="1:2" x14ac:dyDescent="0.3">
      <c r="A364" s="139" t="s">
        <v>80</v>
      </c>
      <c r="B364" s="255">
        <v>-473.53348064885006</v>
      </c>
    </row>
    <row r="365" spans="1:2" x14ac:dyDescent="0.3">
      <c r="A365" s="139" t="s">
        <v>81</v>
      </c>
      <c r="B365" s="255">
        <v>52.510049780607659</v>
      </c>
    </row>
    <row r="366" spans="1:2" x14ac:dyDescent="0.3">
      <c r="A366" s="139" t="s">
        <v>82</v>
      </c>
      <c r="B366" s="255">
        <v>212.6426571081991</v>
      </c>
    </row>
    <row r="367" spans="1:2" x14ac:dyDescent="0.3">
      <c r="A367" s="138" t="s">
        <v>83</v>
      </c>
      <c r="B367" s="255">
        <v>-103.96985065455061</v>
      </c>
    </row>
    <row r="368" spans="1:2" x14ac:dyDescent="0.3">
      <c r="A368" s="139" t="s">
        <v>84</v>
      </c>
      <c r="B368" s="255">
        <v>-104.26872527810121</v>
      </c>
    </row>
    <row r="369" spans="1:2" x14ac:dyDescent="0.3">
      <c r="A369" s="139" t="s">
        <v>85</v>
      </c>
      <c r="B369" s="255">
        <v>9.7105409382892844</v>
      </c>
    </row>
    <row r="370" spans="1:2" x14ac:dyDescent="0.3">
      <c r="A370" s="139" t="s">
        <v>86</v>
      </c>
      <c r="B370" s="255">
        <v>-9.4116663147386816</v>
      </c>
    </row>
    <row r="371" spans="1:2" x14ac:dyDescent="0.3">
      <c r="A371" s="138" t="s">
        <v>87</v>
      </c>
      <c r="B371" s="255">
        <v>240.47753413590436</v>
      </c>
    </row>
    <row r="372" spans="1:2" x14ac:dyDescent="0.3">
      <c r="A372" s="139" t="s">
        <v>88</v>
      </c>
      <c r="B372" s="255">
        <v>107.02310144585118</v>
      </c>
    </row>
    <row r="373" spans="1:2" x14ac:dyDescent="0.3">
      <c r="A373" s="139" t="s">
        <v>89</v>
      </c>
      <c r="B373" s="255">
        <v>26.702666350797472</v>
      </c>
    </row>
    <row r="374" spans="1:2" x14ac:dyDescent="0.3">
      <c r="A374" s="139" t="s">
        <v>169</v>
      </c>
      <c r="B374" s="255">
        <v>106.75176633925571</v>
      </c>
    </row>
    <row r="375" spans="1:2" x14ac:dyDescent="0.3">
      <c r="A375" s="138" t="s">
        <v>90</v>
      </c>
      <c r="B375" s="255">
        <v>-8.8967567151744902</v>
      </c>
    </row>
    <row r="376" spans="1:2" x14ac:dyDescent="0.3">
      <c r="A376" s="139" t="s">
        <v>91</v>
      </c>
      <c r="B376" s="255">
        <v>-182.27458030434053</v>
      </c>
    </row>
    <row r="377" spans="1:2" x14ac:dyDescent="0.3">
      <c r="A377" s="139" t="s">
        <v>92</v>
      </c>
      <c r="B377" s="255">
        <v>18.643381374611806</v>
      </c>
    </row>
    <row r="378" spans="1:2" x14ac:dyDescent="0.3">
      <c r="A378" s="139" t="s">
        <v>93</v>
      </c>
      <c r="B378" s="255">
        <v>154.73444221455424</v>
      </c>
    </row>
    <row r="379" spans="1:2" x14ac:dyDescent="0.3">
      <c r="A379" s="7" t="s">
        <v>55</v>
      </c>
      <c r="B379" s="255">
        <v>-88.829599716777523</v>
      </c>
    </row>
    <row r="380" spans="1:2" x14ac:dyDescent="0.3">
      <c r="A380" s="138" t="s">
        <v>79</v>
      </c>
      <c r="B380" s="255">
        <v>47.148865191407225</v>
      </c>
    </row>
    <row r="381" spans="1:2" x14ac:dyDescent="0.3">
      <c r="A381" s="139" t="s">
        <v>80</v>
      </c>
      <c r="B381" s="255">
        <v>-79.537426771696062</v>
      </c>
    </row>
    <row r="382" spans="1:2" x14ac:dyDescent="0.3">
      <c r="A382" s="139" t="s">
        <v>81</v>
      </c>
      <c r="B382" s="255">
        <v>265.1804383214668</v>
      </c>
    </row>
    <row r="383" spans="1:2" x14ac:dyDescent="0.3">
      <c r="A383" s="139" t="s">
        <v>82</v>
      </c>
      <c r="B383" s="255">
        <v>-138.49414635836351</v>
      </c>
    </row>
    <row r="384" spans="1:2" x14ac:dyDescent="0.3">
      <c r="A384" s="138" t="s">
        <v>83</v>
      </c>
      <c r="B384" s="255">
        <v>214.94001970351678</v>
      </c>
    </row>
    <row r="385" spans="1:2" x14ac:dyDescent="0.3">
      <c r="A385" s="139" t="s">
        <v>84</v>
      </c>
      <c r="B385" s="255">
        <v>119.01589575151456</v>
      </c>
    </row>
    <row r="386" spans="1:2" x14ac:dyDescent="0.3">
      <c r="A386" s="139" t="s">
        <v>85</v>
      </c>
      <c r="B386" s="255">
        <v>37.542855914807262</v>
      </c>
    </row>
    <row r="387" spans="1:2" x14ac:dyDescent="0.3">
      <c r="A387" s="139" t="s">
        <v>86</v>
      </c>
      <c r="B387" s="255">
        <v>58.381268037194957</v>
      </c>
    </row>
    <row r="388" spans="1:2" x14ac:dyDescent="0.3">
      <c r="A388" s="138" t="s">
        <v>87</v>
      </c>
      <c r="B388" s="255">
        <v>-207.23803349806792</v>
      </c>
    </row>
    <row r="389" spans="1:2" x14ac:dyDescent="0.3">
      <c r="A389" s="139" t="s">
        <v>88</v>
      </c>
      <c r="B389" s="255">
        <v>117.63450975117439</v>
      </c>
    </row>
    <row r="390" spans="1:2" x14ac:dyDescent="0.3">
      <c r="A390" s="139" t="s">
        <v>89</v>
      </c>
      <c r="B390" s="255">
        <v>-139.92417161662593</v>
      </c>
    </row>
    <row r="391" spans="1:2" x14ac:dyDescent="0.3">
      <c r="A391" s="139" t="s">
        <v>169</v>
      </c>
      <c r="B391" s="255">
        <v>-184.94837163261639</v>
      </c>
    </row>
    <row r="392" spans="1:2" x14ac:dyDescent="0.3">
      <c r="A392" s="138" t="s">
        <v>90</v>
      </c>
      <c r="B392" s="255">
        <v>-143.68045111363364</v>
      </c>
    </row>
    <row r="393" spans="1:2" x14ac:dyDescent="0.3">
      <c r="A393" s="139" t="s">
        <v>91</v>
      </c>
      <c r="B393" s="255">
        <v>-176.64320906153245</v>
      </c>
    </row>
    <row r="394" spans="1:2" x14ac:dyDescent="0.3">
      <c r="A394" s="139" t="s">
        <v>92</v>
      </c>
      <c r="B394" s="255">
        <v>-206.11648727305396</v>
      </c>
    </row>
    <row r="395" spans="1:2" x14ac:dyDescent="0.3">
      <c r="A395" s="139" t="s">
        <v>93</v>
      </c>
      <c r="B395" s="255">
        <v>239.07924522095277</v>
      </c>
    </row>
    <row r="396" spans="1:2" x14ac:dyDescent="0.3">
      <c r="A396" s="7" t="s">
        <v>56</v>
      </c>
      <c r="B396" s="255">
        <v>894.1395671945254</v>
      </c>
    </row>
    <row r="397" spans="1:2" x14ac:dyDescent="0.3">
      <c r="A397" s="138" t="s">
        <v>79</v>
      </c>
      <c r="B397" s="255">
        <v>-99.043155977498486</v>
      </c>
    </row>
    <row r="398" spans="1:2" x14ac:dyDescent="0.3">
      <c r="A398" s="139" t="s">
        <v>80</v>
      </c>
      <c r="B398" s="255">
        <v>-582.40019185129654</v>
      </c>
    </row>
    <row r="399" spans="1:2" x14ac:dyDescent="0.3">
      <c r="A399" s="139" t="s">
        <v>81</v>
      </c>
      <c r="B399" s="255">
        <v>224.57225994534758</v>
      </c>
    </row>
    <row r="400" spans="1:2" x14ac:dyDescent="0.3">
      <c r="A400" s="139" t="s">
        <v>82</v>
      </c>
      <c r="B400" s="255">
        <v>258.78477592845047</v>
      </c>
    </row>
    <row r="401" spans="1:2" x14ac:dyDescent="0.3">
      <c r="A401" s="138" t="s">
        <v>83</v>
      </c>
      <c r="B401" s="255">
        <v>496.83808811397148</v>
      </c>
    </row>
    <row r="402" spans="1:2" x14ac:dyDescent="0.3">
      <c r="A402" s="139" t="s">
        <v>84</v>
      </c>
      <c r="B402" s="255">
        <v>-213.23370342706056</v>
      </c>
    </row>
    <row r="403" spans="1:2" x14ac:dyDescent="0.3">
      <c r="A403" s="139" t="s">
        <v>85</v>
      </c>
      <c r="B403" s="255">
        <v>-32.642225621051296</v>
      </c>
    </row>
    <row r="404" spans="1:2" x14ac:dyDescent="0.3">
      <c r="A404" s="139" t="s">
        <v>86</v>
      </c>
      <c r="B404" s="255">
        <v>742.71401716208334</v>
      </c>
    </row>
    <row r="405" spans="1:2" x14ac:dyDescent="0.3">
      <c r="A405" s="138" t="s">
        <v>87</v>
      </c>
      <c r="B405" s="255">
        <v>395.90825869729383</v>
      </c>
    </row>
    <row r="406" spans="1:2" x14ac:dyDescent="0.3">
      <c r="A406" s="139" t="s">
        <v>88</v>
      </c>
      <c r="B406" s="255">
        <v>33.24567121914302</v>
      </c>
    </row>
    <row r="407" spans="1:2" x14ac:dyDescent="0.3">
      <c r="A407" s="139" t="s">
        <v>89</v>
      </c>
      <c r="B407" s="255">
        <v>60.385822933848658</v>
      </c>
    </row>
    <row r="408" spans="1:2" x14ac:dyDescent="0.3">
      <c r="A408" s="139" t="s">
        <v>169</v>
      </c>
      <c r="B408" s="255">
        <v>302.27676454430218</v>
      </c>
    </row>
    <row r="409" spans="1:2" x14ac:dyDescent="0.3">
      <c r="A409" s="138" t="s">
        <v>90</v>
      </c>
      <c r="B409" s="255">
        <v>100.43637636075846</v>
      </c>
    </row>
    <row r="410" spans="1:2" x14ac:dyDescent="0.3">
      <c r="A410" s="139" t="s">
        <v>91</v>
      </c>
      <c r="B410" s="255">
        <v>-234.6607745438302</v>
      </c>
    </row>
    <row r="411" spans="1:2" x14ac:dyDescent="0.3">
      <c r="A411" s="139" t="s">
        <v>92</v>
      </c>
      <c r="B411" s="255">
        <v>108.78056229422896</v>
      </c>
    </row>
    <row r="412" spans="1:2" x14ac:dyDescent="0.3">
      <c r="A412" s="139" t="s">
        <v>93</v>
      </c>
      <c r="B412" s="255">
        <v>226.3165886103597</v>
      </c>
    </row>
    <row r="413" spans="1:2" x14ac:dyDescent="0.3">
      <c r="A413" s="7" t="s">
        <v>57</v>
      </c>
      <c r="B413" s="255">
        <v>1662.811930647026</v>
      </c>
    </row>
    <row r="414" spans="1:2" x14ac:dyDescent="0.3">
      <c r="A414" s="138" t="s">
        <v>79</v>
      </c>
      <c r="B414" s="255">
        <v>828.69745002106129</v>
      </c>
    </row>
    <row r="415" spans="1:2" x14ac:dyDescent="0.3">
      <c r="A415" s="139" t="s">
        <v>80</v>
      </c>
      <c r="B415" s="255">
        <v>287.03333082722531</v>
      </c>
    </row>
    <row r="416" spans="1:2" x14ac:dyDescent="0.3">
      <c r="A416" s="139" t="s">
        <v>81</v>
      </c>
      <c r="B416" s="255">
        <v>67.721303889475053</v>
      </c>
    </row>
    <row r="417" spans="1:2" x14ac:dyDescent="0.3">
      <c r="A417" s="139" t="s">
        <v>82</v>
      </c>
      <c r="B417" s="255">
        <v>473.94281530436098</v>
      </c>
    </row>
    <row r="418" spans="1:2" x14ac:dyDescent="0.3">
      <c r="A418" s="138" t="s">
        <v>83</v>
      </c>
      <c r="B418" s="255">
        <v>106.56890566746347</v>
      </c>
    </row>
    <row r="419" spans="1:2" x14ac:dyDescent="0.3">
      <c r="A419" s="139" t="s">
        <v>84</v>
      </c>
      <c r="B419" s="255">
        <v>-407.28836194435667</v>
      </c>
    </row>
    <row r="420" spans="1:2" x14ac:dyDescent="0.3">
      <c r="A420" s="139" t="s">
        <v>85</v>
      </c>
      <c r="B420" s="255">
        <v>253.03873251783983</v>
      </c>
    </row>
    <row r="421" spans="1:2" x14ac:dyDescent="0.3">
      <c r="A421" s="139" t="s">
        <v>86</v>
      </c>
      <c r="B421" s="255">
        <v>260.8185350939803</v>
      </c>
    </row>
    <row r="422" spans="1:2" x14ac:dyDescent="0.3">
      <c r="A422" s="138" t="s">
        <v>87</v>
      </c>
      <c r="B422" s="255">
        <v>137.69460458629834</v>
      </c>
    </row>
    <row r="423" spans="1:2" x14ac:dyDescent="0.3">
      <c r="A423" s="139" t="s">
        <v>88</v>
      </c>
      <c r="B423" s="255">
        <v>-29.028332961272724</v>
      </c>
    </row>
    <row r="424" spans="1:2" x14ac:dyDescent="0.3">
      <c r="A424" s="139" t="s">
        <v>89</v>
      </c>
      <c r="B424" s="255">
        <v>179.36417449798876</v>
      </c>
    </row>
    <row r="425" spans="1:2" x14ac:dyDescent="0.3">
      <c r="A425" s="139" t="s">
        <v>169</v>
      </c>
      <c r="B425" s="255">
        <v>-12.641236950417692</v>
      </c>
    </row>
    <row r="426" spans="1:2" x14ac:dyDescent="0.3">
      <c r="A426" s="138" t="s">
        <v>90</v>
      </c>
      <c r="B426" s="255">
        <v>589.85097037220316</v>
      </c>
    </row>
    <row r="427" spans="1:2" x14ac:dyDescent="0.3">
      <c r="A427" s="139" t="s">
        <v>91</v>
      </c>
      <c r="B427" s="255">
        <v>-67.212958431550248</v>
      </c>
    </row>
    <row r="428" spans="1:2" x14ac:dyDescent="0.3">
      <c r="A428" s="139" t="s">
        <v>92</v>
      </c>
      <c r="B428" s="255">
        <v>185.4783228441068</v>
      </c>
    </row>
    <row r="429" spans="1:2" x14ac:dyDescent="0.3">
      <c r="A429" s="139" t="s">
        <v>93</v>
      </c>
      <c r="B429" s="255">
        <v>471.58560595964667</v>
      </c>
    </row>
    <row r="430" spans="1:2" x14ac:dyDescent="0.3">
      <c r="A430" s="7" t="s">
        <v>58</v>
      </c>
      <c r="B430" s="255">
        <v>1312.6650355104491</v>
      </c>
    </row>
    <row r="431" spans="1:2" x14ac:dyDescent="0.3">
      <c r="A431" s="138" t="s">
        <v>79</v>
      </c>
      <c r="B431" s="255">
        <v>618.4951164426559</v>
      </c>
    </row>
    <row r="432" spans="1:2" x14ac:dyDescent="0.3">
      <c r="A432" s="139" t="s">
        <v>80</v>
      </c>
      <c r="B432" s="255">
        <v>174.2005148501911</v>
      </c>
    </row>
    <row r="433" spans="1:2" x14ac:dyDescent="0.3">
      <c r="A433" s="139" t="s">
        <v>81</v>
      </c>
      <c r="B433" s="255">
        <v>501.64439826564001</v>
      </c>
    </row>
    <row r="434" spans="1:2" x14ac:dyDescent="0.3">
      <c r="A434" s="139" t="s">
        <v>82</v>
      </c>
      <c r="B434" s="255">
        <v>-57.349796673175263</v>
      </c>
    </row>
    <row r="435" spans="1:2" x14ac:dyDescent="0.3">
      <c r="A435" s="138" t="s">
        <v>83</v>
      </c>
      <c r="B435" s="255">
        <v>-222.46383203504172</v>
      </c>
    </row>
    <row r="436" spans="1:2" x14ac:dyDescent="0.3">
      <c r="A436" s="139" t="s">
        <v>84</v>
      </c>
      <c r="B436" s="255">
        <v>-205.16957029670061</v>
      </c>
    </row>
    <row r="437" spans="1:2" x14ac:dyDescent="0.3">
      <c r="A437" s="139" t="s">
        <v>85</v>
      </c>
      <c r="B437" s="255">
        <v>-133.25664071490326</v>
      </c>
    </row>
    <row r="438" spans="1:2" x14ac:dyDescent="0.3">
      <c r="A438" s="139" t="s">
        <v>86</v>
      </c>
      <c r="B438" s="255">
        <v>115.96237897656215</v>
      </c>
    </row>
    <row r="439" spans="1:2" x14ac:dyDescent="0.3">
      <c r="A439" s="138" t="s">
        <v>87</v>
      </c>
      <c r="B439" s="255">
        <v>371.92707804353324</v>
      </c>
    </row>
    <row r="440" spans="1:2" x14ac:dyDescent="0.3">
      <c r="A440" s="139" t="s">
        <v>88</v>
      </c>
      <c r="B440" s="255">
        <v>116.25190226723072</v>
      </c>
    </row>
    <row r="441" spans="1:2" x14ac:dyDescent="0.3">
      <c r="A441" s="139" t="s">
        <v>89</v>
      </c>
      <c r="B441" s="255">
        <v>206.77862821592254</v>
      </c>
    </row>
    <row r="442" spans="1:2" x14ac:dyDescent="0.3">
      <c r="A442" s="139" t="s">
        <v>169</v>
      </c>
      <c r="B442" s="255">
        <v>48.896547560379986</v>
      </c>
    </row>
    <row r="443" spans="1:2" x14ac:dyDescent="0.3">
      <c r="A443" s="138" t="s">
        <v>90</v>
      </c>
      <c r="B443" s="255">
        <v>544.70667305930169</v>
      </c>
    </row>
    <row r="444" spans="1:2" x14ac:dyDescent="0.3">
      <c r="A444" s="139" t="s">
        <v>91</v>
      </c>
      <c r="B444" s="255">
        <v>-56.959170414755704</v>
      </c>
    </row>
    <row r="445" spans="1:2" x14ac:dyDescent="0.3">
      <c r="A445" s="139" t="s">
        <v>92</v>
      </c>
      <c r="B445" s="255">
        <v>150.9714524665697</v>
      </c>
    </row>
    <row r="446" spans="1:2" x14ac:dyDescent="0.3">
      <c r="A446" s="139" t="s">
        <v>93</v>
      </c>
      <c r="B446" s="255">
        <v>450.69439100748764</v>
      </c>
    </row>
    <row r="447" spans="1:2" x14ac:dyDescent="0.3">
      <c r="A447" s="7" t="s">
        <v>59</v>
      </c>
      <c r="B447" s="255">
        <v>2651.8370452293184</v>
      </c>
    </row>
    <row r="448" spans="1:2" x14ac:dyDescent="0.3">
      <c r="A448" s="138" t="s">
        <v>79</v>
      </c>
      <c r="B448" s="255">
        <v>1431.2678622809788</v>
      </c>
    </row>
    <row r="449" spans="1:2" x14ac:dyDescent="0.3">
      <c r="A449" s="139" t="s">
        <v>80</v>
      </c>
      <c r="B449" s="255">
        <v>785.33871387219119</v>
      </c>
    </row>
    <row r="450" spans="1:2" x14ac:dyDescent="0.3">
      <c r="A450" s="139" t="s">
        <v>81</v>
      </c>
      <c r="B450" s="255">
        <v>585.32659952741915</v>
      </c>
    </row>
    <row r="451" spans="1:2" x14ac:dyDescent="0.3">
      <c r="A451" s="139" t="s">
        <v>82</v>
      </c>
      <c r="B451" s="255">
        <v>60.602548881368421</v>
      </c>
    </row>
    <row r="452" spans="1:2" x14ac:dyDescent="0.3">
      <c r="A452" s="138" t="s">
        <v>83</v>
      </c>
      <c r="B452" s="255">
        <v>-262.47164352368708</v>
      </c>
    </row>
    <row r="453" spans="1:2" x14ac:dyDescent="0.3">
      <c r="A453" s="139" t="s">
        <v>84</v>
      </c>
      <c r="B453" s="255">
        <v>-383.78022298607527</v>
      </c>
    </row>
    <row r="454" spans="1:2" x14ac:dyDescent="0.3">
      <c r="A454" s="139" t="s">
        <v>85</v>
      </c>
      <c r="B454" s="255">
        <v>171.80777235171007</v>
      </c>
    </row>
    <row r="455" spans="1:2" x14ac:dyDescent="0.3">
      <c r="A455" s="139" t="s">
        <v>86</v>
      </c>
      <c r="B455" s="255">
        <v>-50.499192889321876</v>
      </c>
    </row>
    <row r="456" spans="1:2" x14ac:dyDescent="0.3">
      <c r="A456" s="138" t="s">
        <v>87</v>
      </c>
      <c r="B456" s="255">
        <v>707.49624146229246</v>
      </c>
    </row>
    <row r="457" spans="1:2" x14ac:dyDescent="0.3">
      <c r="A457" s="139" t="s">
        <v>88</v>
      </c>
      <c r="B457" s="255">
        <v>176.09686952787894</v>
      </c>
    </row>
    <row r="458" spans="1:2" x14ac:dyDescent="0.3">
      <c r="A458" s="139" t="s">
        <v>89</v>
      </c>
      <c r="B458" s="255">
        <v>779.17437343421852</v>
      </c>
    </row>
    <row r="459" spans="1:2" x14ac:dyDescent="0.3">
      <c r="A459" s="139" t="s">
        <v>169</v>
      </c>
      <c r="B459" s="255">
        <v>-247.77500149980494</v>
      </c>
    </row>
    <row r="460" spans="1:2" x14ac:dyDescent="0.3">
      <c r="A460" s="138" t="s">
        <v>90</v>
      </c>
      <c r="B460" s="255">
        <v>775.54458500973419</v>
      </c>
    </row>
    <row r="461" spans="1:2" x14ac:dyDescent="0.3">
      <c r="A461" s="139" t="s">
        <v>91</v>
      </c>
      <c r="B461" s="255">
        <v>-122.87639327867669</v>
      </c>
    </row>
    <row r="462" spans="1:2" x14ac:dyDescent="0.3">
      <c r="A462" s="139" t="s">
        <v>92</v>
      </c>
      <c r="B462" s="255">
        <v>457.00897601881678</v>
      </c>
    </row>
    <row r="463" spans="1:2" x14ac:dyDescent="0.3">
      <c r="A463" s="139" t="s">
        <v>93</v>
      </c>
      <c r="B463" s="255">
        <v>441.4120022695941</v>
      </c>
    </row>
    <row r="464" spans="1:2" x14ac:dyDescent="0.3">
      <c r="A464" s="7" t="s">
        <v>60</v>
      </c>
      <c r="B464" s="255">
        <v>1262.3139904756413</v>
      </c>
    </row>
    <row r="465" spans="1:2" x14ac:dyDescent="0.3">
      <c r="A465" s="138" t="s">
        <v>79</v>
      </c>
      <c r="B465" s="255">
        <v>385.82384968532642</v>
      </c>
    </row>
    <row r="466" spans="1:2" x14ac:dyDescent="0.3">
      <c r="A466" s="139" t="s">
        <v>80</v>
      </c>
      <c r="B466" s="255">
        <v>63.554402158130472</v>
      </c>
    </row>
    <row r="467" spans="1:2" x14ac:dyDescent="0.3">
      <c r="A467" s="139" t="s">
        <v>81</v>
      </c>
      <c r="B467" s="255">
        <v>294.09970014657819</v>
      </c>
    </row>
    <row r="468" spans="1:2" x14ac:dyDescent="0.3">
      <c r="A468" s="139" t="s">
        <v>82</v>
      </c>
      <c r="B468" s="255">
        <v>28.169747380617764</v>
      </c>
    </row>
    <row r="469" spans="1:2" x14ac:dyDescent="0.3">
      <c r="A469" s="138" t="s">
        <v>83</v>
      </c>
      <c r="B469" s="255">
        <v>58.675094139070779</v>
      </c>
    </row>
    <row r="470" spans="1:2" x14ac:dyDescent="0.3">
      <c r="A470" s="139" t="s">
        <v>84</v>
      </c>
      <c r="B470" s="255">
        <v>120.31555049159704</v>
      </c>
    </row>
    <row r="471" spans="1:2" x14ac:dyDescent="0.3">
      <c r="A471" s="139" t="s">
        <v>85</v>
      </c>
      <c r="B471" s="255">
        <v>-86.826281397467085</v>
      </c>
    </row>
    <row r="472" spans="1:2" x14ac:dyDescent="0.3">
      <c r="A472" s="139" t="s">
        <v>86</v>
      </c>
      <c r="B472" s="255">
        <v>25.185825044940827</v>
      </c>
    </row>
    <row r="473" spans="1:2" x14ac:dyDescent="0.3">
      <c r="A473" s="138" t="s">
        <v>87</v>
      </c>
      <c r="B473" s="255">
        <v>987.49120668834837</v>
      </c>
    </row>
    <row r="474" spans="1:2" x14ac:dyDescent="0.3">
      <c r="A474" s="139" t="s">
        <v>88</v>
      </c>
      <c r="B474" s="255">
        <v>354.01722152362731</v>
      </c>
    </row>
    <row r="475" spans="1:2" x14ac:dyDescent="0.3">
      <c r="A475" s="139" t="s">
        <v>89</v>
      </c>
      <c r="B475" s="255">
        <v>273.08499607777782</v>
      </c>
    </row>
    <row r="476" spans="1:2" x14ac:dyDescent="0.3">
      <c r="A476" s="139" t="s">
        <v>169</v>
      </c>
      <c r="B476" s="255">
        <v>360.3889890869433</v>
      </c>
    </row>
    <row r="477" spans="1:2" x14ac:dyDescent="0.3">
      <c r="A477" s="138" t="s">
        <v>90</v>
      </c>
      <c r="B477" s="255">
        <v>-169.67616003710418</v>
      </c>
    </row>
    <row r="478" spans="1:2" x14ac:dyDescent="0.3">
      <c r="A478" s="139" t="s">
        <v>91</v>
      </c>
      <c r="B478" s="255">
        <v>411.10762966195921</v>
      </c>
    </row>
    <row r="479" spans="1:2" x14ac:dyDescent="0.3">
      <c r="A479" s="139" t="s">
        <v>92</v>
      </c>
      <c r="B479" s="255">
        <v>199.43989963936616</v>
      </c>
    </row>
    <row r="480" spans="1:2" x14ac:dyDescent="0.3">
      <c r="A480" s="139" t="s">
        <v>93</v>
      </c>
      <c r="B480" s="255">
        <v>-780.22368933842949</v>
      </c>
    </row>
    <row r="481" spans="1:2" x14ac:dyDescent="0.3">
      <c r="A481" s="7" t="s">
        <v>61</v>
      </c>
      <c r="B481" s="255">
        <v>2182.8948154451123</v>
      </c>
    </row>
    <row r="482" spans="1:2" x14ac:dyDescent="0.3">
      <c r="A482" s="138" t="s">
        <v>79</v>
      </c>
      <c r="B482" s="255">
        <v>-92.301754278534702</v>
      </c>
    </row>
    <row r="483" spans="1:2" x14ac:dyDescent="0.3">
      <c r="A483" s="139" t="s">
        <v>80</v>
      </c>
      <c r="B483" s="255">
        <v>188.5973268005738</v>
      </c>
    </row>
    <row r="484" spans="1:2" x14ac:dyDescent="0.3">
      <c r="A484" s="139" t="s">
        <v>81</v>
      </c>
      <c r="B484" s="255">
        <v>-500.09971770776843</v>
      </c>
    </row>
    <row r="485" spans="1:2" x14ac:dyDescent="0.3">
      <c r="A485" s="139" t="s">
        <v>82</v>
      </c>
      <c r="B485" s="255">
        <v>219.20063662865994</v>
      </c>
    </row>
    <row r="486" spans="1:2" x14ac:dyDescent="0.3">
      <c r="A486" s="138" t="s">
        <v>83</v>
      </c>
      <c r="B486" s="255">
        <v>744.83628466176947</v>
      </c>
    </row>
    <row r="487" spans="1:2" x14ac:dyDescent="0.3">
      <c r="A487" s="139" t="s">
        <v>84</v>
      </c>
      <c r="B487" s="255">
        <v>74.385212999469786</v>
      </c>
    </row>
    <row r="488" spans="1:2" x14ac:dyDescent="0.3">
      <c r="A488" s="139" t="s">
        <v>85</v>
      </c>
      <c r="B488" s="255">
        <v>349.10484305791874</v>
      </c>
    </row>
    <row r="489" spans="1:2" x14ac:dyDescent="0.3">
      <c r="A489" s="139" t="s">
        <v>86</v>
      </c>
      <c r="B489" s="255">
        <v>321.34622860438094</v>
      </c>
    </row>
    <row r="490" spans="1:2" x14ac:dyDescent="0.3">
      <c r="A490" s="138" t="s">
        <v>87</v>
      </c>
      <c r="B490" s="255">
        <v>570.86993048658269</v>
      </c>
    </row>
    <row r="491" spans="1:2" x14ac:dyDescent="0.3">
      <c r="A491" s="139" t="s">
        <v>88</v>
      </c>
      <c r="B491" s="255">
        <v>125.83268545284386</v>
      </c>
    </row>
    <row r="492" spans="1:2" x14ac:dyDescent="0.3">
      <c r="A492" s="139" t="s">
        <v>89</v>
      </c>
      <c r="B492" s="255">
        <v>208.40311892987006</v>
      </c>
    </row>
    <row r="493" spans="1:2" x14ac:dyDescent="0.3">
      <c r="A493" s="139" t="s">
        <v>169</v>
      </c>
      <c r="B493" s="255">
        <v>236.63412610386882</v>
      </c>
    </row>
    <row r="494" spans="1:2" x14ac:dyDescent="0.3">
      <c r="A494" s="138" t="s">
        <v>90</v>
      </c>
      <c r="B494" s="255">
        <v>959.49035457529476</v>
      </c>
    </row>
    <row r="495" spans="1:2" x14ac:dyDescent="0.3">
      <c r="A495" s="139" t="s">
        <v>91</v>
      </c>
      <c r="B495" s="255">
        <v>85.971558992443079</v>
      </c>
    </row>
    <row r="496" spans="1:2" x14ac:dyDescent="0.3">
      <c r="A496" s="139" t="s">
        <v>92</v>
      </c>
      <c r="B496" s="255">
        <v>241.40778013997993</v>
      </c>
    </row>
    <row r="497" spans="1:2" x14ac:dyDescent="0.3">
      <c r="A497" s="139" t="s">
        <v>93</v>
      </c>
      <c r="B497" s="255">
        <v>632.1110154428718</v>
      </c>
    </row>
    <row r="498" spans="1:2" x14ac:dyDescent="0.3">
      <c r="A498" s="7" t="s">
        <v>62</v>
      </c>
      <c r="B498" s="255">
        <v>3015.4691278381106</v>
      </c>
    </row>
    <row r="499" spans="1:2" x14ac:dyDescent="0.3">
      <c r="A499" s="138" t="s">
        <v>79</v>
      </c>
      <c r="B499" s="255">
        <v>651.03316403226086</v>
      </c>
    </row>
    <row r="500" spans="1:2" x14ac:dyDescent="0.3">
      <c r="A500" s="139" t="s">
        <v>80</v>
      </c>
      <c r="B500" s="255">
        <v>388.5137386072081</v>
      </c>
    </row>
    <row r="501" spans="1:2" x14ac:dyDescent="0.3">
      <c r="A501" s="139" t="s">
        <v>81</v>
      </c>
      <c r="B501" s="255">
        <v>-475.03726022827811</v>
      </c>
    </row>
    <row r="502" spans="1:2" x14ac:dyDescent="0.3">
      <c r="A502" s="139" t="s">
        <v>82</v>
      </c>
      <c r="B502" s="255">
        <v>737.55668565333087</v>
      </c>
    </row>
    <row r="503" spans="1:2" x14ac:dyDescent="0.3">
      <c r="A503" s="138" t="s">
        <v>83</v>
      </c>
      <c r="B503" s="255">
        <v>1034.2046871991836</v>
      </c>
    </row>
    <row r="504" spans="1:2" x14ac:dyDescent="0.3">
      <c r="A504" s="139" t="s">
        <v>84</v>
      </c>
      <c r="B504" s="255">
        <v>179.94130980345585</v>
      </c>
    </row>
    <row r="505" spans="1:2" x14ac:dyDescent="0.3">
      <c r="A505" s="139" t="s">
        <v>85</v>
      </c>
      <c r="B505" s="255">
        <v>320.91350925490576</v>
      </c>
    </row>
    <row r="506" spans="1:2" x14ac:dyDescent="0.3">
      <c r="A506" s="139" t="s">
        <v>86</v>
      </c>
      <c r="B506" s="255">
        <v>533.34986814082197</v>
      </c>
    </row>
    <row r="507" spans="1:2" x14ac:dyDescent="0.3">
      <c r="A507" s="138" t="s">
        <v>87</v>
      </c>
      <c r="B507" s="255">
        <v>279.77398107031689</v>
      </c>
    </row>
    <row r="508" spans="1:2" x14ac:dyDescent="0.3">
      <c r="A508" s="139" t="s">
        <v>88</v>
      </c>
      <c r="B508" s="255">
        <v>71.987851959108411</v>
      </c>
    </row>
    <row r="509" spans="1:2" x14ac:dyDescent="0.3">
      <c r="A509" s="139" t="s">
        <v>89</v>
      </c>
      <c r="B509" s="255">
        <v>32.60139378155867</v>
      </c>
    </row>
    <row r="510" spans="1:2" x14ac:dyDescent="0.3">
      <c r="A510" s="139" t="s">
        <v>169</v>
      </c>
      <c r="B510" s="255">
        <v>175.18473532964981</v>
      </c>
    </row>
    <row r="511" spans="1:2" x14ac:dyDescent="0.3">
      <c r="A511" s="138" t="s">
        <v>90</v>
      </c>
      <c r="B511" s="255">
        <v>1050.4572955363494</v>
      </c>
    </row>
    <row r="512" spans="1:2" x14ac:dyDescent="0.3">
      <c r="A512" s="139" t="s">
        <v>91</v>
      </c>
      <c r="B512" s="255">
        <v>442.2864942530876</v>
      </c>
    </row>
    <row r="513" spans="1:2" x14ac:dyDescent="0.3">
      <c r="A513" s="139" t="s">
        <v>92</v>
      </c>
      <c r="B513" s="255">
        <v>69.494017750783883</v>
      </c>
    </row>
    <row r="514" spans="1:2" x14ac:dyDescent="0.3">
      <c r="A514" s="139" t="s">
        <v>93</v>
      </c>
      <c r="B514" s="255">
        <v>538.67678353247788</v>
      </c>
    </row>
    <row r="515" spans="1:2" x14ac:dyDescent="0.3">
      <c r="A515" s="7" t="s">
        <v>63</v>
      </c>
      <c r="B515" s="255">
        <v>4177.052271559126</v>
      </c>
    </row>
    <row r="516" spans="1:2" x14ac:dyDescent="0.3">
      <c r="A516" s="138" t="s">
        <v>79</v>
      </c>
      <c r="B516" s="255">
        <v>1496.2758347979654</v>
      </c>
    </row>
    <row r="517" spans="1:2" x14ac:dyDescent="0.3">
      <c r="A517" s="139" t="s">
        <v>80</v>
      </c>
      <c r="B517" s="255">
        <v>207.85436959909271</v>
      </c>
    </row>
    <row r="518" spans="1:2" x14ac:dyDescent="0.3">
      <c r="A518" s="139" t="s">
        <v>81</v>
      </c>
      <c r="B518" s="255">
        <v>928.08661163958561</v>
      </c>
    </row>
    <row r="519" spans="1:2" x14ac:dyDescent="0.3">
      <c r="A519" s="139" t="s">
        <v>82</v>
      </c>
      <c r="B519" s="255">
        <v>360.33485355928701</v>
      </c>
    </row>
    <row r="520" spans="1:2" x14ac:dyDescent="0.3">
      <c r="A520" s="138" t="s">
        <v>83</v>
      </c>
      <c r="B520" s="255">
        <v>182.82793818193591</v>
      </c>
    </row>
    <row r="521" spans="1:2" x14ac:dyDescent="0.3">
      <c r="A521" s="139" t="s">
        <v>84</v>
      </c>
      <c r="B521" s="255">
        <v>-173.23226185861427</v>
      </c>
    </row>
    <row r="522" spans="1:2" x14ac:dyDescent="0.3">
      <c r="A522" s="139" t="s">
        <v>85</v>
      </c>
      <c r="B522" s="255">
        <v>197.74754777324881</v>
      </c>
    </row>
    <row r="523" spans="1:2" x14ac:dyDescent="0.3">
      <c r="A523" s="139" t="s">
        <v>86</v>
      </c>
      <c r="B523" s="255">
        <v>158.31265226730136</v>
      </c>
    </row>
    <row r="524" spans="1:2" x14ac:dyDescent="0.3">
      <c r="A524" s="138" t="s">
        <v>87</v>
      </c>
      <c r="B524" s="255">
        <v>763.0290629187042</v>
      </c>
    </row>
    <row r="525" spans="1:2" x14ac:dyDescent="0.3">
      <c r="A525" s="139" t="s">
        <v>88</v>
      </c>
      <c r="B525" s="255">
        <v>138.51404266431769</v>
      </c>
    </row>
    <row r="526" spans="1:2" x14ac:dyDescent="0.3">
      <c r="A526" s="139" t="s">
        <v>89</v>
      </c>
      <c r="B526" s="255">
        <v>378.69190632879872</v>
      </c>
    </row>
    <row r="527" spans="1:2" x14ac:dyDescent="0.3">
      <c r="A527" s="139" t="s">
        <v>169</v>
      </c>
      <c r="B527" s="255">
        <v>245.82311392558779</v>
      </c>
    </row>
    <row r="528" spans="1:2" x14ac:dyDescent="0.3">
      <c r="A528" s="138" t="s">
        <v>90</v>
      </c>
      <c r="B528" s="255">
        <v>1734.9194356605208</v>
      </c>
    </row>
    <row r="529" spans="1:2" x14ac:dyDescent="0.3">
      <c r="A529" s="139" t="s">
        <v>91</v>
      </c>
      <c r="B529" s="255">
        <v>-6.9829741703513264</v>
      </c>
    </row>
    <row r="530" spans="1:2" x14ac:dyDescent="0.3">
      <c r="A530" s="139" t="s">
        <v>92</v>
      </c>
      <c r="B530" s="255">
        <v>337.55278249254138</v>
      </c>
    </row>
    <row r="531" spans="1:2" x14ac:dyDescent="0.3">
      <c r="A531" s="139" t="s">
        <v>93</v>
      </c>
      <c r="B531" s="255">
        <v>1404.3496273383307</v>
      </c>
    </row>
    <row r="532" spans="1:2" x14ac:dyDescent="0.3">
      <c r="A532" s="7" t="s">
        <v>64</v>
      </c>
      <c r="B532" s="255">
        <v>-981.10928300758542</v>
      </c>
    </row>
    <row r="533" spans="1:2" x14ac:dyDescent="0.3">
      <c r="A533" s="138" t="s">
        <v>79</v>
      </c>
      <c r="B533" s="255">
        <v>562.32466276330081</v>
      </c>
    </row>
    <row r="534" spans="1:2" x14ac:dyDescent="0.3">
      <c r="A534" s="139" t="s">
        <v>80</v>
      </c>
      <c r="B534" s="255">
        <v>104.30813870200262</v>
      </c>
    </row>
    <row r="535" spans="1:2" x14ac:dyDescent="0.3">
      <c r="A535" s="139" t="s">
        <v>81</v>
      </c>
      <c r="B535" s="255">
        <v>600.80479861407173</v>
      </c>
    </row>
    <row r="536" spans="1:2" x14ac:dyDescent="0.3">
      <c r="A536" s="139" t="s">
        <v>82</v>
      </c>
      <c r="B536" s="255">
        <v>-142.78827455277349</v>
      </c>
    </row>
    <row r="537" spans="1:2" x14ac:dyDescent="0.3">
      <c r="A537" s="138" t="s">
        <v>83</v>
      </c>
      <c r="B537" s="255">
        <v>403.88084897044882</v>
      </c>
    </row>
    <row r="538" spans="1:2" x14ac:dyDescent="0.3">
      <c r="A538" s="139" t="s">
        <v>84</v>
      </c>
      <c r="B538" s="255">
        <v>237.7965409751705</v>
      </c>
    </row>
    <row r="539" spans="1:2" x14ac:dyDescent="0.3">
      <c r="A539" s="139" t="s">
        <v>85</v>
      </c>
      <c r="B539" s="255">
        <v>-277.05632943920091</v>
      </c>
    </row>
    <row r="540" spans="1:2" x14ac:dyDescent="0.3">
      <c r="A540" s="139" t="s">
        <v>86</v>
      </c>
      <c r="B540" s="255">
        <v>443.14063743447923</v>
      </c>
    </row>
    <row r="541" spans="1:2" x14ac:dyDescent="0.3">
      <c r="A541" s="138" t="s">
        <v>87</v>
      </c>
      <c r="B541" s="255">
        <v>-2492.186299544454</v>
      </c>
    </row>
    <row r="542" spans="1:2" x14ac:dyDescent="0.3">
      <c r="A542" s="139" t="s">
        <v>88</v>
      </c>
      <c r="B542" s="255">
        <v>-1344.8462198676857</v>
      </c>
    </row>
    <row r="543" spans="1:2" x14ac:dyDescent="0.3">
      <c r="A543" s="139" t="s">
        <v>89</v>
      </c>
      <c r="B543" s="255">
        <v>-718.75173339662547</v>
      </c>
    </row>
    <row r="544" spans="1:2" x14ac:dyDescent="0.3">
      <c r="A544" s="139" t="s">
        <v>169</v>
      </c>
      <c r="B544" s="255">
        <v>-428.58834628014267</v>
      </c>
    </row>
    <row r="545" spans="1:2" x14ac:dyDescent="0.3">
      <c r="A545" s="138" t="s">
        <v>90</v>
      </c>
      <c r="B545" s="255">
        <v>544.87150480311868</v>
      </c>
    </row>
    <row r="546" spans="1:2" x14ac:dyDescent="0.3">
      <c r="A546" s="139" t="s">
        <v>91</v>
      </c>
      <c r="B546" s="255">
        <v>107.04207316927091</v>
      </c>
    </row>
    <row r="547" spans="1:2" x14ac:dyDescent="0.3">
      <c r="A547" s="139" t="s">
        <v>92</v>
      </c>
      <c r="B547" s="255">
        <v>307.12094402049468</v>
      </c>
    </row>
    <row r="548" spans="1:2" x14ac:dyDescent="0.3">
      <c r="A548" s="139" t="s">
        <v>93</v>
      </c>
      <c r="B548" s="255">
        <v>130.7084876133531</v>
      </c>
    </row>
    <row r="549" spans="1:2" x14ac:dyDescent="0.3">
      <c r="A549" s="7" t="s">
        <v>65</v>
      </c>
      <c r="B549" s="255">
        <v>1358.4890566368574</v>
      </c>
    </row>
    <row r="550" spans="1:2" x14ac:dyDescent="0.3">
      <c r="A550" s="138" t="s">
        <v>79</v>
      </c>
      <c r="B550" s="255">
        <v>-106.6073712681042</v>
      </c>
    </row>
    <row r="551" spans="1:2" x14ac:dyDescent="0.3">
      <c r="A551" s="139" t="s">
        <v>80</v>
      </c>
      <c r="B551" s="255">
        <v>-385.75975523722377</v>
      </c>
    </row>
    <row r="552" spans="1:2" x14ac:dyDescent="0.3">
      <c r="A552" s="139" t="s">
        <v>81</v>
      </c>
      <c r="B552" s="255">
        <v>-553.45727358300087</v>
      </c>
    </row>
    <row r="553" spans="1:2" x14ac:dyDescent="0.3">
      <c r="A553" s="139" t="s">
        <v>82</v>
      </c>
      <c r="B553" s="255">
        <v>832.60965755212044</v>
      </c>
    </row>
    <row r="554" spans="1:2" x14ac:dyDescent="0.3">
      <c r="A554" s="138" t="s">
        <v>83</v>
      </c>
      <c r="B554" s="255">
        <v>679.26112693643881</v>
      </c>
    </row>
    <row r="555" spans="1:2" x14ac:dyDescent="0.3">
      <c r="A555" s="139" t="s">
        <v>84</v>
      </c>
      <c r="B555" s="255">
        <v>180.42673215134528</v>
      </c>
    </row>
    <row r="556" spans="1:2" x14ac:dyDescent="0.3">
      <c r="A556" s="139" t="s">
        <v>85</v>
      </c>
      <c r="B556" s="255">
        <v>219.16847250407659</v>
      </c>
    </row>
    <row r="557" spans="1:2" x14ac:dyDescent="0.3">
      <c r="A557" s="139" t="s">
        <v>86</v>
      </c>
      <c r="B557" s="255">
        <v>279.66592228101695</v>
      </c>
    </row>
    <row r="558" spans="1:2" x14ac:dyDescent="0.3">
      <c r="A558" s="138" t="s">
        <v>87</v>
      </c>
      <c r="B558" s="255">
        <v>272.76622256579765</v>
      </c>
    </row>
    <row r="559" spans="1:2" x14ac:dyDescent="0.3">
      <c r="A559" s="139" t="s">
        <v>88</v>
      </c>
      <c r="B559" s="255">
        <v>-45.83643072992993</v>
      </c>
    </row>
    <row r="560" spans="1:2" x14ac:dyDescent="0.3">
      <c r="A560" s="139" t="s">
        <v>89</v>
      </c>
      <c r="B560" s="255">
        <v>172.33747967708393</v>
      </c>
    </row>
    <row r="561" spans="1:2" x14ac:dyDescent="0.3">
      <c r="A561" s="139" t="s">
        <v>169</v>
      </c>
      <c r="B561" s="255">
        <v>146.26517361864364</v>
      </c>
    </row>
    <row r="562" spans="1:2" x14ac:dyDescent="0.3">
      <c r="A562" s="138" t="s">
        <v>90</v>
      </c>
      <c r="B562" s="255">
        <v>513.06907840272504</v>
      </c>
    </row>
    <row r="563" spans="1:2" x14ac:dyDescent="0.3">
      <c r="A563" s="139" t="s">
        <v>91</v>
      </c>
      <c r="B563" s="255">
        <v>-20.808333291112149</v>
      </c>
    </row>
    <row r="564" spans="1:2" x14ac:dyDescent="0.3">
      <c r="A564" s="139" t="s">
        <v>92</v>
      </c>
      <c r="B564" s="255">
        <v>221.51168412616778</v>
      </c>
    </row>
    <row r="565" spans="1:2" x14ac:dyDescent="0.3">
      <c r="A565" s="139" t="s">
        <v>93</v>
      </c>
      <c r="B565" s="255">
        <v>312.36572756766941</v>
      </c>
    </row>
    <row r="566" spans="1:2" x14ac:dyDescent="0.3">
      <c r="A566" s="7" t="s">
        <v>66</v>
      </c>
      <c r="B566" s="255">
        <v>2173.0591664774288</v>
      </c>
    </row>
    <row r="567" spans="1:2" x14ac:dyDescent="0.3">
      <c r="A567" s="138" t="s">
        <v>79</v>
      </c>
      <c r="B567" s="255">
        <v>623.94844674493766</v>
      </c>
    </row>
    <row r="568" spans="1:2" x14ac:dyDescent="0.3">
      <c r="A568" s="139" t="s">
        <v>80</v>
      </c>
      <c r="B568" s="255">
        <v>279.24572974673526</v>
      </c>
    </row>
    <row r="569" spans="1:2" x14ac:dyDescent="0.3">
      <c r="A569" s="139" t="s">
        <v>81</v>
      </c>
      <c r="B569" s="255">
        <v>162.36315125608246</v>
      </c>
    </row>
    <row r="570" spans="1:2" x14ac:dyDescent="0.3">
      <c r="A570" s="139" t="s">
        <v>82</v>
      </c>
      <c r="B570" s="255">
        <v>182.33956574211993</v>
      </c>
    </row>
    <row r="571" spans="1:2" x14ac:dyDescent="0.3">
      <c r="A571" s="138" t="s">
        <v>83</v>
      </c>
      <c r="B571" s="255">
        <v>497.78635590023555</v>
      </c>
    </row>
    <row r="572" spans="1:2" x14ac:dyDescent="0.3">
      <c r="A572" s="139" t="s">
        <v>84</v>
      </c>
      <c r="B572" s="255">
        <v>152.51811755454162</v>
      </c>
    </row>
    <row r="573" spans="1:2" x14ac:dyDescent="0.3">
      <c r="A573" s="139" t="s">
        <v>85</v>
      </c>
      <c r="B573" s="255">
        <v>140.65423048773971</v>
      </c>
    </row>
    <row r="574" spans="1:2" x14ac:dyDescent="0.3">
      <c r="A574" s="139" t="s">
        <v>86</v>
      </c>
      <c r="B574" s="255">
        <v>204.61400785795422</v>
      </c>
    </row>
    <row r="575" spans="1:2" x14ac:dyDescent="0.3">
      <c r="A575" s="138" t="s">
        <v>87</v>
      </c>
      <c r="B575" s="255">
        <v>526.14957454913849</v>
      </c>
    </row>
    <row r="576" spans="1:2" x14ac:dyDescent="0.3">
      <c r="A576" s="139" t="s">
        <v>88</v>
      </c>
      <c r="B576" s="255">
        <v>91.775174928733918</v>
      </c>
    </row>
    <row r="577" spans="1:2" x14ac:dyDescent="0.3">
      <c r="A577" s="139" t="s">
        <v>89</v>
      </c>
      <c r="B577" s="255">
        <v>233.52897515530128</v>
      </c>
    </row>
    <row r="578" spans="1:2" x14ac:dyDescent="0.3">
      <c r="A578" s="139" t="s">
        <v>169</v>
      </c>
      <c r="B578" s="255">
        <v>200.84542446510329</v>
      </c>
    </row>
    <row r="579" spans="1:2" x14ac:dyDescent="0.3">
      <c r="A579" s="138" t="s">
        <v>90</v>
      </c>
      <c r="B579" s="255">
        <v>525.17478928311675</v>
      </c>
    </row>
    <row r="580" spans="1:2" x14ac:dyDescent="0.3">
      <c r="A580" s="139" t="s">
        <v>91</v>
      </c>
      <c r="B580" s="255">
        <v>70.299540735854634</v>
      </c>
    </row>
    <row r="581" spans="1:2" x14ac:dyDescent="0.3">
      <c r="A581" s="139" t="s">
        <v>92</v>
      </c>
      <c r="B581" s="255">
        <v>244.70053023781611</v>
      </c>
    </row>
    <row r="582" spans="1:2" x14ac:dyDescent="0.3">
      <c r="A582" s="139" t="s">
        <v>93</v>
      </c>
      <c r="B582" s="255">
        <v>210.17471830944601</v>
      </c>
    </row>
    <row r="583" spans="1:2" x14ac:dyDescent="0.3">
      <c r="A583" s="7" t="s">
        <v>67</v>
      </c>
      <c r="B583" s="255">
        <v>1988.296088848062</v>
      </c>
    </row>
    <row r="584" spans="1:2" x14ac:dyDescent="0.3">
      <c r="A584" s="138" t="s">
        <v>79</v>
      </c>
      <c r="B584" s="255">
        <v>591.70029480343533</v>
      </c>
    </row>
    <row r="585" spans="1:2" x14ac:dyDescent="0.3">
      <c r="A585" s="139" t="s">
        <v>80</v>
      </c>
      <c r="B585" s="255">
        <v>263.06089659400186</v>
      </c>
    </row>
    <row r="586" spans="1:2" x14ac:dyDescent="0.3">
      <c r="A586" s="139" t="s">
        <v>81</v>
      </c>
      <c r="B586" s="255">
        <v>166.3189338855035</v>
      </c>
    </row>
    <row r="587" spans="1:2" x14ac:dyDescent="0.3">
      <c r="A587" s="139" t="s">
        <v>82</v>
      </c>
      <c r="B587" s="255">
        <v>162.32046432392997</v>
      </c>
    </row>
    <row r="588" spans="1:2" x14ac:dyDescent="0.3">
      <c r="A588" s="138" t="s">
        <v>83</v>
      </c>
      <c r="B588" s="255">
        <v>438.60453539473792</v>
      </c>
    </row>
    <row r="589" spans="1:2" x14ac:dyDescent="0.3">
      <c r="A589" s="139" t="s">
        <v>84</v>
      </c>
      <c r="B589" s="255">
        <v>132.68971743732823</v>
      </c>
    </row>
    <row r="590" spans="1:2" x14ac:dyDescent="0.3">
      <c r="A590" s="139" t="s">
        <v>85</v>
      </c>
      <c r="B590" s="255">
        <v>121.09121658130482</v>
      </c>
    </row>
    <row r="591" spans="1:2" x14ac:dyDescent="0.3">
      <c r="A591" s="139" t="s">
        <v>86</v>
      </c>
      <c r="B591" s="255">
        <v>184.82360137610488</v>
      </c>
    </row>
    <row r="592" spans="1:2" x14ac:dyDescent="0.3">
      <c r="A592" s="138" t="s">
        <v>87</v>
      </c>
      <c r="B592" s="255">
        <v>473.65313636213489</v>
      </c>
    </row>
    <row r="593" spans="1:2" x14ac:dyDescent="0.3">
      <c r="A593" s="139" t="s">
        <v>88</v>
      </c>
      <c r="B593" s="255">
        <v>73.570942889758953</v>
      </c>
    </row>
    <row r="594" spans="1:2" x14ac:dyDescent="0.3">
      <c r="A594" s="139" t="s">
        <v>89</v>
      </c>
      <c r="B594" s="255">
        <v>215.96855708225758</v>
      </c>
    </row>
    <row r="595" spans="1:2" x14ac:dyDescent="0.3">
      <c r="A595" s="139" t="s">
        <v>169</v>
      </c>
      <c r="B595" s="255">
        <v>184.11363639011836</v>
      </c>
    </row>
    <row r="596" spans="1:2" x14ac:dyDescent="0.3">
      <c r="A596" s="138" t="s">
        <v>90</v>
      </c>
      <c r="B596" s="255">
        <v>484.33812228775366</v>
      </c>
    </row>
    <row r="597" spans="1:2" x14ac:dyDescent="0.3">
      <c r="A597" s="139" t="s">
        <v>91</v>
      </c>
      <c r="B597" s="255">
        <v>56.188745226013452</v>
      </c>
    </row>
    <row r="598" spans="1:2" x14ac:dyDescent="0.3">
      <c r="A598" s="139" t="s">
        <v>92</v>
      </c>
      <c r="B598" s="255">
        <v>231.00905861274839</v>
      </c>
    </row>
    <row r="599" spans="1:2" x14ac:dyDescent="0.3">
      <c r="A599" s="139" t="s">
        <v>93</v>
      </c>
      <c r="B599" s="255">
        <v>197.14031844899182</v>
      </c>
    </row>
    <row r="600" spans="1:2" x14ac:dyDescent="0.3">
      <c r="A600" s="7" t="s">
        <v>68</v>
      </c>
      <c r="B600" s="255">
        <v>1925.5559384979715</v>
      </c>
    </row>
    <row r="601" spans="1:2" x14ac:dyDescent="0.3">
      <c r="A601" s="138" t="s">
        <v>79</v>
      </c>
      <c r="B601" s="255">
        <v>564.50700106544309</v>
      </c>
    </row>
    <row r="602" spans="1:2" x14ac:dyDescent="0.3">
      <c r="A602" s="139" t="s">
        <v>80</v>
      </c>
      <c r="B602" s="255">
        <v>251.56922485685629</v>
      </c>
    </row>
    <row r="603" spans="1:2" x14ac:dyDescent="0.3">
      <c r="A603" s="139" t="s">
        <v>81</v>
      </c>
      <c r="B603" s="255">
        <v>157.82646512518306</v>
      </c>
    </row>
    <row r="604" spans="1:2" x14ac:dyDescent="0.3">
      <c r="A604" s="139" t="s">
        <v>82</v>
      </c>
      <c r="B604" s="255">
        <v>155.11131108340373</v>
      </c>
    </row>
    <row r="605" spans="1:2" x14ac:dyDescent="0.3">
      <c r="A605" s="138" t="s">
        <v>83</v>
      </c>
      <c r="B605" s="255">
        <v>424.33713884801307</v>
      </c>
    </row>
    <row r="606" spans="1:2" x14ac:dyDescent="0.3">
      <c r="A606" s="139" t="s">
        <v>84</v>
      </c>
      <c r="B606" s="255">
        <v>126.90304438834778</v>
      </c>
    </row>
    <row r="607" spans="1:2" x14ac:dyDescent="0.3">
      <c r="A607" s="139" t="s">
        <v>85</v>
      </c>
      <c r="B607" s="255">
        <v>116.57432996089847</v>
      </c>
    </row>
    <row r="608" spans="1:2" x14ac:dyDescent="0.3">
      <c r="A608" s="139" t="s">
        <v>86</v>
      </c>
      <c r="B608" s="255">
        <v>180.85976449876682</v>
      </c>
    </row>
    <row r="609" spans="1:2" x14ac:dyDescent="0.3">
      <c r="A609" s="138" t="s">
        <v>87</v>
      </c>
      <c r="B609" s="255">
        <v>462.92755292589845</v>
      </c>
    </row>
    <row r="610" spans="1:2" x14ac:dyDescent="0.3">
      <c r="A610" s="139" t="s">
        <v>88</v>
      </c>
      <c r="B610" s="255">
        <v>70.490200435478528</v>
      </c>
    </row>
    <row r="611" spans="1:2" x14ac:dyDescent="0.3">
      <c r="A611" s="139" t="s">
        <v>89</v>
      </c>
      <c r="B611" s="255">
        <v>212.03441113922463</v>
      </c>
    </row>
    <row r="612" spans="1:2" x14ac:dyDescent="0.3">
      <c r="A612" s="139" t="s">
        <v>169</v>
      </c>
      <c r="B612" s="255">
        <v>180.4029413511953</v>
      </c>
    </row>
    <row r="613" spans="1:2" x14ac:dyDescent="0.3">
      <c r="A613" s="138" t="s">
        <v>90</v>
      </c>
      <c r="B613" s="255">
        <v>473.78424565861656</v>
      </c>
    </row>
    <row r="614" spans="1:2" x14ac:dyDescent="0.3">
      <c r="A614" s="139" t="s">
        <v>91</v>
      </c>
      <c r="B614" s="255">
        <v>53.286518825284247</v>
      </c>
    </row>
    <row r="615" spans="1:2" x14ac:dyDescent="0.3">
      <c r="A615" s="139" t="s">
        <v>92</v>
      </c>
      <c r="B615" s="255">
        <v>227.06801932980591</v>
      </c>
    </row>
    <row r="616" spans="1:2" x14ac:dyDescent="0.3">
      <c r="A616" s="139" t="s">
        <v>93</v>
      </c>
      <c r="B616" s="255">
        <v>193.4297075035264</v>
      </c>
    </row>
    <row r="617" spans="1:2" x14ac:dyDescent="0.3">
      <c r="A617" s="7" t="s">
        <v>69</v>
      </c>
      <c r="B617" s="255">
        <v>1884.0892655133562</v>
      </c>
    </row>
    <row r="618" spans="1:2" x14ac:dyDescent="0.3">
      <c r="A618" s="138" t="s">
        <v>79</v>
      </c>
      <c r="B618" s="255">
        <v>552.20070053398968</v>
      </c>
    </row>
    <row r="619" spans="1:2" x14ac:dyDescent="0.3">
      <c r="A619" s="139" t="s">
        <v>80</v>
      </c>
      <c r="B619" s="255">
        <v>247.54550408153227</v>
      </c>
    </row>
    <row r="620" spans="1:2" x14ac:dyDescent="0.3">
      <c r="A620" s="139" t="s">
        <v>81</v>
      </c>
      <c r="B620" s="255">
        <v>152.91926378466701</v>
      </c>
    </row>
    <row r="621" spans="1:2" x14ac:dyDescent="0.3">
      <c r="A621" s="139" t="s">
        <v>82</v>
      </c>
      <c r="B621" s="255">
        <v>151.73593266779039</v>
      </c>
    </row>
    <row r="622" spans="1:2" x14ac:dyDescent="0.3">
      <c r="A622" s="138" t="s">
        <v>83</v>
      </c>
      <c r="B622" s="255">
        <v>414.59928738177211</v>
      </c>
    </row>
    <row r="623" spans="1:2" x14ac:dyDescent="0.3">
      <c r="A623" s="139" t="s">
        <v>84</v>
      </c>
      <c r="B623" s="255">
        <v>123.72453132232079</v>
      </c>
    </row>
    <row r="624" spans="1:2" x14ac:dyDescent="0.3">
      <c r="A624" s="139" t="s">
        <v>85</v>
      </c>
      <c r="B624" s="255">
        <v>113.47840352295589</v>
      </c>
    </row>
    <row r="625" spans="1:2" x14ac:dyDescent="0.3">
      <c r="A625" s="139" t="s">
        <v>86</v>
      </c>
      <c r="B625" s="255">
        <v>177.39635253649544</v>
      </c>
    </row>
    <row r="626" spans="1:2" x14ac:dyDescent="0.3">
      <c r="A626" s="138" t="s">
        <v>87</v>
      </c>
      <c r="B626" s="255">
        <v>453.15239361324302</v>
      </c>
    </row>
    <row r="627" spans="1:2" x14ac:dyDescent="0.3">
      <c r="A627" s="139" t="s">
        <v>88</v>
      </c>
      <c r="B627" s="255">
        <v>67.709731543161411</v>
      </c>
    </row>
    <row r="628" spans="1:2" x14ac:dyDescent="0.3">
      <c r="A628" s="139" t="s">
        <v>89</v>
      </c>
      <c r="B628" s="255">
        <v>208.43208974068762</v>
      </c>
    </row>
    <row r="629" spans="1:2" x14ac:dyDescent="0.3">
      <c r="A629" s="139" t="s">
        <v>169</v>
      </c>
      <c r="B629" s="255">
        <v>177.01057232939399</v>
      </c>
    </row>
    <row r="630" spans="1:2" x14ac:dyDescent="0.3">
      <c r="A630" s="138" t="s">
        <v>90</v>
      </c>
      <c r="B630" s="255">
        <v>464.13688398435136</v>
      </c>
    </row>
    <row r="631" spans="1:2" x14ac:dyDescent="0.3">
      <c r="A631" s="139" t="s">
        <v>91</v>
      </c>
      <c r="B631" s="255">
        <v>50.664852441955645</v>
      </c>
    </row>
    <row r="632" spans="1:2" x14ac:dyDescent="0.3">
      <c r="A632" s="139" t="s">
        <v>92</v>
      </c>
      <c r="B632" s="255">
        <v>223.44670884279651</v>
      </c>
    </row>
    <row r="633" spans="1:2" x14ac:dyDescent="0.3">
      <c r="A633" s="139" t="s">
        <v>93</v>
      </c>
      <c r="B633" s="255">
        <v>190.0253226995992</v>
      </c>
    </row>
    <row r="634" spans="1:2" x14ac:dyDescent="0.3">
      <c r="A634" s="7" t="s">
        <v>70</v>
      </c>
      <c r="B634" s="255">
        <v>1846.4738740139778</v>
      </c>
    </row>
    <row r="635" spans="1:2" x14ac:dyDescent="0.3">
      <c r="A635" s="138" t="s">
        <v>79</v>
      </c>
      <c r="B635" s="255">
        <v>541.42838873253049</v>
      </c>
    </row>
    <row r="636" spans="1:2" x14ac:dyDescent="0.3">
      <c r="A636" s="139" t="s">
        <v>80</v>
      </c>
      <c r="B636" s="255">
        <v>243.83724180251465</v>
      </c>
    </row>
    <row r="637" spans="1:2" x14ac:dyDescent="0.3">
      <c r="A637" s="139" t="s">
        <v>81</v>
      </c>
      <c r="B637" s="255">
        <v>148.94983407579809</v>
      </c>
    </row>
    <row r="638" spans="1:2" x14ac:dyDescent="0.3">
      <c r="A638" s="139" t="s">
        <v>82</v>
      </c>
      <c r="B638" s="255">
        <v>148.64131285421774</v>
      </c>
    </row>
    <row r="639" spans="1:2" x14ac:dyDescent="0.3">
      <c r="A639" s="138" t="s">
        <v>83</v>
      </c>
      <c r="B639" s="255">
        <v>405.66570539783038</v>
      </c>
    </row>
    <row r="640" spans="1:2" x14ac:dyDescent="0.3">
      <c r="A640" s="139" t="s">
        <v>84</v>
      </c>
      <c r="B640" s="255">
        <v>120.81489676653166</v>
      </c>
    </row>
    <row r="641" spans="1:2" x14ac:dyDescent="0.3">
      <c r="A641" s="139" t="s">
        <v>85</v>
      </c>
      <c r="B641" s="255">
        <v>110.64436174314949</v>
      </c>
    </row>
    <row r="642" spans="1:2" x14ac:dyDescent="0.3">
      <c r="A642" s="139" t="s">
        <v>86</v>
      </c>
      <c r="B642" s="255">
        <v>174.20644688814923</v>
      </c>
    </row>
    <row r="643" spans="1:2" x14ac:dyDescent="0.3">
      <c r="A643" s="138" t="s">
        <v>87</v>
      </c>
      <c r="B643" s="255">
        <v>444.15146190771463</v>
      </c>
    </row>
    <row r="644" spans="1:2" x14ac:dyDescent="0.3">
      <c r="A644" s="139" t="s">
        <v>88</v>
      </c>
      <c r="B644" s="255">
        <v>65.171187780923447</v>
      </c>
    </row>
    <row r="645" spans="1:2" x14ac:dyDescent="0.3">
      <c r="A645" s="139" t="s">
        <v>89</v>
      </c>
      <c r="B645" s="255">
        <v>205.10192264018519</v>
      </c>
    </row>
    <row r="646" spans="1:2" x14ac:dyDescent="0.3">
      <c r="A646" s="139" t="s">
        <v>169</v>
      </c>
      <c r="B646" s="255">
        <v>173.87835148660599</v>
      </c>
    </row>
    <row r="647" spans="1:2" x14ac:dyDescent="0.3">
      <c r="A647" s="138" t="s">
        <v>90</v>
      </c>
      <c r="B647" s="255">
        <v>455.22831797590243</v>
      </c>
    </row>
    <row r="648" spans="1:2" x14ac:dyDescent="0.3">
      <c r="A648" s="139" t="s">
        <v>91</v>
      </c>
      <c r="B648" s="255">
        <v>48.268560688528169</v>
      </c>
    </row>
    <row r="649" spans="1:2" x14ac:dyDescent="0.3">
      <c r="A649" s="139" t="s">
        <v>92</v>
      </c>
      <c r="B649" s="255">
        <v>220.0881324045564</v>
      </c>
    </row>
    <row r="650" spans="1:2" x14ac:dyDescent="0.3">
      <c r="A650" s="139" t="s">
        <v>93</v>
      </c>
      <c r="B650" s="255">
        <v>186.87162488281785</v>
      </c>
    </row>
    <row r="651" spans="1:2" x14ac:dyDescent="0.3">
      <c r="A651" s="7" t="s">
        <v>71</v>
      </c>
      <c r="B651" s="255">
        <v>1811.6346645961598</v>
      </c>
    </row>
    <row r="652" spans="1:2" x14ac:dyDescent="0.3">
      <c r="A652" s="138" t="s">
        <v>79</v>
      </c>
      <c r="B652" s="255">
        <v>531.54652589497175</v>
      </c>
    </row>
    <row r="653" spans="1:2" x14ac:dyDescent="0.3">
      <c r="A653" s="139" t="s">
        <v>80</v>
      </c>
      <c r="B653" s="255">
        <v>240.3889248156247</v>
      </c>
    </row>
    <row r="654" spans="1:2" x14ac:dyDescent="0.3">
      <c r="A654" s="139" t="s">
        <v>81</v>
      </c>
      <c r="B654" s="255">
        <v>145.38230882493792</v>
      </c>
    </row>
    <row r="655" spans="1:2" x14ac:dyDescent="0.3">
      <c r="A655" s="139" t="s">
        <v>82</v>
      </c>
      <c r="B655" s="255">
        <v>145.77529225440912</v>
      </c>
    </row>
    <row r="656" spans="1:2" x14ac:dyDescent="0.3">
      <c r="A656" s="138" t="s">
        <v>83</v>
      </c>
      <c r="B656" s="255">
        <v>397.38570027307298</v>
      </c>
    </row>
    <row r="657" spans="1:2" x14ac:dyDescent="0.3">
      <c r="A657" s="139" t="s">
        <v>84</v>
      </c>
      <c r="B657" s="255">
        <v>118.12329781230153</v>
      </c>
    </row>
    <row r="658" spans="1:2" x14ac:dyDescent="0.3">
      <c r="A658" s="139" t="s">
        <v>85</v>
      </c>
      <c r="B658" s="255">
        <v>108.02235979340855</v>
      </c>
    </row>
    <row r="659" spans="1:2" x14ac:dyDescent="0.3">
      <c r="A659" s="139" t="s">
        <v>86</v>
      </c>
      <c r="B659" s="255">
        <v>171.2400426673629</v>
      </c>
    </row>
    <row r="660" spans="1:2" x14ac:dyDescent="0.3">
      <c r="A660" s="138" t="s">
        <v>87</v>
      </c>
      <c r="B660" s="255">
        <v>435.7808719737817</v>
      </c>
    </row>
    <row r="661" spans="1:2" x14ac:dyDescent="0.3">
      <c r="A661" s="139" t="s">
        <v>88</v>
      </c>
      <c r="B661" s="255">
        <v>62.82705817473493</v>
      </c>
    </row>
    <row r="662" spans="1:2" x14ac:dyDescent="0.3">
      <c r="A662" s="139" t="s">
        <v>89</v>
      </c>
      <c r="B662" s="255">
        <v>201.99508721951202</v>
      </c>
    </row>
    <row r="663" spans="1:2" x14ac:dyDescent="0.3">
      <c r="A663" s="139" t="s">
        <v>169</v>
      </c>
      <c r="B663" s="255">
        <v>170.95872657953475</v>
      </c>
    </row>
    <row r="664" spans="1:2" x14ac:dyDescent="0.3">
      <c r="A664" s="138" t="s">
        <v>90</v>
      </c>
      <c r="B664" s="255">
        <v>446.92156645433352</v>
      </c>
    </row>
    <row r="665" spans="1:2" x14ac:dyDescent="0.3">
      <c r="A665" s="139" t="s">
        <v>91</v>
      </c>
      <c r="B665" s="255">
        <v>46.052739631146551</v>
      </c>
    </row>
    <row r="666" spans="1:2" x14ac:dyDescent="0.3">
      <c r="A666" s="139" t="s">
        <v>92</v>
      </c>
      <c r="B666" s="255">
        <v>216.94563045537677</v>
      </c>
    </row>
    <row r="667" spans="1:2" x14ac:dyDescent="0.3">
      <c r="A667" s="139" t="s">
        <v>93</v>
      </c>
      <c r="B667" s="255">
        <v>183.92319636781019</v>
      </c>
    </row>
    <row r="668" spans="1:2" x14ac:dyDescent="0.3">
      <c r="A668" s="7" t="s">
        <v>72</v>
      </c>
      <c r="B668" s="255">
        <v>1778.9902757627335</v>
      </c>
    </row>
    <row r="669" spans="1:2" x14ac:dyDescent="0.3">
      <c r="A669" s="138" t="s">
        <v>79</v>
      </c>
      <c r="B669" s="255">
        <v>522.32607896079764</v>
      </c>
    </row>
    <row r="670" spans="1:2" x14ac:dyDescent="0.3">
      <c r="A670" s="139" t="s">
        <v>80</v>
      </c>
      <c r="B670" s="255">
        <v>237.15506751231669</v>
      </c>
    </row>
    <row r="671" spans="1:2" x14ac:dyDescent="0.3">
      <c r="A671" s="139" t="s">
        <v>81</v>
      </c>
      <c r="B671" s="255">
        <v>142.07572981974545</v>
      </c>
    </row>
    <row r="672" spans="1:2" x14ac:dyDescent="0.3">
      <c r="A672" s="139" t="s">
        <v>82</v>
      </c>
      <c r="B672" s="255">
        <v>143.09528162873551</v>
      </c>
    </row>
    <row r="673" spans="1:2" x14ac:dyDescent="0.3">
      <c r="A673" s="138" t="s">
        <v>83</v>
      </c>
      <c r="B673" s="255">
        <v>389.63629242954289</v>
      </c>
    </row>
    <row r="674" spans="1:2" x14ac:dyDescent="0.3">
      <c r="A674" s="139" t="s">
        <v>84</v>
      </c>
      <c r="B674" s="255">
        <v>115.60826538493495</v>
      </c>
    </row>
    <row r="675" spans="1:2" x14ac:dyDescent="0.3">
      <c r="A675" s="139" t="s">
        <v>85</v>
      </c>
      <c r="B675" s="255">
        <v>105.57175847752251</v>
      </c>
    </row>
    <row r="676" spans="1:2" x14ac:dyDescent="0.3">
      <c r="A676" s="139" t="s">
        <v>86</v>
      </c>
      <c r="B676" s="255">
        <v>168.45626856708543</v>
      </c>
    </row>
    <row r="677" spans="1:2" x14ac:dyDescent="0.3">
      <c r="A677" s="138" t="s">
        <v>87</v>
      </c>
      <c r="B677" s="255">
        <v>427.92313890879689</v>
      </c>
    </row>
    <row r="678" spans="1:2" x14ac:dyDescent="0.3">
      <c r="A678" s="139" t="s">
        <v>88</v>
      </c>
      <c r="B678" s="255">
        <v>60.638677868352943</v>
      </c>
    </row>
    <row r="679" spans="1:2" x14ac:dyDescent="0.3">
      <c r="A679" s="139" t="s">
        <v>89</v>
      </c>
      <c r="B679" s="255">
        <v>199.07163068740044</v>
      </c>
    </row>
    <row r="680" spans="1:2" x14ac:dyDescent="0.3">
      <c r="A680" s="139" t="s">
        <v>169</v>
      </c>
      <c r="B680" s="255">
        <v>168.2128303530435</v>
      </c>
    </row>
    <row r="681" spans="1:2" x14ac:dyDescent="0.3">
      <c r="A681" s="138" t="s">
        <v>90</v>
      </c>
      <c r="B681" s="255">
        <v>439.10476546359598</v>
      </c>
    </row>
    <row r="682" spans="1:2" x14ac:dyDescent="0.3">
      <c r="A682" s="139" t="s">
        <v>91</v>
      </c>
      <c r="B682" s="255">
        <v>43.980875613453236</v>
      </c>
    </row>
    <row r="683" spans="1:2" x14ac:dyDescent="0.3">
      <c r="A683" s="139" t="s">
        <v>92</v>
      </c>
      <c r="B683" s="255">
        <v>213.98099597268276</v>
      </c>
    </row>
    <row r="684" spans="1:2" x14ac:dyDescent="0.3">
      <c r="A684" s="139" t="s">
        <v>93</v>
      </c>
      <c r="B684" s="255">
        <v>181.14289387745998</v>
      </c>
    </row>
    <row r="685" spans="1:2" x14ac:dyDescent="0.3">
      <c r="A685" s="7" t="s">
        <v>73</v>
      </c>
      <c r="B685" s="255">
        <v>1748.1200824583425</v>
      </c>
    </row>
    <row r="686" spans="1:2" x14ac:dyDescent="0.3">
      <c r="A686" s="138" t="s">
        <v>79</v>
      </c>
      <c r="B686" s="255">
        <v>513.6340175255126</v>
      </c>
    </row>
    <row r="687" spans="1:2" x14ac:dyDescent="0.3">
      <c r="A687" s="139" t="s">
        <v>80</v>
      </c>
      <c r="B687" s="255">
        <v>234.09838789780713</v>
      </c>
    </row>
    <row r="688" spans="1:2" x14ac:dyDescent="0.3">
      <c r="A688" s="139" t="s">
        <v>81</v>
      </c>
      <c r="B688" s="255">
        <v>138.96911848549689</v>
      </c>
    </row>
    <row r="689" spans="1:2" x14ac:dyDescent="0.3">
      <c r="A689" s="139" t="s">
        <v>82</v>
      </c>
      <c r="B689" s="255">
        <v>140.56651114220858</v>
      </c>
    </row>
    <row r="690" spans="1:2" x14ac:dyDescent="0.3">
      <c r="A690" s="138" t="s">
        <v>83</v>
      </c>
      <c r="B690" s="255">
        <v>382.31714137366771</v>
      </c>
    </row>
    <row r="691" spans="1:2" x14ac:dyDescent="0.3">
      <c r="A691" s="139" t="s">
        <v>84</v>
      </c>
      <c r="B691" s="255">
        <v>113.23598643343007</v>
      </c>
    </row>
    <row r="692" spans="1:2" x14ac:dyDescent="0.3">
      <c r="A692" s="139" t="s">
        <v>85</v>
      </c>
      <c r="B692" s="255">
        <v>103.25943622836462</v>
      </c>
    </row>
    <row r="693" spans="1:2" x14ac:dyDescent="0.3">
      <c r="A693" s="139" t="s">
        <v>86</v>
      </c>
      <c r="B693" s="255">
        <v>165.82171871187302</v>
      </c>
    </row>
    <row r="694" spans="1:2" x14ac:dyDescent="0.3">
      <c r="A694" s="138" t="s">
        <v>87</v>
      </c>
      <c r="B694" s="255">
        <v>420.48234902962167</v>
      </c>
    </row>
    <row r="695" spans="1:2" x14ac:dyDescent="0.3">
      <c r="A695" s="139" t="s">
        <v>88</v>
      </c>
      <c r="B695" s="255">
        <v>58.574601422887326</v>
      </c>
    </row>
    <row r="696" spans="1:2" x14ac:dyDescent="0.3">
      <c r="A696" s="139" t="s">
        <v>89</v>
      </c>
      <c r="B696" s="255">
        <v>196.29885324130726</v>
      </c>
    </row>
    <row r="697" spans="1:2" x14ac:dyDescent="0.3">
      <c r="A697" s="139" t="s">
        <v>169</v>
      </c>
      <c r="B697" s="255">
        <v>165.60889436542709</v>
      </c>
    </row>
    <row r="698" spans="1:2" x14ac:dyDescent="0.3">
      <c r="A698" s="138" t="s">
        <v>90</v>
      </c>
      <c r="B698" s="255">
        <v>431.68657452954028</v>
      </c>
    </row>
    <row r="699" spans="1:2" x14ac:dyDescent="0.3">
      <c r="A699" s="139" t="s">
        <v>91</v>
      </c>
      <c r="B699" s="255">
        <v>42.023300531546738</v>
      </c>
    </row>
    <row r="700" spans="1:2" x14ac:dyDescent="0.3">
      <c r="A700" s="139" t="s">
        <v>92</v>
      </c>
      <c r="B700" s="255">
        <v>211.16293528425535</v>
      </c>
    </row>
    <row r="701" spans="1:2" x14ac:dyDescent="0.3">
      <c r="A701" s="139" t="s">
        <v>93</v>
      </c>
      <c r="B701" s="255">
        <v>178.50033871373819</v>
      </c>
    </row>
    <row r="702" spans="1:2" x14ac:dyDescent="0.3">
      <c r="A702" s="7" t="s">
        <v>74</v>
      </c>
      <c r="B702" s="255">
        <v>1542.7198428064876</v>
      </c>
    </row>
    <row r="703" spans="1:2" x14ac:dyDescent="0.3">
      <c r="A703" s="138" t="s">
        <v>79</v>
      </c>
      <c r="B703" s="255">
        <v>505.37149066930101</v>
      </c>
    </row>
    <row r="704" spans="1:2" x14ac:dyDescent="0.3">
      <c r="A704" s="139" t="s">
        <v>80</v>
      </c>
      <c r="B704" s="255">
        <v>231.18831616152238</v>
      </c>
    </row>
    <row r="705" spans="1:2" x14ac:dyDescent="0.3">
      <c r="A705" s="139" t="s">
        <v>81</v>
      </c>
      <c r="B705" s="255">
        <v>136.02257490597981</v>
      </c>
    </row>
    <row r="706" spans="1:2" x14ac:dyDescent="0.3">
      <c r="A706" s="139" t="s">
        <v>82</v>
      </c>
      <c r="B706" s="255">
        <v>138.16059960179882</v>
      </c>
    </row>
    <row r="707" spans="1:2" x14ac:dyDescent="0.3">
      <c r="A707" s="138" t="s">
        <v>83</v>
      </c>
      <c r="B707" s="255">
        <v>375.34639942198146</v>
      </c>
    </row>
    <row r="708" spans="1:2" x14ac:dyDescent="0.3">
      <c r="A708" s="139" t="s">
        <v>84</v>
      </c>
      <c r="B708" s="255">
        <v>110.97890031422185</v>
      </c>
    </row>
    <row r="709" spans="1:2" x14ac:dyDescent="0.3">
      <c r="A709" s="139" t="s">
        <v>85</v>
      </c>
      <c r="B709" s="255">
        <v>101.05840992516937</v>
      </c>
    </row>
    <row r="710" spans="1:2" x14ac:dyDescent="0.3">
      <c r="A710" s="139" t="s">
        <v>86</v>
      </c>
      <c r="B710" s="255">
        <v>163.30908918259024</v>
      </c>
    </row>
    <row r="711" spans="1:2" x14ac:dyDescent="0.3">
      <c r="A711" s="138" t="s">
        <v>87</v>
      </c>
      <c r="B711" s="255">
        <v>413.38021287492393</v>
      </c>
    </row>
    <row r="712" spans="1:2" x14ac:dyDescent="0.3">
      <c r="A712" s="139" t="s">
        <v>88</v>
      </c>
      <c r="B712" s="255">
        <v>56.609274077040709</v>
      </c>
    </row>
    <row r="713" spans="1:2" x14ac:dyDescent="0.3">
      <c r="A713" s="139" t="s">
        <v>89</v>
      </c>
      <c r="B713" s="255">
        <v>193.64998628693024</v>
      </c>
    </row>
    <row r="714" spans="1:2" x14ac:dyDescent="0.3">
      <c r="A714" s="139" t="s">
        <v>169</v>
      </c>
      <c r="B714" s="255">
        <v>163.12095251095297</v>
      </c>
    </row>
    <row r="715" spans="1:2" x14ac:dyDescent="0.3">
      <c r="A715" s="138" t="s">
        <v>90</v>
      </c>
      <c r="B715" s="255">
        <v>248.62173984028129</v>
      </c>
    </row>
    <row r="716" spans="1:2" x14ac:dyDescent="0.3">
      <c r="A716" s="139" t="s">
        <v>91</v>
      </c>
      <c r="B716" s="255">
        <v>40.155930193982613</v>
      </c>
    </row>
    <row r="717" spans="1:2" x14ac:dyDescent="0.3">
      <c r="A717" s="139" t="s">
        <v>92</v>
      </c>
      <c r="B717" s="255">
        <v>208.46580964629868</v>
      </c>
    </row>
    <row r="718" spans="1:2" x14ac:dyDescent="0.3">
      <c r="A718" s="7" t="s">
        <v>75</v>
      </c>
      <c r="B718" s="255">
        <v>36840.884812560987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4FA06-8A1A-45F4-B72A-CDDD18A08B6E}">
  <sheetPr codeName="Sheet2"/>
  <dimension ref="A3:I717"/>
  <sheetViews>
    <sheetView zoomScaleNormal="100" workbookViewId="0">
      <selection activeCell="G53" sqref="G53"/>
    </sheetView>
  </sheetViews>
  <sheetFormatPr defaultColWidth="8.6640625" defaultRowHeight="14.4" x14ac:dyDescent="0.3"/>
  <cols>
    <col min="1" max="1" width="12.5546875" bestFit="1" customWidth="1"/>
    <col min="2" max="2" width="31.33203125" bestFit="1" customWidth="1"/>
    <col min="3" max="3" width="27.109375" bestFit="1" customWidth="1"/>
    <col min="4" max="4" width="31.109375" bestFit="1" customWidth="1"/>
    <col min="5" max="5" width="18.44140625" customWidth="1"/>
    <col min="6" max="6" width="33.44140625" bestFit="1" customWidth="1"/>
    <col min="8" max="8" width="9.6640625" bestFit="1" customWidth="1"/>
    <col min="9" max="9" width="14.6640625" bestFit="1" customWidth="1"/>
  </cols>
  <sheetData>
    <row r="3" spans="1:9" x14ac:dyDescent="0.3">
      <c r="A3" s="100" t="s">
        <v>94</v>
      </c>
      <c r="B3" t="s">
        <v>102</v>
      </c>
      <c r="C3" t="s">
        <v>103</v>
      </c>
      <c r="H3" s="110"/>
    </row>
    <row r="4" spans="1:9" x14ac:dyDescent="0.3">
      <c r="A4" s="7" t="s">
        <v>33</v>
      </c>
      <c r="B4" s="255">
        <v>0</v>
      </c>
      <c r="C4" s="255">
        <v>0</v>
      </c>
    </row>
    <row r="5" spans="1:9" x14ac:dyDescent="0.3">
      <c r="A5" s="138" t="s">
        <v>79</v>
      </c>
      <c r="B5" s="255">
        <v>0</v>
      </c>
      <c r="C5" s="255">
        <v>0</v>
      </c>
    </row>
    <row r="6" spans="1:9" x14ac:dyDescent="0.3">
      <c r="A6" s="139" t="s">
        <v>80</v>
      </c>
      <c r="B6" s="255"/>
      <c r="C6" s="255">
        <v>0</v>
      </c>
    </row>
    <row r="7" spans="1:9" x14ac:dyDescent="0.3">
      <c r="A7" s="139" t="s">
        <v>81</v>
      </c>
      <c r="B7" s="255">
        <v>0</v>
      </c>
      <c r="C7" s="255">
        <v>0</v>
      </c>
    </row>
    <row r="8" spans="1:9" x14ac:dyDescent="0.3">
      <c r="A8" s="139" t="s">
        <v>82</v>
      </c>
      <c r="B8" s="255">
        <v>0</v>
      </c>
      <c r="C8" s="255">
        <v>0</v>
      </c>
      <c r="F8" s="2"/>
      <c r="G8" s="2"/>
      <c r="H8" s="2"/>
      <c r="I8" s="2"/>
    </row>
    <row r="9" spans="1:9" x14ac:dyDescent="0.3">
      <c r="A9" s="138" t="s">
        <v>83</v>
      </c>
      <c r="B9" s="255">
        <v>0</v>
      </c>
      <c r="C9" s="255">
        <v>0</v>
      </c>
    </row>
    <row r="10" spans="1:9" x14ac:dyDescent="0.3">
      <c r="A10" s="139" t="s">
        <v>84</v>
      </c>
      <c r="B10" s="255">
        <v>0</v>
      </c>
      <c r="C10" s="255">
        <v>0</v>
      </c>
    </row>
    <row r="11" spans="1:9" x14ac:dyDescent="0.3">
      <c r="A11" s="139" t="s">
        <v>85</v>
      </c>
      <c r="B11" s="255">
        <v>0</v>
      </c>
      <c r="C11" s="255">
        <v>0</v>
      </c>
    </row>
    <row r="12" spans="1:9" x14ac:dyDescent="0.3">
      <c r="A12" s="139" t="s">
        <v>86</v>
      </c>
      <c r="B12" s="255">
        <v>0</v>
      </c>
      <c r="C12" s="255">
        <v>0</v>
      </c>
    </row>
    <row r="13" spans="1:9" x14ac:dyDescent="0.3">
      <c r="A13" s="138" t="s">
        <v>87</v>
      </c>
      <c r="B13" s="255">
        <v>0</v>
      </c>
      <c r="C13" s="255">
        <v>0</v>
      </c>
    </row>
    <row r="14" spans="1:9" x14ac:dyDescent="0.3">
      <c r="A14" s="139" t="s">
        <v>88</v>
      </c>
      <c r="B14" s="255">
        <v>0</v>
      </c>
      <c r="C14" s="255">
        <v>0</v>
      </c>
    </row>
    <row r="15" spans="1:9" x14ac:dyDescent="0.3">
      <c r="A15" s="139" t="s">
        <v>89</v>
      </c>
      <c r="B15" s="255">
        <v>0</v>
      </c>
      <c r="C15" s="255">
        <v>0</v>
      </c>
    </row>
    <row r="16" spans="1:9" x14ac:dyDescent="0.3">
      <c r="A16" s="139" t="s">
        <v>169</v>
      </c>
      <c r="B16" s="255">
        <v>0</v>
      </c>
      <c r="C16" s="255">
        <v>0</v>
      </c>
    </row>
    <row r="17" spans="1:7" x14ac:dyDescent="0.3">
      <c r="A17" s="138" t="s">
        <v>90</v>
      </c>
      <c r="B17" s="255">
        <v>0</v>
      </c>
      <c r="C17" s="255">
        <v>0</v>
      </c>
    </row>
    <row r="18" spans="1:7" x14ac:dyDescent="0.3">
      <c r="A18" s="139" t="s">
        <v>91</v>
      </c>
      <c r="B18" s="255">
        <v>0</v>
      </c>
      <c r="C18" s="255">
        <v>0</v>
      </c>
      <c r="E18">
        <f>MAX(0,GETPIVOTDATA("Sum of Amount left after sieve",$A$3,"Month",MONTH('Excess Notes'!E7), "Quarters",ROUNDUP(MONTH('Excess Notes'!E7)/3, 0),"Years",'Excess Notes'!D7))</f>
        <v>0</v>
      </c>
      <c r="F18">
        <f>MAX(0,GETPIVOTDATA("Sum of of Notes saved for next CNY",$A$3,"Month",MONTH('Excess Notes'!E7),"Quarters",ROUNDUP(MONTH('Excess Notes'!E7)/3, 0),"Years",'Excess Notes'!D7))</f>
        <v>32.202024999123026</v>
      </c>
      <c r="G18">
        <f>SUM(E18:F18)</f>
        <v>32.202024999123026</v>
      </c>
    </row>
    <row r="19" spans="1:7" x14ac:dyDescent="0.3">
      <c r="A19" s="139" t="s">
        <v>92</v>
      </c>
      <c r="B19" s="255">
        <v>0</v>
      </c>
      <c r="C19" s="255">
        <v>0</v>
      </c>
    </row>
    <row r="20" spans="1:7" x14ac:dyDescent="0.3">
      <c r="A20" s="139" t="s">
        <v>93</v>
      </c>
      <c r="B20" s="255">
        <v>0</v>
      </c>
      <c r="C20" s="255">
        <v>0</v>
      </c>
    </row>
    <row r="21" spans="1:7" x14ac:dyDescent="0.3">
      <c r="A21" s="7" t="s">
        <v>34</v>
      </c>
      <c r="B21" s="255">
        <v>641.46887180883186</v>
      </c>
      <c r="C21" s="255">
        <v>46.979408355146916</v>
      </c>
    </row>
    <row r="22" spans="1:7" x14ac:dyDescent="0.3">
      <c r="A22" s="138" t="s">
        <v>79</v>
      </c>
      <c r="B22" s="255">
        <v>166.45575711973811</v>
      </c>
      <c r="C22" s="255">
        <v>37.796044854721913</v>
      </c>
    </row>
    <row r="23" spans="1:7" x14ac:dyDescent="0.3">
      <c r="A23" s="139" t="s">
        <v>80</v>
      </c>
      <c r="B23" s="255">
        <v>55.950208970944395</v>
      </c>
      <c r="C23" s="255">
        <v>37.796044854721913</v>
      </c>
    </row>
    <row r="24" spans="1:7" x14ac:dyDescent="0.3">
      <c r="A24" s="139" t="s">
        <v>81</v>
      </c>
      <c r="B24" s="255">
        <v>55.483957229519859</v>
      </c>
      <c r="C24" s="255">
        <v>0</v>
      </c>
    </row>
    <row r="25" spans="1:7" x14ac:dyDescent="0.3">
      <c r="A25" s="139" t="s">
        <v>82</v>
      </c>
      <c r="B25" s="255">
        <v>55.021590919273862</v>
      </c>
      <c r="C25" s="255">
        <v>0</v>
      </c>
    </row>
    <row r="26" spans="1:7" x14ac:dyDescent="0.3">
      <c r="A26" s="138" t="s">
        <v>83</v>
      </c>
      <c r="B26" s="255">
        <v>162.32894514591479</v>
      </c>
      <c r="C26" s="255">
        <v>0</v>
      </c>
      <c r="E26" t="s">
        <v>104</v>
      </c>
      <c r="F26" t="s">
        <v>105</v>
      </c>
    </row>
    <row r="27" spans="1:7" x14ac:dyDescent="0.3">
      <c r="A27" s="139" t="s">
        <v>84</v>
      </c>
      <c r="B27" s="255">
        <v>54.563077661613242</v>
      </c>
      <c r="C27" s="255">
        <v>0</v>
      </c>
      <c r="E27">
        <f>E18/G18</f>
        <v>0</v>
      </c>
      <c r="F27">
        <f>F18/G18</f>
        <v>1</v>
      </c>
    </row>
    <row r="28" spans="1:7" x14ac:dyDescent="0.3">
      <c r="A28" s="139" t="s">
        <v>85</v>
      </c>
      <c r="B28" s="255">
        <v>54.108385347766465</v>
      </c>
      <c r="C28" s="255">
        <v>0</v>
      </c>
    </row>
    <row r="29" spans="1:7" x14ac:dyDescent="0.3">
      <c r="A29" s="139" t="s">
        <v>86</v>
      </c>
      <c r="B29" s="255">
        <v>53.65748213653508</v>
      </c>
      <c r="C29" s="255">
        <v>0</v>
      </c>
    </row>
    <row r="30" spans="1:7" x14ac:dyDescent="0.3">
      <c r="A30" s="138" t="s">
        <v>87</v>
      </c>
      <c r="B30" s="255">
        <v>158.30444610714389</v>
      </c>
      <c r="C30" s="255">
        <v>0</v>
      </c>
    </row>
    <row r="31" spans="1:7" x14ac:dyDescent="0.3">
      <c r="A31" s="139" t="s">
        <v>88</v>
      </c>
      <c r="B31" s="255">
        <v>53.210336452063956</v>
      </c>
      <c r="C31" s="255">
        <v>0</v>
      </c>
    </row>
    <row r="32" spans="1:7" x14ac:dyDescent="0.3">
      <c r="A32" s="139" t="s">
        <v>89</v>
      </c>
      <c r="B32" s="255">
        <v>52.766916981630089</v>
      </c>
      <c r="C32" s="255">
        <v>0</v>
      </c>
    </row>
    <row r="33" spans="1:3" x14ac:dyDescent="0.3">
      <c r="A33" s="139" t="s">
        <v>169</v>
      </c>
      <c r="B33" s="255">
        <v>52.327192673449844</v>
      </c>
      <c r="C33" s="255">
        <v>0</v>
      </c>
    </row>
    <row r="34" spans="1:3" x14ac:dyDescent="0.3">
      <c r="A34" s="138" t="s">
        <v>90</v>
      </c>
      <c r="B34" s="255">
        <v>154.37972343603502</v>
      </c>
      <c r="C34" s="255">
        <v>9.1833635004250027</v>
      </c>
    </row>
    <row r="35" spans="1:3" x14ac:dyDescent="0.3">
      <c r="A35" s="139" t="s">
        <v>91</v>
      </c>
      <c r="B35" s="255">
        <v>51.891132734504431</v>
      </c>
      <c r="C35" s="255">
        <v>0</v>
      </c>
    </row>
    <row r="36" spans="1:3" x14ac:dyDescent="0.3">
      <c r="A36" s="139" t="s">
        <v>92</v>
      </c>
      <c r="B36" s="255">
        <v>51.45870662838356</v>
      </c>
      <c r="C36" s="255">
        <v>0</v>
      </c>
    </row>
    <row r="37" spans="1:3" x14ac:dyDescent="0.3">
      <c r="A37" s="139" t="s">
        <v>93</v>
      </c>
      <c r="B37" s="255">
        <v>51.029884073147031</v>
      </c>
      <c r="C37" s="255">
        <v>9.1833635004250027</v>
      </c>
    </row>
    <row r="38" spans="1:3" x14ac:dyDescent="0.3">
      <c r="A38" s="7" t="s">
        <v>35</v>
      </c>
      <c r="B38" s="255">
        <v>266.4359471593225</v>
      </c>
      <c r="C38" s="255">
        <v>-0.22517109028967042</v>
      </c>
    </row>
    <row r="39" spans="1:3" x14ac:dyDescent="0.3">
      <c r="A39" s="138" t="s">
        <v>79</v>
      </c>
      <c r="B39" s="255">
        <v>91.338703767104917</v>
      </c>
      <c r="C39" s="255">
        <v>0</v>
      </c>
    </row>
    <row r="40" spans="1:3" x14ac:dyDescent="0.3">
      <c r="A40" s="139" t="s">
        <v>80</v>
      </c>
      <c r="B40" s="255">
        <v>50.60463503920414</v>
      </c>
      <c r="C40" s="255">
        <v>0</v>
      </c>
    </row>
    <row r="41" spans="1:3" x14ac:dyDescent="0.3">
      <c r="A41" s="139" t="s">
        <v>81</v>
      </c>
      <c r="B41" s="255">
        <v>20.452252080954359</v>
      </c>
      <c r="C41" s="255">
        <v>0</v>
      </c>
    </row>
    <row r="42" spans="1:3" x14ac:dyDescent="0.3">
      <c r="A42" s="139" t="s">
        <v>82</v>
      </c>
      <c r="B42" s="255">
        <v>20.281816646946407</v>
      </c>
      <c r="C42" s="255">
        <v>0</v>
      </c>
    </row>
    <row r="43" spans="1:3" x14ac:dyDescent="0.3">
      <c r="A43" s="138" t="s">
        <v>83</v>
      </c>
      <c r="B43" s="255">
        <v>59.836981209286968</v>
      </c>
      <c r="C43" s="255">
        <v>0</v>
      </c>
    </row>
    <row r="44" spans="1:3" x14ac:dyDescent="0.3">
      <c r="A44" s="139" t="s">
        <v>84</v>
      </c>
      <c r="B44" s="255">
        <v>20.112801508221853</v>
      </c>
      <c r="C44" s="255">
        <v>0</v>
      </c>
    </row>
    <row r="45" spans="1:3" x14ac:dyDescent="0.3">
      <c r="A45" s="139" t="s">
        <v>85</v>
      </c>
      <c r="B45" s="255">
        <v>19.945194828986669</v>
      </c>
      <c r="C45" s="255">
        <v>0</v>
      </c>
    </row>
    <row r="46" spans="1:3" x14ac:dyDescent="0.3">
      <c r="A46" s="139" t="s">
        <v>86</v>
      </c>
      <c r="B46" s="255">
        <v>19.778984872078446</v>
      </c>
      <c r="C46" s="255">
        <v>0</v>
      </c>
    </row>
    <row r="47" spans="1:3" x14ac:dyDescent="0.3">
      <c r="A47" s="138" t="s">
        <v>87</v>
      </c>
      <c r="B47" s="255">
        <v>58.353488088924088</v>
      </c>
      <c r="C47" s="255">
        <v>-0.22517109028967042</v>
      </c>
    </row>
    <row r="48" spans="1:3" x14ac:dyDescent="0.3">
      <c r="A48" s="139" t="s">
        <v>88</v>
      </c>
      <c r="B48" s="255">
        <v>19.614159998144462</v>
      </c>
      <c r="C48" s="255">
        <v>-0.22517109028967042</v>
      </c>
    </row>
    <row r="49" spans="1:3" x14ac:dyDescent="0.3">
      <c r="A49" s="139" t="s">
        <v>89</v>
      </c>
      <c r="B49" s="255">
        <v>19.450708664826593</v>
      </c>
      <c r="C49" s="255">
        <v>0</v>
      </c>
    </row>
    <row r="50" spans="1:3" x14ac:dyDescent="0.3">
      <c r="A50" s="139" t="s">
        <v>169</v>
      </c>
      <c r="B50" s="255">
        <v>19.288619425953037</v>
      </c>
      <c r="C50" s="255">
        <v>0</v>
      </c>
    </row>
    <row r="51" spans="1:3" x14ac:dyDescent="0.3">
      <c r="A51" s="138" t="s">
        <v>90</v>
      </c>
      <c r="B51" s="255">
        <v>56.906774094006494</v>
      </c>
      <c r="C51" s="255">
        <v>0</v>
      </c>
    </row>
    <row r="52" spans="1:3" x14ac:dyDescent="0.3">
      <c r="A52" s="139" t="s">
        <v>91</v>
      </c>
      <c r="B52" s="255">
        <v>19.127880930736762</v>
      </c>
      <c r="C52" s="255">
        <v>0</v>
      </c>
    </row>
    <row r="53" spans="1:3" x14ac:dyDescent="0.3">
      <c r="A53" s="139" t="s">
        <v>92</v>
      </c>
      <c r="B53" s="255">
        <v>18.968481922980622</v>
      </c>
      <c r="C53" s="255">
        <v>0</v>
      </c>
    </row>
    <row r="54" spans="1:3" x14ac:dyDescent="0.3">
      <c r="A54" s="139" t="s">
        <v>93</v>
      </c>
      <c r="B54" s="255">
        <v>18.810411240289117</v>
      </c>
      <c r="C54" s="255">
        <v>0</v>
      </c>
    </row>
    <row r="55" spans="1:3" x14ac:dyDescent="0.3">
      <c r="A55" s="7" t="s">
        <v>36</v>
      </c>
      <c r="B55" s="255">
        <v>18.653657813286706</v>
      </c>
      <c r="C55" s="255">
        <v>-106.49390375043362</v>
      </c>
    </row>
    <row r="56" spans="1:3" x14ac:dyDescent="0.3">
      <c r="A56" s="138" t="s">
        <v>79</v>
      </c>
      <c r="B56" s="255">
        <v>18.653657813286706</v>
      </c>
      <c r="C56" s="255">
        <v>-106.49390375043362</v>
      </c>
    </row>
    <row r="57" spans="1:3" x14ac:dyDescent="0.3">
      <c r="A57" s="139" t="s">
        <v>80</v>
      </c>
      <c r="B57" s="255">
        <v>18.653657813286706</v>
      </c>
      <c r="C57" s="255">
        <v>0</v>
      </c>
    </row>
    <row r="58" spans="1:3" x14ac:dyDescent="0.3">
      <c r="A58" s="139" t="s">
        <v>81</v>
      </c>
      <c r="B58" s="255">
        <v>0</v>
      </c>
      <c r="C58" s="255">
        <v>-78.112803147756438</v>
      </c>
    </row>
    <row r="59" spans="1:3" x14ac:dyDescent="0.3">
      <c r="A59" s="139" t="s">
        <v>82</v>
      </c>
      <c r="B59" s="255">
        <v>0</v>
      </c>
      <c r="C59" s="255">
        <v>-28.381100602677172</v>
      </c>
    </row>
    <row r="60" spans="1:3" x14ac:dyDescent="0.3">
      <c r="A60" s="138" t="s">
        <v>83</v>
      </c>
      <c r="B60" s="255">
        <v>0</v>
      </c>
      <c r="C60" s="255">
        <v>0</v>
      </c>
    </row>
    <row r="61" spans="1:3" x14ac:dyDescent="0.3">
      <c r="A61" s="139" t="s">
        <v>84</v>
      </c>
      <c r="B61" s="255">
        <v>0</v>
      </c>
      <c r="C61" s="255">
        <v>0</v>
      </c>
    </row>
    <row r="62" spans="1:3" x14ac:dyDescent="0.3">
      <c r="A62" s="139" t="s">
        <v>85</v>
      </c>
      <c r="B62" s="255">
        <v>0</v>
      </c>
      <c r="C62" s="255">
        <v>0</v>
      </c>
    </row>
    <row r="63" spans="1:3" x14ac:dyDescent="0.3">
      <c r="A63" s="139" t="s">
        <v>86</v>
      </c>
      <c r="B63" s="255">
        <v>0</v>
      </c>
      <c r="C63" s="255">
        <v>0</v>
      </c>
    </row>
    <row r="64" spans="1:3" x14ac:dyDescent="0.3">
      <c r="A64" s="138" t="s">
        <v>87</v>
      </c>
      <c r="B64" s="255">
        <v>0</v>
      </c>
      <c r="C64" s="255">
        <v>0</v>
      </c>
    </row>
    <row r="65" spans="1:3" x14ac:dyDescent="0.3">
      <c r="A65" s="139" t="s">
        <v>88</v>
      </c>
      <c r="B65" s="255">
        <v>0</v>
      </c>
      <c r="C65" s="255">
        <v>0</v>
      </c>
    </row>
    <row r="66" spans="1:3" x14ac:dyDescent="0.3">
      <c r="A66" s="139" t="s">
        <v>89</v>
      </c>
      <c r="B66" s="255">
        <v>0</v>
      </c>
      <c r="C66" s="255">
        <v>0</v>
      </c>
    </row>
    <row r="67" spans="1:3" x14ac:dyDescent="0.3">
      <c r="A67" s="139" t="s">
        <v>169</v>
      </c>
      <c r="B67" s="255">
        <v>0</v>
      </c>
      <c r="C67" s="255">
        <v>0</v>
      </c>
    </row>
    <row r="68" spans="1:3" x14ac:dyDescent="0.3">
      <c r="A68" s="138" t="s">
        <v>90</v>
      </c>
      <c r="B68" s="255">
        <v>0</v>
      </c>
      <c r="C68" s="255">
        <v>0</v>
      </c>
    </row>
    <row r="69" spans="1:3" x14ac:dyDescent="0.3">
      <c r="A69" s="139" t="s">
        <v>91</v>
      </c>
      <c r="B69" s="255">
        <v>0</v>
      </c>
      <c r="C69" s="255">
        <v>0</v>
      </c>
    </row>
    <row r="70" spans="1:3" x14ac:dyDescent="0.3">
      <c r="A70" s="139" t="s">
        <v>92</v>
      </c>
      <c r="B70" s="255">
        <v>0</v>
      </c>
      <c r="C70" s="255">
        <v>0</v>
      </c>
    </row>
    <row r="71" spans="1:3" x14ac:dyDescent="0.3">
      <c r="A71" s="139" t="s">
        <v>93</v>
      </c>
      <c r="B71" s="255">
        <v>0</v>
      </c>
      <c r="C71" s="255">
        <v>0</v>
      </c>
    </row>
    <row r="72" spans="1:3" x14ac:dyDescent="0.3">
      <c r="A72" s="7" t="s">
        <v>37</v>
      </c>
      <c r="B72" s="255">
        <v>547.28404854807013</v>
      </c>
      <c r="C72" s="255">
        <v>-37.982289199825232</v>
      </c>
    </row>
    <row r="73" spans="1:3" x14ac:dyDescent="0.3">
      <c r="A73" s="138" t="s">
        <v>79</v>
      </c>
      <c r="B73" s="255">
        <v>142.01559056753945</v>
      </c>
      <c r="C73" s="255">
        <v>-37.982289199825232</v>
      </c>
    </row>
    <row r="74" spans="1:3" x14ac:dyDescent="0.3">
      <c r="A74" s="139" t="s">
        <v>80</v>
      </c>
      <c r="B74" s="255">
        <v>47.735218696402228</v>
      </c>
      <c r="C74" s="255">
        <v>0</v>
      </c>
    </row>
    <row r="75" spans="1:3" x14ac:dyDescent="0.3">
      <c r="A75" s="139" t="s">
        <v>81</v>
      </c>
      <c r="B75" s="255">
        <v>47.337425207265547</v>
      </c>
      <c r="C75" s="255">
        <v>-37.982289199825232</v>
      </c>
    </row>
    <row r="76" spans="1:3" x14ac:dyDescent="0.3">
      <c r="A76" s="139" t="s">
        <v>82</v>
      </c>
      <c r="B76" s="255">
        <v>46.942946663871666</v>
      </c>
      <c r="C76" s="255">
        <v>0</v>
      </c>
    </row>
    <row r="77" spans="1:3" x14ac:dyDescent="0.3">
      <c r="A77" s="138" t="s">
        <v>83</v>
      </c>
      <c r="B77" s="255">
        <v>138.49470519977098</v>
      </c>
      <c r="C77" s="255">
        <v>0</v>
      </c>
    </row>
    <row r="78" spans="1:3" x14ac:dyDescent="0.3">
      <c r="A78" s="139" t="s">
        <v>84</v>
      </c>
      <c r="B78" s="255">
        <v>46.551755441672739</v>
      </c>
      <c r="C78" s="255">
        <v>0</v>
      </c>
    </row>
    <row r="79" spans="1:3" x14ac:dyDescent="0.3">
      <c r="A79" s="139" t="s">
        <v>85</v>
      </c>
      <c r="B79" s="255">
        <v>46.163824146325467</v>
      </c>
      <c r="C79" s="255">
        <v>0</v>
      </c>
    </row>
    <row r="80" spans="1:3" x14ac:dyDescent="0.3">
      <c r="A80" s="139" t="s">
        <v>86</v>
      </c>
      <c r="B80" s="255">
        <v>45.779125611772756</v>
      </c>
      <c r="C80" s="255">
        <v>0</v>
      </c>
    </row>
    <row r="81" spans="1:3" x14ac:dyDescent="0.3">
      <c r="A81" s="138" t="s">
        <v>87</v>
      </c>
      <c r="B81" s="255">
        <v>135.06111048596114</v>
      </c>
      <c r="C81" s="255">
        <v>0</v>
      </c>
    </row>
    <row r="82" spans="1:3" x14ac:dyDescent="0.3">
      <c r="A82" s="139" t="s">
        <v>88</v>
      </c>
      <c r="B82" s="255">
        <v>45.397632898341314</v>
      </c>
      <c r="C82" s="255">
        <v>0</v>
      </c>
    </row>
    <row r="83" spans="1:3" x14ac:dyDescent="0.3">
      <c r="A83" s="139" t="s">
        <v>89</v>
      </c>
      <c r="B83" s="255">
        <v>45.019319290855137</v>
      </c>
      <c r="C83" s="255">
        <v>0</v>
      </c>
    </row>
    <row r="84" spans="1:3" x14ac:dyDescent="0.3">
      <c r="A84" s="139" t="s">
        <v>169</v>
      </c>
      <c r="B84" s="255">
        <v>44.64415829676468</v>
      </c>
      <c r="C84" s="255">
        <v>0</v>
      </c>
    </row>
    <row r="85" spans="1:3" x14ac:dyDescent="0.3">
      <c r="A85" s="138" t="s">
        <v>90</v>
      </c>
      <c r="B85" s="255">
        <v>131.71264229479851</v>
      </c>
      <c r="C85" s="255">
        <v>0</v>
      </c>
    </row>
    <row r="86" spans="1:3" x14ac:dyDescent="0.3">
      <c r="A86" s="139" t="s">
        <v>91</v>
      </c>
      <c r="B86" s="255">
        <v>44.272123644291646</v>
      </c>
      <c r="C86" s="255">
        <v>0</v>
      </c>
    </row>
    <row r="87" spans="1:3" x14ac:dyDescent="0.3">
      <c r="A87" s="139" t="s">
        <v>92</v>
      </c>
      <c r="B87" s="255">
        <v>43.903189280589217</v>
      </c>
      <c r="C87" s="255">
        <v>0</v>
      </c>
    </row>
    <row r="88" spans="1:3" x14ac:dyDescent="0.3">
      <c r="A88" s="139" t="s">
        <v>93</v>
      </c>
      <c r="B88" s="255">
        <v>43.537329369917643</v>
      </c>
      <c r="C88" s="255">
        <v>0</v>
      </c>
    </row>
    <row r="89" spans="1:3" x14ac:dyDescent="0.3">
      <c r="A89" s="7" t="s">
        <v>38</v>
      </c>
      <c r="B89" s="255">
        <v>256.01950973470429</v>
      </c>
      <c r="C89" s="255">
        <v>0</v>
      </c>
    </row>
    <row r="90" spans="1:3" x14ac:dyDescent="0.3">
      <c r="A90" s="138" t="s">
        <v>79</v>
      </c>
      <c r="B90" s="255">
        <v>83.344975602487295</v>
      </c>
      <c r="C90" s="255">
        <v>0</v>
      </c>
    </row>
    <row r="91" spans="1:3" x14ac:dyDescent="0.3">
      <c r="A91" s="139" t="s">
        <v>80</v>
      </c>
      <c r="B91" s="255">
        <v>43.174518291834993</v>
      </c>
      <c r="C91" s="255">
        <v>0</v>
      </c>
    </row>
    <row r="92" spans="1:3" x14ac:dyDescent="0.3">
      <c r="A92" s="139" t="s">
        <v>81</v>
      </c>
      <c r="B92" s="255">
        <v>20.169267268946765</v>
      </c>
      <c r="C92" s="255">
        <v>0</v>
      </c>
    </row>
    <row r="93" spans="1:3" x14ac:dyDescent="0.3">
      <c r="A93" s="139" t="s">
        <v>82</v>
      </c>
      <c r="B93" s="255">
        <v>20.001190041705545</v>
      </c>
      <c r="C93" s="255">
        <v>0</v>
      </c>
    </row>
    <row r="94" spans="1:3" x14ac:dyDescent="0.3">
      <c r="A94" s="138" t="s">
        <v>83</v>
      </c>
      <c r="B94" s="255">
        <v>59.009054934391301</v>
      </c>
      <c r="C94" s="255">
        <v>0</v>
      </c>
    </row>
    <row r="95" spans="1:3" x14ac:dyDescent="0.3">
      <c r="A95" s="139" t="s">
        <v>84</v>
      </c>
      <c r="B95" s="255">
        <v>19.834513458024666</v>
      </c>
      <c r="C95" s="255">
        <v>0</v>
      </c>
    </row>
    <row r="96" spans="1:3" x14ac:dyDescent="0.3">
      <c r="A96" s="139" t="s">
        <v>85</v>
      </c>
      <c r="B96" s="255">
        <v>19.669225845874461</v>
      </c>
      <c r="C96" s="255">
        <v>0</v>
      </c>
    </row>
    <row r="97" spans="1:3" x14ac:dyDescent="0.3">
      <c r="A97" s="139" t="s">
        <v>86</v>
      </c>
      <c r="B97" s="255">
        <v>19.505315630492174</v>
      </c>
      <c r="C97" s="255">
        <v>0</v>
      </c>
    </row>
    <row r="98" spans="1:3" x14ac:dyDescent="0.3">
      <c r="A98" s="138" t="s">
        <v>87</v>
      </c>
      <c r="B98" s="255">
        <v>57.54608796538421</v>
      </c>
      <c r="C98" s="255">
        <v>0</v>
      </c>
    </row>
    <row r="99" spans="1:3" x14ac:dyDescent="0.3">
      <c r="A99" s="139" t="s">
        <v>88</v>
      </c>
      <c r="B99" s="255">
        <v>19.342771333571406</v>
      </c>
      <c r="C99" s="255">
        <v>0</v>
      </c>
    </row>
    <row r="100" spans="1:3" x14ac:dyDescent="0.3">
      <c r="A100" s="139" t="s">
        <v>89</v>
      </c>
      <c r="B100" s="255">
        <v>19.18158157245831</v>
      </c>
      <c r="C100" s="255">
        <v>0</v>
      </c>
    </row>
    <row r="101" spans="1:3" x14ac:dyDescent="0.3">
      <c r="A101" s="139" t="s">
        <v>169</v>
      </c>
      <c r="B101" s="255">
        <v>19.021735059354491</v>
      </c>
      <c r="C101" s="255">
        <v>0</v>
      </c>
    </row>
    <row r="102" spans="1:3" x14ac:dyDescent="0.3">
      <c r="A102" s="138" t="s">
        <v>90</v>
      </c>
      <c r="B102" s="255">
        <v>56.119391232441473</v>
      </c>
      <c r="C102" s="255">
        <v>0</v>
      </c>
    </row>
    <row r="103" spans="1:3" x14ac:dyDescent="0.3">
      <c r="A103" s="139" t="s">
        <v>91</v>
      </c>
      <c r="B103" s="255">
        <v>18.863220600526535</v>
      </c>
      <c r="C103" s="255">
        <v>0</v>
      </c>
    </row>
    <row r="104" spans="1:3" x14ac:dyDescent="0.3">
      <c r="A104" s="139" t="s">
        <v>92</v>
      </c>
      <c r="B104" s="255">
        <v>18.706027095522145</v>
      </c>
      <c r="C104" s="255">
        <v>0</v>
      </c>
    </row>
    <row r="105" spans="1:3" x14ac:dyDescent="0.3">
      <c r="A105" s="139" t="s">
        <v>93</v>
      </c>
      <c r="B105" s="255">
        <v>18.550143536392795</v>
      </c>
      <c r="C105" s="255">
        <v>0</v>
      </c>
    </row>
    <row r="106" spans="1:3" x14ac:dyDescent="0.3">
      <c r="A106" s="7" t="s">
        <v>39</v>
      </c>
      <c r="B106" s="255">
        <v>1497.4847143006496</v>
      </c>
      <c r="C106" s="255">
        <v>183.28418754632787</v>
      </c>
    </row>
    <row r="107" spans="1:3" x14ac:dyDescent="0.3">
      <c r="A107" s="138" t="s">
        <v>79</v>
      </c>
      <c r="B107" s="255">
        <v>388.58464198155878</v>
      </c>
      <c r="C107" s="255">
        <v>183.28418754632787</v>
      </c>
    </row>
    <row r="108" spans="1:3" x14ac:dyDescent="0.3">
      <c r="A108" s="139" t="s">
        <v>80</v>
      </c>
      <c r="B108" s="255">
        <v>130.61363750926557</v>
      </c>
      <c r="C108" s="255">
        <v>183.28418754632787</v>
      </c>
    </row>
    <row r="109" spans="1:3" x14ac:dyDescent="0.3">
      <c r="A109" s="139" t="s">
        <v>81</v>
      </c>
      <c r="B109" s="255">
        <v>129.52519053002169</v>
      </c>
      <c r="C109" s="255">
        <v>0</v>
      </c>
    </row>
    <row r="110" spans="1:3" x14ac:dyDescent="0.3">
      <c r="A110" s="139" t="s">
        <v>82</v>
      </c>
      <c r="B110" s="255">
        <v>128.44581394227151</v>
      </c>
      <c r="C110" s="255">
        <v>0</v>
      </c>
    </row>
    <row r="111" spans="1:3" x14ac:dyDescent="0.3">
      <c r="A111" s="138" t="s">
        <v>83</v>
      </c>
      <c r="B111" s="255">
        <v>378.95075619039449</v>
      </c>
      <c r="C111" s="255">
        <v>0</v>
      </c>
    </row>
    <row r="112" spans="1:3" x14ac:dyDescent="0.3">
      <c r="A112" s="139" t="s">
        <v>84</v>
      </c>
      <c r="B112" s="255">
        <v>127.37543215941925</v>
      </c>
      <c r="C112" s="255">
        <v>0</v>
      </c>
    </row>
    <row r="113" spans="1:3" x14ac:dyDescent="0.3">
      <c r="A113" s="139" t="s">
        <v>85</v>
      </c>
      <c r="B113" s="255">
        <v>126.31397022475743</v>
      </c>
      <c r="C113" s="255">
        <v>0</v>
      </c>
    </row>
    <row r="114" spans="1:3" x14ac:dyDescent="0.3">
      <c r="A114" s="139" t="s">
        <v>86</v>
      </c>
      <c r="B114" s="255">
        <v>125.26135380621778</v>
      </c>
      <c r="C114" s="255">
        <v>0</v>
      </c>
    </row>
    <row r="115" spans="1:3" x14ac:dyDescent="0.3">
      <c r="A115" s="138" t="s">
        <v>87</v>
      </c>
      <c r="B115" s="255">
        <v>369.55571605963485</v>
      </c>
      <c r="C115" s="255">
        <v>0</v>
      </c>
    </row>
    <row r="116" spans="1:3" x14ac:dyDescent="0.3">
      <c r="A116" s="139" t="s">
        <v>88</v>
      </c>
      <c r="B116" s="255">
        <v>124.21750919116597</v>
      </c>
      <c r="C116" s="255">
        <v>0</v>
      </c>
    </row>
    <row r="117" spans="1:3" x14ac:dyDescent="0.3">
      <c r="A117" s="139" t="s">
        <v>89</v>
      </c>
      <c r="B117" s="255">
        <v>123.18236328123959</v>
      </c>
      <c r="C117" s="255">
        <v>0</v>
      </c>
    </row>
    <row r="118" spans="1:3" x14ac:dyDescent="0.3">
      <c r="A118" s="139" t="s">
        <v>169</v>
      </c>
      <c r="B118" s="255">
        <v>122.15584358722927</v>
      </c>
      <c r="C118" s="255">
        <v>0</v>
      </c>
    </row>
    <row r="119" spans="1:3" x14ac:dyDescent="0.3">
      <c r="A119" s="138" t="s">
        <v>90</v>
      </c>
      <c r="B119" s="255">
        <v>360.39360006906145</v>
      </c>
      <c r="C119" s="255">
        <v>0</v>
      </c>
    </row>
    <row r="120" spans="1:3" x14ac:dyDescent="0.3">
      <c r="A120" s="139" t="s">
        <v>91</v>
      </c>
      <c r="B120" s="255">
        <v>121.13787822400236</v>
      </c>
      <c r="C120" s="255">
        <v>0</v>
      </c>
    </row>
    <row r="121" spans="1:3" x14ac:dyDescent="0.3">
      <c r="A121" s="139" t="s">
        <v>92</v>
      </c>
      <c r="B121" s="255">
        <v>120.12839590546901</v>
      </c>
      <c r="C121" s="255">
        <v>0</v>
      </c>
    </row>
    <row r="122" spans="1:3" x14ac:dyDescent="0.3">
      <c r="A122" s="139" t="s">
        <v>93</v>
      </c>
      <c r="B122" s="255">
        <v>119.12732593959009</v>
      </c>
      <c r="C122" s="255">
        <v>0</v>
      </c>
    </row>
    <row r="123" spans="1:3" x14ac:dyDescent="0.3">
      <c r="A123" s="7" t="s">
        <v>40</v>
      </c>
      <c r="B123" s="255">
        <v>1126.7098577289737</v>
      </c>
      <c r="C123" s="255">
        <v>0</v>
      </c>
    </row>
    <row r="124" spans="1:3" x14ac:dyDescent="0.3">
      <c r="A124" s="138" t="s">
        <v>79</v>
      </c>
      <c r="B124" s="255">
        <v>308.4840592649964</v>
      </c>
      <c r="C124" s="255">
        <v>0</v>
      </c>
    </row>
    <row r="125" spans="1:3" x14ac:dyDescent="0.3">
      <c r="A125" s="139" t="s">
        <v>80</v>
      </c>
      <c r="B125" s="255">
        <v>118.13459822342683</v>
      </c>
      <c r="C125" s="255">
        <v>0</v>
      </c>
    </row>
    <row r="126" spans="1:3" x14ac:dyDescent="0.3">
      <c r="A126" s="139" t="s">
        <v>81</v>
      </c>
      <c r="B126" s="255">
        <v>95.572951150578859</v>
      </c>
      <c r="C126" s="255">
        <v>0</v>
      </c>
    </row>
    <row r="127" spans="1:3" x14ac:dyDescent="0.3">
      <c r="A127" s="139" t="s">
        <v>82</v>
      </c>
      <c r="B127" s="255">
        <v>94.776509890990695</v>
      </c>
      <c r="C127" s="255">
        <v>0</v>
      </c>
    </row>
    <row r="128" spans="1:3" x14ac:dyDescent="0.3">
      <c r="A128" s="138" t="s">
        <v>83</v>
      </c>
      <c r="B128" s="255">
        <v>279.6169761392083</v>
      </c>
      <c r="C128" s="255">
        <v>0</v>
      </c>
    </row>
    <row r="129" spans="1:3" x14ac:dyDescent="0.3">
      <c r="A129" s="139" t="s">
        <v>84</v>
      </c>
      <c r="B129" s="255">
        <v>93.986705641899107</v>
      </c>
      <c r="C129" s="255">
        <v>0</v>
      </c>
    </row>
    <row r="130" spans="1:3" x14ac:dyDescent="0.3">
      <c r="A130" s="139" t="s">
        <v>85</v>
      </c>
      <c r="B130" s="255">
        <v>93.203483094883282</v>
      </c>
      <c r="C130" s="255">
        <v>0</v>
      </c>
    </row>
    <row r="131" spans="1:3" x14ac:dyDescent="0.3">
      <c r="A131" s="139" t="s">
        <v>86</v>
      </c>
      <c r="B131" s="255">
        <v>92.426787402425916</v>
      </c>
      <c r="C131" s="255">
        <v>0</v>
      </c>
    </row>
    <row r="132" spans="1:3" x14ac:dyDescent="0.3">
      <c r="A132" s="138" t="s">
        <v>87</v>
      </c>
      <c r="B132" s="255">
        <v>272.68464345704405</v>
      </c>
      <c r="C132" s="255">
        <v>0</v>
      </c>
    </row>
    <row r="133" spans="1:3" x14ac:dyDescent="0.3">
      <c r="A133" s="139" t="s">
        <v>88</v>
      </c>
      <c r="B133" s="255">
        <v>91.656564174072372</v>
      </c>
      <c r="C133" s="255">
        <v>0</v>
      </c>
    </row>
    <row r="134" spans="1:3" x14ac:dyDescent="0.3">
      <c r="A134" s="139" t="s">
        <v>89</v>
      </c>
      <c r="B134" s="255">
        <v>90.892759472621762</v>
      </c>
      <c r="C134" s="255">
        <v>0</v>
      </c>
    </row>
    <row r="135" spans="1:3" x14ac:dyDescent="0.3">
      <c r="A135" s="139" t="s">
        <v>169</v>
      </c>
      <c r="B135" s="255">
        <v>90.135319810349912</v>
      </c>
      <c r="C135" s="255">
        <v>0</v>
      </c>
    </row>
    <row r="136" spans="1:3" x14ac:dyDescent="0.3">
      <c r="A136" s="138" t="s">
        <v>90</v>
      </c>
      <c r="B136" s="255">
        <v>265.924178867725</v>
      </c>
      <c r="C136" s="255">
        <v>0</v>
      </c>
    </row>
    <row r="137" spans="1:3" x14ac:dyDescent="0.3">
      <c r="A137" s="139" t="s">
        <v>91</v>
      </c>
      <c r="B137" s="255">
        <v>89.384192145263654</v>
      </c>
      <c r="C137" s="255">
        <v>0</v>
      </c>
    </row>
    <row r="138" spans="1:3" x14ac:dyDescent="0.3">
      <c r="A138" s="139" t="s">
        <v>92</v>
      </c>
      <c r="B138" s="255">
        <v>88.63932387738646</v>
      </c>
      <c r="C138" s="255">
        <v>0</v>
      </c>
    </row>
    <row r="139" spans="1:3" x14ac:dyDescent="0.3">
      <c r="A139" s="139" t="s">
        <v>93</v>
      </c>
      <c r="B139" s="255">
        <v>87.900662845074905</v>
      </c>
      <c r="C139" s="255">
        <v>0</v>
      </c>
    </row>
    <row r="140" spans="1:3" x14ac:dyDescent="0.3">
      <c r="A140" s="7" t="s">
        <v>41</v>
      </c>
      <c r="B140" s="255">
        <v>87.168157321365939</v>
      </c>
      <c r="C140" s="255">
        <v>-36.449168219262944</v>
      </c>
    </row>
    <row r="141" spans="1:3" x14ac:dyDescent="0.3">
      <c r="A141" s="138" t="s">
        <v>79</v>
      </c>
      <c r="B141" s="255">
        <v>87.168157321365939</v>
      </c>
      <c r="C141" s="255">
        <v>-2.8550171290345503</v>
      </c>
    </row>
    <row r="142" spans="1:3" x14ac:dyDescent="0.3">
      <c r="A142" s="139" t="s">
        <v>80</v>
      </c>
      <c r="B142" s="255">
        <v>87.168157321365939</v>
      </c>
      <c r="C142" s="255">
        <v>0</v>
      </c>
    </row>
    <row r="143" spans="1:3" x14ac:dyDescent="0.3">
      <c r="A143" s="139" t="s">
        <v>81</v>
      </c>
      <c r="B143" s="255">
        <v>0</v>
      </c>
      <c r="C143" s="255">
        <v>0</v>
      </c>
    </row>
    <row r="144" spans="1:3" x14ac:dyDescent="0.3">
      <c r="A144" s="139" t="s">
        <v>82</v>
      </c>
      <c r="B144" s="255">
        <v>0</v>
      </c>
      <c r="C144" s="255">
        <v>-2.8550171290345503</v>
      </c>
    </row>
    <row r="145" spans="1:3" x14ac:dyDescent="0.3">
      <c r="A145" s="138" t="s">
        <v>83</v>
      </c>
      <c r="B145" s="255">
        <v>0</v>
      </c>
      <c r="C145" s="255">
        <v>-33.594151090228394</v>
      </c>
    </row>
    <row r="146" spans="1:3" x14ac:dyDescent="0.3">
      <c r="A146" s="139" t="s">
        <v>84</v>
      </c>
      <c r="B146" s="255">
        <v>0</v>
      </c>
      <c r="C146" s="255">
        <v>-22.294756627981585</v>
      </c>
    </row>
    <row r="147" spans="1:3" x14ac:dyDescent="0.3">
      <c r="A147" s="139" t="s">
        <v>85</v>
      </c>
      <c r="B147" s="255">
        <v>0</v>
      </c>
      <c r="C147" s="255">
        <v>0</v>
      </c>
    </row>
    <row r="148" spans="1:3" x14ac:dyDescent="0.3">
      <c r="A148" s="139" t="s">
        <v>86</v>
      </c>
      <c r="B148" s="255">
        <v>0</v>
      </c>
      <c r="C148" s="255">
        <v>-11.299394462246809</v>
      </c>
    </row>
    <row r="149" spans="1:3" x14ac:dyDescent="0.3">
      <c r="A149" s="138" t="s">
        <v>87</v>
      </c>
      <c r="B149" s="255">
        <v>0</v>
      </c>
      <c r="C149" s="255">
        <v>0</v>
      </c>
    </row>
    <row r="150" spans="1:3" x14ac:dyDescent="0.3">
      <c r="A150" s="139" t="s">
        <v>88</v>
      </c>
      <c r="B150" s="255">
        <v>0</v>
      </c>
      <c r="C150" s="255">
        <v>0</v>
      </c>
    </row>
    <row r="151" spans="1:3" x14ac:dyDescent="0.3">
      <c r="A151" s="139" t="s">
        <v>89</v>
      </c>
      <c r="B151" s="255">
        <v>0</v>
      </c>
      <c r="C151" s="255">
        <v>0</v>
      </c>
    </row>
    <row r="152" spans="1:3" x14ac:dyDescent="0.3">
      <c r="A152" s="139" t="s">
        <v>169</v>
      </c>
      <c r="B152" s="255">
        <v>0</v>
      </c>
      <c r="C152" s="255">
        <v>0</v>
      </c>
    </row>
    <row r="153" spans="1:3" x14ac:dyDescent="0.3">
      <c r="A153" s="138" t="s">
        <v>90</v>
      </c>
      <c r="B153" s="255">
        <v>0</v>
      </c>
      <c r="C153" s="255">
        <v>0</v>
      </c>
    </row>
    <row r="154" spans="1:3" x14ac:dyDescent="0.3">
      <c r="A154" s="139" t="s">
        <v>91</v>
      </c>
      <c r="B154" s="255">
        <v>0</v>
      </c>
      <c r="C154" s="255">
        <v>0</v>
      </c>
    </row>
    <row r="155" spans="1:3" x14ac:dyDescent="0.3">
      <c r="A155" s="139" t="s">
        <v>92</v>
      </c>
      <c r="B155" s="255">
        <v>0</v>
      </c>
      <c r="C155" s="255">
        <v>0</v>
      </c>
    </row>
    <row r="156" spans="1:3" x14ac:dyDescent="0.3">
      <c r="A156" s="139" t="s">
        <v>93</v>
      </c>
      <c r="B156" s="255">
        <v>0</v>
      </c>
      <c r="C156" s="255">
        <v>0</v>
      </c>
    </row>
    <row r="157" spans="1:3" x14ac:dyDescent="0.3">
      <c r="A157" s="7" t="s">
        <v>42</v>
      </c>
      <c r="B157" s="255">
        <v>1712.3948302690474</v>
      </c>
      <c r="C157" s="255">
        <v>-645.45731316209105</v>
      </c>
    </row>
    <row r="158" spans="1:3" x14ac:dyDescent="0.3">
      <c r="A158" s="138" t="s">
        <v>79</v>
      </c>
      <c r="B158" s="255">
        <v>445.82367647222225</v>
      </c>
      <c r="C158" s="255">
        <v>176.58951235751746</v>
      </c>
    </row>
    <row r="159" spans="1:3" x14ac:dyDescent="0.3">
      <c r="A159" s="139" t="s">
        <v>80</v>
      </c>
      <c r="B159" s="255">
        <v>149.85320000000002</v>
      </c>
      <c r="C159" s="255">
        <v>382.72310739023692</v>
      </c>
    </row>
    <row r="160" spans="1:3" x14ac:dyDescent="0.3">
      <c r="A160" s="139" t="s">
        <v>81</v>
      </c>
      <c r="B160" s="255">
        <v>148.60442333333333</v>
      </c>
      <c r="C160" s="255">
        <v>-82.270311011537217</v>
      </c>
    </row>
    <row r="161" spans="1:3" x14ac:dyDescent="0.3">
      <c r="A161" s="139" t="s">
        <v>82</v>
      </c>
      <c r="B161" s="255">
        <v>147.36605313888887</v>
      </c>
      <c r="C161" s="255">
        <v>-123.86328402118224</v>
      </c>
    </row>
    <row r="162" spans="1:3" x14ac:dyDescent="0.3">
      <c r="A162" s="138" t="s">
        <v>83</v>
      </c>
      <c r="B162" s="255">
        <v>434.77070649320228</v>
      </c>
      <c r="C162" s="255">
        <v>-123.04591776483234</v>
      </c>
    </row>
    <row r="163" spans="1:3" x14ac:dyDescent="0.3">
      <c r="A163" s="139" t="s">
        <v>84</v>
      </c>
      <c r="B163" s="255">
        <v>146.1380026960648</v>
      </c>
      <c r="C163" s="255">
        <v>-91.645728312834265</v>
      </c>
    </row>
    <row r="164" spans="1:3" x14ac:dyDescent="0.3">
      <c r="A164" s="139" t="s">
        <v>85</v>
      </c>
      <c r="B164" s="255">
        <v>144.92018600693095</v>
      </c>
      <c r="C164" s="255">
        <v>-31.400189451998074</v>
      </c>
    </row>
    <row r="165" spans="1:3" x14ac:dyDescent="0.3">
      <c r="A165" s="139" t="s">
        <v>86</v>
      </c>
      <c r="B165" s="255">
        <v>143.71251779020653</v>
      </c>
      <c r="C165" s="255">
        <v>0</v>
      </c>
    </row>
    <row r="166" spans="1:3" x14ac:dyDescent="0.3">
      <c r="A166" s="138" t="s">
        <v>87</v>
      </c>
      <c r="B166" s="255">
        <v>421.12048484722231</v>
      </c>
      <c r="C166" s="255">
        <v>-21.464294520024609</v>
      </c>
    </row>
    <row r="167" spans="1:3" x14ac:dyDescent="0.3">
      <c r="A167" s="139" t="s">
        <v>88</v>
      </c>
      <c r="B167" s="255">
        <v>141.54980000000003</v>
      </c>
      <c r="C167" s="255">
        <v>0</v>
      </c>
    </row>
    <row r="168" spans="1:3" x14ac:dyDescent="0.3">
      <c r="A168" s="139" t="s">
        <v>89</v>
      </c>
      <c r="B168" s="255">
        <v>140.37021833333338</v>
      </c>
      <c r="C168" s="255">
        <v>0</v>
      </c>
    </row>
    <row r="169" spans="1:3" x14ac:dyDescent="0.3">
      <c r="A169" s="139" t="s">
        <v>169</v>
      </c>
      <c r="B169" s="255">
        <v>139.20046651388893</v>
      </c>
      <c r="C169" s="255">
        <v>-21.464294520024609</v>
      </c>
    </row>
    <row r="170" spans="1:3" x14ac:dyDescent="0.3">
      <c r="A170" s="138" t="s">
        <v>90</v>
      </c>
      <c r="B170" s="255">
        <v>410.67996245640063</v>
      </c>
      <c r="C170" s="255">
        <v>-677.53661323475148</v>
      </c>
    </row>
    <row r="171" spans="1:3" x14ac:dyDescent="0.3">
      <c r="A171" s="139" t="s">
        <v>91</v>
      </c>
      <c r="B171" s="255">
        <v>138.04046262627318</v>
      </c>
      <c r="C171" s="255">
        <v>0</v>
      </c>
    </row>
    <row r="172" spans="1:3" x14ac:dyDescent="0.3">
      <c r="A172" s="139" t="s">
        <v>92</v>
      </c>
      <c r="B172" s="255">
        <v>136.89012543772091</v>
      </c>
      <c r="C172" s="255">
        <v>-191.93400527059674</v>
      </c>
    </row>
    <row r="173" spans="1:3" x14ac:dyDescent="0.3">
      <c r="A173" s="139" t="s">
        <v>93</v>
      </c>
      <c r="B173" s="255">
        <v>135.74937439240657</v>
      </c>
      <c r="C173" s="255">
        <v>-485.6026079641548</v>
      </c>
    </row>
    <row r="174" spans="1:3" x14ac:dyDescent="0.3">
      <c r="A174" s="7" t="s">
        <v>43</v>
      </c>
      <c r="B174" s="255">
        <v>265.80445560853104</v>
      </c>
      <c r="C174" s="255">
        <v>867.76780865784872</v>
      </c>
    </row>
    <row r="175" spans="1:3" x14ac:dyDescent="0.3">
      <c r="A175" s="138" t="s">
        <v>79</v>
      </c>
      <c r="B175" s="255">
        <v>159.37706178790432</v>
      </c>
      <c r="C175" s="255">
        <v>-107.62137103846203</v>
      </c>
    </row>
    <row r="176" spans="1:3" x14ac:dyDescent="0.3">
      <c r="A176" s="139" t="s">
        <v>80</v>
      </c>
      <c r="B176" s="255">
        <v>134.61812960580318</v>
      </c>
      <c r="C176" s="255">
        <v>-107.62137103846203</v>
      </c>
    </row>
    <row r="177" spans="1:3" x14ac:dyDescent="0.3">
      <c r="A177" s="139" t="s">
        <v>81</v>
      </c>
      <c r="B177" s="255">
        <v>12.431263020301827</v>
      </c>
      <c r="C177" s="255">
        <v>0</v>
      </c>
    </row>
    <row r="178" spans="1:3" x14ac:dyDescent="0.3">
      <c r="A178" s="139" t="s">
        <v>82</v>
      </c>
      <c r="B178" s="255">
        <v>12.327669161799312</v>
      </c>
      <c r="C178" s="255">
        <v>0</v>
      </c>
    </row>
    <row r="179" spans="1:3" x14ac:dyDescent="0.3">
      <c r="A179" s="138" t="s">
        <v>83</v>
      </c>
      <c r="B179" s="255">
        <v>36.37004124578511</v>
      </c>
      <c r="C179" s="255">
        <v>0</v>
      </c>
    </row>
    <row r="180" spans="1:3" x14ac:dyDescent="0.3">
      <c r="A180" s="139" t="s">
        <v>84</v>
      </c>
      <c r="B180" s="255">
        <v>12.224938585450984</v>
      </c>
      <c r="C180" s="255">
        <v>0</v>
      </c>
    </row>
    <row r="181" spans="1:3" x14ac:dyDescent="0.3">
      <c r="A181" s="139" t="s">
        <v>85</v>
      </c>
      <c r="B181" s="255">
        <v>12.123064097238892</v>
      </c>
      <c r="C181" s="255">
        <v>0</v>
      </c>
    </row>
    <row r="182" spans="1:3" x14ac:dyDescent="0.3">
      <c r="A182" s="139" t="s">
        <v>86</v>
      </c>
      <c r="B182" s="255">
        <v>12.022038563095235</v>
      </c>
      <c r="C182" s="255">
        <v>0</v>
      </c>
    </row>
    <row r="183" spans="1:3" x14ac:dyDescent="0.3">
      <c r="A183" s="138" t="s">
        <v>87</v>
      </c>
      <c r="B183" s="255">
        <v>35.46834625908911</v>
      </c>
      <c r="C183" s="255">
        <v>0</v>
      </c>
    </row>
    <row r="184" spans="1:3" x14ac:dyDescent="0.3">
      <c r="A184" s="139" t="s">
        <v>88</v>
      </c>
      <c r="B184" s="255">
        <v>11.921854908402773</v>
      </c>
      <c r="C184" s="255">
        <v>0</v>
      </c>
    </row>
    <row r="185" spans="1:3" x14ac:dyDescent="0.3">
      <c r="A185" s="139" t="s">
        <v>89</v>
      </c>
      <c r="B185" s="255">
        <v>11.822506117499417</v>
      </c>
      <c r="C185" s="255">
        <v>0</v>
      </c>
    </row>
    <row r="186" spans="1:3" x14ac:dyDescent="0.3">
      <c r="A186" s="139" t="s">
        <v>169</v>
      </c>
      <c r="B186" s="255">
        <v>11.723985233186921</v>
      </c>
      <c r="C186" s="255">
        <v>0</v>
      </c>
    </row>
    <row r="187" spans="1:3" x14ac:dyDescent="0.3">
      <c r="A187" s="138" t="s">
        <v>90</v>
      </c>
      <c r="B187" s="255">
        <v>34.589006315752513</v>
      </c>
      <c r="C187" s="255">
        <v>975.38917969631075</v>
      </c>
    </row>
    <row r="188" spans="1:3" x14ac:dyDescent="0.3">
      <c r="A188" s="139" t="s">
        <v>91</v>
      </c>
      <c r="B188" s="255">
        <v>11.626285356243697</v>
      </c>
      <c r="C188" s="255">
        <v>0</v>
      </c>
    </row>
    <row r="189" spans="1:3" x14ac:dyDescent="0.3">
      <c r="A189" s="139" t="s">
        <v>92</v>
      </c>
      <c r="B189" s="255">
        <v>11.529399644941666</v>
      </c>
      <c r="C189" s="255">
        <v>0</v>
      </c>
    </row>
    <row r="190" spans="1:3" x14ac:dyDescent="0.3">
      <c r="A190" s="139" t="s">
        <v>93</v>
      </c>
      <c r="B190" s="255">
        <v>11.43332131456715</v>
      </c>
      <c r="C190" s="255">
        <v>975.38917969631075</v>
      </c>
    </row>
    <row r="191" spans="1:3" x14ac:dyDescent="0.3">
      <c r="A191" s="7" t="s">
        <v>44</v>
      </c>
      <c r="B191" s="255">
        <v>11.338043636945759</v>
      </c>
      <c r="C191" s="255">
        <v>177.47023922966127</v>
      </c>
    </row>
    <row r="192" spans="1:3" x14ac:dyDescent="0.3">
      <c r="A192" s="138" t="s">
        <v>79</v>
      </c>
      <c r="B192" s="255">
        <v>11.338043636945759</v>
      </c>
      <c r="C192" s="255">
        <v>177.47023922966127</v>
      </c>
    </row>
    <row r="193" spans="1:3" x14ac:dyDescent="0.3">
      <c r="A193" s="139" t="s">
        <v>80</v>
      </c>
      <c r="B193" s="255">
        <v>11.338043636945759</v>
      </c>
      <c r="C193" s="255">
        <v>177.47023922966127</v>
      </c>
    </row>
    <row r="194" spans="1:3" x14ac:dyDescent="0.3">
      <c r="A194" s="139" t="s">
        <v>81</v>
      </c>
      <c r="B194" s="255">
        <v>0</v>
      </c>
      <c r="C194" s="255">
        <v>0</v>
      </c>
    </row>
    <row r="195" spans="1:3" x14ac:dyDescent="0.3">
      <c r="A195" s="139" t="s">
        <v>82</v>
      </c>
      <c r="B195" s="255">
        <v>0</v>
      </c>
      <c r="C195" s="255">
        <v>0</v>
      </c>
    </row>
    <row r="196" spans="1:3" x14ac:dyDescent="0.3">
      <c r="A196" s="138" t="s">
        <v>83</v>
      </c>
      <c r="B196" s="255">
        <v>0</v>
      </c>
      <c r="C196" s="255">
        <v>0</v>
      </c>
    </row>
    <row r="197" spans="1:3" x14ac:dyDescent="0.3">
      <c r="A197" s="139" t="s">
        <v>84</v>
      </c>
      <c r="B197" s="255">
        <v>0</v>
      </c>
      <c r="C197" s="255">
        <v>0</v>
      </c>
    </row>
    <row r="198" spans="1:3" x14ac:dyDescent="0.3">
      <c r="A198" s="139" t="s">
        <v>85</v>
      </c>
      <c r="B198" s="255">
        <v>0</v>
      </c>
      <c r="C198" s="255">
        <v>0</v>
      </c>
    </row>
    <row r="199" spans="1:3" x14ac:dyDescent="0.3">
      <c r="A199" s="139" t="s">
        <v>86</v>
      </c>
      <c r="B199" s="255">
        <v>0</v>
      </c>
      <c r="C199" s="255">
        <v>0</v>
      </c>
    </row>
    <row r="200" spans="1:3" x14ac:dyDescent="0.3">
      <c r="A200" s="138" t="s">
        <v>87</v>
      </c>
      <c r="B200" s="255">
        <v>0</v>
      </c>
      <c r="C200" s="255">
        <v>0</v>
      </c>
    </row>
    <row r="201" spans="1:3" x14ac:dyDescent="0.3">
      <c r="A201" s="139" t="s">
        <v>88</v>
      </c>
      <c r="B201" s="255">
        <v>0</v>
      </c>
      <c r="C201" s="255">
        <v>0</v>
      </c>
    </row>
    <row r="202" spans="1:3" x14ac:dyDescent="0.3">
      <c r="A202" s="139" t="s">
        <v>89</v>
      </c>
      <c r="B202" s="255">
        <v>0</v>
      </c>
      <c r="C202" s="255">
        <v>0</v>
      </c>
    </row>
    <row r="203" spans="1:3" x14ac:dyDescent="0.3">
      <c r="A203" s="139" t="s">
        <v>169</v>
      </c>
      <c r="B203" s="255">
        <v>0</v>
      </c>
      <c r="C203" s="255">
        <v>0</v>
      </c>
    </row>
    <row r="204" spans="1:3" x14ac:dyDescent="0.3">
      <c r="A204" s="138" t="s">
        <v>90</v>
      </c>
      <c r="B204" s="255">
        <v>0</v>
      </c>
      <c r="C204" s="255">
        <v>0</v>
      </c>
    </row>
    <row r="205" spans="1:3" x14ac:dyDescent="0.3">
      <c r="A205" s="139" t="s">
        <v>91</v>
      </c>
      <c r="B205" s="255">
        <v>0</v>
      </c>
      <c r="C205" s="255">
        <v>0</v>
      </c>
    </row>
    <row r="206" spans="1:3" x14ac:dyDescent="0.3">
      <c r="A206" s="139" t="s">
        <v>92</v>
      </c>
      <c r="B206" s="255">
        <v>0</v>
      </c>
      <c r="C206" s="255">
        <v>0</v>
      </c>
    </row>
    <row r="207" spans="1:3" x14ac:dyDescent="0.3">
      <c r="A207" s="139" t="s">
        <v>93</v>
      </c>
      <c r="B207" s="255">
        <v>0</v>
      </c>
      <c r="C207" s="255">
        <v>0</v>
      </c>
    </row>
    <row r="208" spans="1:3" x14ac:dyDescent="0.3">
      <c r="A208" s="7" t="s">
        <v>45</v>
      </c>
      <c r="B208" s="255">
        <v>70.857347398450457</v>
      </c>
      <c r="C208" s="255">
        <v>-20.661756593066059</v>
      </c>
    </row>
    <row r="209" spans="1:3" x14ac:dyDescent="0.3">
      <c r="A209" s="138" t="s">
        <v>79</v>
      </c>
      <c r="B209" s="255">
        <v>18.386883490459322</v>
      </c>
      <c r="C209" s="255">
        <v>235.91060386809534</v>
      </c>
    </row>
    <row r="210" spans="1:3" x14ac:dyDescent="0.3">
      <c r="A210" s="139" t="s">
        <v>80</v>
      </c>
      <c r="B210" s="255">
        <v>6.1803207736190622</v>
      </c>
      <c r="C210" s="255">
        <v>235.91060386809534</v>
      </c>
    </row>
    <row r="211" spans="1:3" x14ac:dyDescent="0.3">
      <c r="A211" s="139" t="s">
        <v>81</v>
      </c>
      <c r="B211" s="255">
        <v>6.12881810050557</v>
      </c>
      <c r="C211" s="255">
        <v>0</v>
      </c>
    </row>
    <row r="212" spans="1:3" x14ac:dyDescent="0.3">
      <c r="A212" s="139" t="s">
        <v>82</v>
      </c>
      <c r="B212" s="255">
        <v>6.07774461633469</v>
      </c>
      <c r="C212" s="255">
        <v>0</v>
      </c>
    </row>
    <row r="213" spans="1:3" x14ac:dyDescent="0.3">
      <c r="A213" s="138" t="s">
        <v>83</v>
      </c>
      <c r="B213" s="255">
        <v>17.931031363367445</v>
      </c>
      <c r="C213" s="255">
        <v>0</v>
      </c>
    </row>
    <row r="214" spans="1:3" x14ac:dyDescent="0.3">
      <c r="A214" s="139" t="s">
        <v>84</v>
      </c>
      <c r="B214" s="255">
        <v>6.0270967445319013</v>
      </c>
      <c r="C214" s="255">
        <v>0</v>
      </c>
    </row>
    <row r="215" spans="1:3" x14ac:dyDescent="0.3">
      <c r="A215" s="139" t="s">
        <v>85</v>
      </c>
      <c r="B215" s="255">
        <v>5.976870938327469</v>
      </c>
      <c r="C215" s="255">
        <v>0</v>
      </c>
    </row>
    <row r="216" spans="1:3" x14ac:dyDescent="0.3">
      <c r="A216" s="139" t="s">
        <v>86</v>
      </c>
      <c r="B216" s="255">
        <v>5.9270636805080734</v>
      </c>
      <c r="C216" s="255">
        <v>0</v>
      </c>
    </row>
    <row r="217" spans="1:3" x14ac:dyDescent="0.3">
      <c r="A217" s="138" t="s">
        <v>87</v>
      </c>
      <c r="B217" s="255">
        <v>17.48648083406303</v>
      </c>
      <c r="C217" s="255">
        <v>-93.157300589732216</v>
      </c>
    </row>
    <row r="218" spans="1:3" x14ac:dyDescent="0.3">
      <c r="A218" s="139" t="s">
        <v>88</v>
      </c>
      <c r="B218" s="255">
        <v>5.8776714831705057</v>
      </c>
      <c r="C218" s="255">
        <v>0</v>
      </c>
    </row>
    <row r="219" spans="1:3" x14ac:dyDescent="0.3">
      <c r="A219" s="139" t="s">
        <v>89</v>
      </c>
      <c r="B219" s="255">
        <v>5.8286908874774186</v>
      </c>
      <c r="C219" s="255">
        <v>0</v>
      </c>
    </row>
    <row r="220" spans="1:3" x14ac:dyDescent="0.3">
      <c r="A220" s="139" t="s">
        <v>169</v>
      </c>
      <c r="B220" s="255">
        <v>5.780118463415107</v>
      </c>
      <c r="C220" s="255">
        <v>-93.157300589732216</v>
      </c>
    </row>
    <row r="221" spans="1:3" x14ac:dyDescent="0.3">
      <c r="A221" s="138" t="s">
        <v>90</v>
      </c>
      <c r="B221" s="255">
        <v>17.052951710560663</v>
      </c>
      <c r="C221" s="255">
        <v>-163.41505987142918</v>
      </c>
    </row>
    <row r="222" spans="1:3" x14ac:dyDescent="0.3">
      <c r="A222" s="139" t="s">
        <v>91</v>
      </c>
      <c r="B222" s="255">
        <v>5.7319508095533145</v>
      </c>
      <c r="C222" s="255">
        <v>-163.41505987142918</v>
      </c>
    </row>
    <row r="223" spans="1:3" x14ac:dyDescent="0.3">
      <c r="A223" s="139" t="s">
        <v>92</v>
      </c>
      <c r="B223" s="255">
        <v>5.6841845528070367</v>
      </c>
      <c r="C223" s="255">
        <v>0</v>
      </c>
    </row>
    <row r="224" spans="1:3" x14ac:dyDescent="0.3">
      <c r="A224" s="139" t="s">
        <v>93</v>
      </c>
      <c r="B224" s="255">
        <v>5.6368163482003117</v>
      </c>
      <c r="C224" s="255">
        <v>0</v>
      </c>
    </row>
    <row r="225" spans="1:3" x14ac:dyDescent="0.3">
      <c r="A225" s="7" t="s">
        <v>46</v>
      </c>
      <c r="B225" s="255">
        <v>5.5898428786319752</v>
      </c>
      <c r="C225" s="255">
        <v>-4.7942407492064092</v>
      </c>
    </row>
    <row r="226" spans="1:3" x14ac:dyDescent="0.3">
      <c r="A226" s="138" t="s">
        <v>79</v>
      </c>
      <c r="B226" s="255">
        <v>5.5898428786319752</v>
      </c>
      <c r="C226" s="255">
        <v>0</v>
      </c>
    </row>
    <row r="227" spans="1:3" x14ac:dyDescent="0.3">
      <c r="A227" s="139" t="s">
        <v>80</v>
      </c>
      <c r="B227" s="255">
        <v>5.5898428786319752</v>
      </c>
      <c r="C227" s="255">
        <v>0</v>
      </c>
    </row>
    <row r="228" spans="1:3" x14ac:dyDescent="0.3">
      <c r="A228" s="139" t="s">
        <v>81</v>
      </c>
      <c r="B228" s="255">
        <v>0</v>
      </c>
      <c r="C228" s="255">
        <v>0</v>
      </c>
    </row>
    <row r="229" spans="1:3" x14ac:dyDescent="0.3">
      <c r="A229" s="139" t="s">
        <v>82</v>
      </c>
      <c r="B229" s="255">
        <v>0</v>
      </c>
      <c r="C229" s="255">
        <v>0</v>
      </c>
    </row>
    <row r="230" spans="1:3" x14ac:dyDescent="0.3">
      <c r="A230" s="138" t="s">
        <v>83</v>
      </c>
      <c r="B230" s="255">
        <v>0</v>
      </c>
      <c r="C230" s="255">
        <v>0</v>
      </c>
    </row>
    <row r="231" spans="1:3" x14ac:dyDescent="0.3">
      <c r="A231" s="139" t="s">
        <v>84</v>
      </c>
      <c r="B231" s="255">
        <v>0</v>
      </c>
      <c r="C231" s="255">
        <v>0</v>
      </c>
    </row>
    <row r="232" spans="1:3" x14ac:dyDescent="0.3">
      <c r="A232" s="139" t="s">
        <v>85</v>
      </c>
      <c r="B232" s="255">
        <v>0</v>
      </c>
      <c r="C232" s="255">
        <v>0</v>
      </c>
    </row>
    <row r="233" spans="1:3" x14ac:dyDescent="0.3">
      <c r="A233" s="139" t="s">
        <v>86</v>
      </c>
      <c r="B233" s="255">
        <v>0</v>
      </c>
      <c r="C233" s="255">
        <v>0</v>
      </c>
    </row>
    <row r="234" spans="1:3" x14ac:dyDescent="0.3">
      <c r="A234" s="138" t="s">
        <v>87</v>
      </c>
      <c r="B234" s="255">
        <v>0</v>
      </c>
      <c r="C234" s="255">
        <v>-4.7942407492064092</v>
      </c>
    </row>
    <row r="235" spans="1:3" x14ac:dyDescent="0.3">
      <c r="A235" s="139" t="s">
        <v>88</v>
      </c>
      <c r="B235" s="255">
        <v>0</v>
      </c>
      <c r="C235" s="255">
        <v>-4.7942407492064092</v>
      </c>
    </row>
    <row r="236" spans="1:3" x14ac:dyDescent="0.3">
      <c r="A236" s="139" t="s">
        <v>89</v>
      </c>
      <c r="B236" s="255">
        <v>0</v>
      </c>
      <c r="C236" s="255">
        <v>0</v>
      </c>
    </row>
    <row r="237" spans="1:3" x14ac:dyDescent="0.3">
      <c r="A237" s="139" t="s">
        <v>169</v>
      </c>
      <c r="B237" s="255">
        <v>0</v>
      </c>
      <c r="C237" s="255">
        <v>0</v>
      </c>
    </row>
    <row r="238" spans="1:3" x14ac:dyDescent="0.3">
      <c r="A238" s="138" t="s">
        <v>90</v>
      </c>
      <c r="B238" s="255">
        <v>0</v>
      </c>
      <c r="C238" s="255">
        <v>0</v>
      </c>
    </row>
    <row r="239" spans="1:3" x14ac:dyDescent="0.3">
      <c r="A239" s="139" t="s">
        <v>91</v>
      </c>
      <c r="B239" s="255">
        <v>0</v>
      </c>
      <c r="C239" s="255">
        <v>0</v>
      </c>
    </row>
    <row r="240" spans="1:3" x14ac:dyDescent="0.3">
      <c r="A240" s="139" t="s">
        <v>92</v>
      </c>
      <c r="B240" s="255">
        <v>0</v>
      </c>
      <c r="C240" s="255">
        <v>0</v>
      </c>
    </row>
    <row r="241" spans="1:3" x14ac:dyDescent="0.3">
      <c r="A241" s="139" t="s">
        <v>93</v>
      </c>
      <c r="B241" s="255">
        <v>0</v>
      </c>
      <c r="C241" s="255">
        <v>0</v>
      </c>
    </row>
    <row r="242" spans="1:3" x14ac:dyDescent="0.3">
      <c r="A242" s="7" t="s">
        <v>47</v>
      </c>
      <c r="B242" s="255">
        <v>0</v>
      </c>
      <c r="C242" s="255">
        <v>-1170.6811731465189</v>
      </c>
    </row>
    <row r="243" spans="1:3" x14ac:dyDescent="0.3">
      <c r="A243" s="138" t="s">
        <v>79</v>
      </c>
      <c r="B243" s="255">
        <v>0</v>
      </c>
      <c r="C243" s="255">
        <v>217.14625287066389</v>
      </c>
    </row>
    <row r="244" spans="1:3" x14ac:dyDescent="0.3">
      <c r="A244" s="139" t="s">
        <v>80</v>
      </c>
      <c r="B244" s="255">
        <v>0</v>
      </c>
      <c r="C244" s="255">
        <v>340.2276023943781</v>
      </c>
    </row>
    <row r="245" spans="1:3" x14ac:dyDescent="0.3">
      <c r="A245" s="139" t="s">
        <v>81</v>
      </c>
      <c r="B245" s="255">
        <v>0</v>
      </c>
      <c r="C245" s="255">
        <v>48.572933024825943</v>
      </c>
    </row>
    <row r="246" spans="1:3" x14ac:dyDescent="0.3">
      <c r="A246" s="139" t="s">
        <v>82</v>
      </c>
      <c r="B246" s="255">
        <v>0</v>
      </c>
      <c r="C246" s="255">
        <v>-171.65428254854015</v>
      </c>
    </row>
    <row r="247" spans="1:3" x14ac:dyDescent="0.3">
      <c r="A247" s="138" t="s">
        <v>83</v>
      </c>
      <c r="B247" s="255">
        <v>0</v>
      </c>
      <c r="C247" s="255">
        <v>-786.88669682913303</v>
      </c>
    </row>
    <row r="248" spans="1:3" x14ac:dyDescent="0.3">
      <c r="A248" s="139" t="s">
        <v>84</v>
      </c>
      <c r="B248" s="255">
        <v>0</v>
      </c>
      <c r="C248" s="255">
        <v>0</v>
      </c>
    </row>
    <row r="249" spans="1:3" x14ac:dyDescent="0.3">
      <c r="A249" s="139" t="s">
        <v>85</v>
      </c>
      <c r="B249" s="255">
        <v>0</v>
      </c>
      <c r="C249" s="255">
        <v>-433.81474937855285</v>
      </c>
    </row>
    <row r="250" spans="1:3" x14ac:dyDescent="0.3">
      <c r="A250" s="139" t="s">
        <v>86</v>
      </c>
      <c r="B250" s="255">
        <v>0</v>
      </c>
      <c r="C250" s="255">
        <v>-353.07194745058018</v>
      </c>
    </row>
    <row r="251" spans="1:3" x14ac:dyDescent="0.3">
      <c r="A251" s="138" t="s">
        <v>87</v>
      </c>
      <c r="B251" s="255">
        <v>0</v>
      </c>
      <c r="C251" s="255">
        <v>-584.83158679062694</v>
      </c>
    </row>
    <row r="252" spans="1:3" x14ac:dyDescent="0.3">
      <c r="A252" s="139" t="s">
        <v>88</v>
      </c>
      <c r="B252" s="255">
        <v>0</v>
      </c>
      <c r="C252" s="255">
        <v>-319.16070526749581</v>
      </c>
    </row>
    <row r="253" spans="1:3" x14ac:dyDescent="0.3">
      <c r="A253" s="139" t="s">
        <v>89</v>
      </c>
      <c r="B253" s="255">
        <v>0</v>
      </c>
      <c r="C253" s="255">
        <v>-203.38278287552038</v>
      </c>
    </row>
    <row r="254" spans="1:3" x14ac:dyDescent="0.3">
      <c r="A254" s="139" t="s">
        <v>169</v>
      </c>
      <c r="B254" s="255">
        <v>0</v>
      </c>
      <c r="C254" s="255">
        <v>-62.288098647610653</v>
      </c>
    </row>
    <row r="255" spans="1:3" x14ac:dyDescent="0.3">
      <c r="A255" s="138" t="s">
        <v>90</v>
      </c>
      <c r="B255" s="255">
        <v>0</v>
      </c>
      <c r="C255" s="255">
        <v>-16.109142397422758</v>
      </c>
    </row>
    <row r="256" spans="1:3" x14ac:dyDescent="0.3">
      <c r="A256" s="139" t="s">
        <v>91</v>
      </c>
      <c r="B256" s="255">
        <v>0</v>
      </c>
      <c r="C256" s="255">
        <v>-16.109142397422758</v>
      </c>
    </row>
    <row r="257" spans="1:3" x14ac:dyDescent="0.3">
      <c r="A257" s="139" t="s">
        <v>92</v>
      </c>
      <c r="B257" s="255">
        <v>0</v>
      </c>
      <c r="C257" s="255">
        <v>0</v>
      </c>
    </row>
    <row r="258" spans="1:3" x14ac:dyDescent="0.3">
      <c r="A258" s="139" t="s">
        <v>93</v>
      </c>
      <c r="B258" s="255">
        <v>0</v>
      </c>
      <c r="C258" s="255">
        <v>0</v>
      </c>
    </row>
    <row r="259" spans="1:3" x14ac:dyDescent="0.3">
      <c r="A259" s="7" t="s">
        <v>48</v>
      </c>
      <c r="B259" s="255">
        <v>0</v>
      </c>
      <c r="C259" s="255">
        <v>275.0384365106521</v>
      </c>
    </row>
    <row r="260" spans="1:3" x14ac:dyDescent="0.3">
      <c r="A260" s="138" t="s">
        <v>79</v>
      </c>
      <c r="B260" s="255">
        <v>0</v>
      </c>
      <c r="C260" s="255">
        <v>275.0384365106521</v>
      </c>
    </row>
    <row r="261" spans="1:3" x14ac:dyDescent="0.3">
      <c r="A261" s="139" t="s">
        <v>80</v>
      </c>
      <c r="B261" s="255">
        <v>0</v>
      </c>
      <c r="C261" s="255">
        <v>275.0384365106521</v>
      </c>
    </row>
    <row r="262" spans="1:3" x14ac:dyDescent="0.3">
      <c r="A262" s="139" t="s">
        <v>81</v>
      </c>
      <c r="B262" s="255">
        <v>0</v>
      </c>
      <c r="C262" s="255">
        <v>0</v>
      </c>
    </row>
    <row r="263" spans="1:3" x14ac:dyDescent="0.3">
      <c r="A263" s="139" t="s">
        <v>82</v>
      </c>
      <c r="B263" s="255">
        <v>0</v>
      </c>
      <c r="C263" s="255">
        <v>0</v>
      </c>
    </row>
    <row r="264" spans="1:3" x14ac:dyDescent="0.3">
      <c r="A264" s="138" t="s">
        <v>83</v>
      </c>
      <c r="B264" s="255">
        <v>0</v>
      </c>
      <c r="C264" s="255">
        <v>0</v>
      </c>
    </row>
    <row r="265" spans="1:3" x14ac:dyDescent="0.3">
      <c r="A265" s="139" t="s">
        <v>84</v>
      </c>
      <c r="B265" s="255">
        <v>0</v>
      </c>
      <c r="C265" s="255">
        <v>0</v>
      </c>
    </row>
    <row r="266" spans="1:3" x14ac:dyDescent="0.3">
      <c r="A266" s="139" t="s">
        <v>85</v>
      </c>
      <c r="B266" s="255">
        <v>0</v>
      </c>
      <c r="C266" s="255">
        <v>0</v>
      </c>
    </row>
    <row r="267" spans="1:3" x14ac:dyDescent="0.3">
      <c r="A267" s="139" t="s">
        <v>86</v>
      </c>
      <c r="B267" s="255">
        <v>0</v>
      </c>
      <c r="C267" s="255">
        <v>0</v>
      </c>
    </row>
    <row r="268" spans="1:3" x14ac:dyDescent="0.3">
      <c r="A268" s="138" t="s">
        <v>87</v>
      </c>
      <c r="B268" s="255">
        <v>0</v>
      </c>
      <c r="C268" s="255">
        <v>0</v>
      </c>
    </row>
    <row r="269" spans="1:3" x14ac:dyDescent="0.3">
      <c r="A269" s="139" t="s">
        <v>88</v>
      </c>
      <c r="B269" s="255">
        <v>0</v>
      </c>
      <c r="C269" s="255">
        <v>0</v>
      </c>
    </row>
    <row r="270" spans="1:3" x14ac:dyDescent="0.3">
      <c r="A270" s="139" t="s">
        <v>89</v>
      </c>
      <c r="B270" s="255">
        <v>0</v>
      </c>
      <c r="C270" s="255">
        <v>0</v>
      </c>
    </row>
    <row r="271" spans="1:3" x14ac:dyDescent="0.3">
      <c r="A271" s="139" t="s">
        <v>169</v>
      </c>
      <c r="B271" s="255">
        <v>0</v>
      </c>
      <c r="C271" s="255">
        <v>0</v>
      </c>
    </row>
    <row r="272" spans="1:3" x14ac:dyDescent="0.3">
      <c r="A272" s="138" t="s">
        <v>90</v>
      </c>
      <c r="B272" s="255">
        <v>0</v>
      </c>
      <c r="C272" s="255">
        <v>0</v>
      </c>
    </row>
    <row r="273" spans="1:3" x14ac:dyDescent="0.3">
      <c r="A273" s="139" t="s">
        <v>91</v>
      </c>
      <c r="B273" s="255">
        <v>0</v>
      </c>
      <c r="C273" s="255">
        <v>0</v>
      </c>
    </row>
    <row r="274" spans="1:3" x14ac:dyDescent="0.3">
      <c r="A274" s="139" t="s">
        <v>92</v>
      </c>
      <c r="B274" s="255">
        <v>0</v>
      </c>
      <c r="C274" s="255">
        <v>0</v>
      </c>
    </row>
    <row r="275" spans="1:3" x14ac:dyDescent="0.3">
      <c r="A275" s="139" t="s">
        <v>93</v>
      </c>
      <c r="B275" s="255">
        <v>0</v>
      </c>
      <c r="C275" s="255">
        <v>0</v>
      </c>
    </row>
    <row r="276" spans="1:3" x14ac:dyDescent="0.3">
      <c r="A276" s="7" t="s">
        <v>49</v>
      </c>
      <c r="B276" s="255">
        <v>0</v>
      </c>
      <c r="C276" s="255">
        <v>668.21284812066995</v>
      </c>
    </row>
    <row r="277" spans="1:3" x14ac:dyDescent="0.3">
      <c r="A277" s="138" t="s">
        <v>79</v>
      </c>
      <c r="B277" s="255">
        <v>0</v>
      </c>
      <c r="C277" s="255">
        <v>668.21284812066995</v>
      </c>
    </row>
    <row r="278" spans="1:3" x14ac:dyDescent="0.3">
      <c r="A278" s="139" t="s">
        <v>80</v>
      </c>
      <c r="B278" s="255">
        <v>0</v>
      </c>
      <c r="C278" s="255">
        <v>563.05508728158941</v>
      </c>
    </row>
    <row r="279" spans="1:3" x14ac:dyDescent="0.3">
      <c r="A279" s="139" t="s">
        <v>81</v>
      </c>
      <c r="B279" s="255">
        <v>0</v>
      </c>
      <c r="C279" s="255">
        <v>105.15776083908054</v>
      </c>
    </row>
    <row r="280" spans="1:3" x14ac:dyDescent="0.3">
      <c r="A280" s="139" t="s">
        <v>82</v>
      </c>
      <c r="B280" s="255">
        <v>0</v>
      </c>
      <c r="C280" s="255">
        <v>0</v>
      </c>
    </row>
    <row r="281" spans="1:3" x14ac:dyDescent="0.3">
      <c r="A281" s="138" t="s">
        <v>83</v>
      </c>
      <c r="B281" s="255">
        <v>0</v>
      </c>
      <c r="C281" s="255">
        <v>0</v>
      </c>
    </row>
    <row r="282" spans="1:3" x14ac:dyDescent="0.3">
      <c r="A282" s="139" t="s">
        <v>84</v>
      </c>
      <c r="B282" s="255">
        <v>0</v>
      </c>
      <c r="C282" s="255">
        <v>0</v>
      </c>
    </row>
    <row r="283" spans="1:3" x14ac:dyDescent="0.3">
      <c r="A283" s="139" t="s">
        <v>85</v>
      </c>
      <c r="B283" s="255">
        <v>0</v>
      </c>
      <c r="C283" s="255">
        <v>0</v>
      </c>
    </row>
    <row r="284" spans="1:3" x14ac:dyDescent="0.3">
      <c r="A284" s="139" t="s">
        <v>86</v>
      </c>
      <c r="B284" s="255">
        <v>0</v>
      </c>
      <c r="C284" s="255">
        <v>0</v>
      </c>
    </row>
    <row r="285" spans="1:3" x14ac:dyDescent="0.3">
      <c r="A285" s="138" t="s">
        <v>87</v>
      </c>
      <c r="B285" s="255">
        <v>0</v>
      </c>
      <c r="C285" s="255">
        <v>0</v>
      </c>
    </row>
    <row r="286" spans="1:3" x14ac:dyDescent="0.3">
      <c r="A286" s="139" t="s">
        <v>88</v>
      </c>
      <c r="B286" s="255">
        <v>0</v>
      </c>
      <c r="C286" s="255">
        <v>0</v>
      </c>
    </row>
    <row r="287" spans="1:3" x14ac:dyDescent="0.3">
      <c r="A287" s="139" t="s">
        <v>89</v>
      </c>
      <c r="B287" s="255">
        <v>0</v>
      </c>
      <c r="C287" s="255">
        <v>0</v>
      </c>
    </row>
    <row r="288" spans="1:3" x14ac:dyDescent="0.3">
      <c r="A288" s="139" t="s">
        <v>169</v>
      </c>
      <c r="B288" s="255">
        <v>0</v>
      </c>
      <c r="C288" s="255">
        <v>0</v>
      </c>
    </row>
    <row r="289" spans="1:3" x14ac:dyDescent="0.3">
      <c r="A289" s="138" t="s">
        <v>90</v>
      </c>
      <c r="B289" s="255">
        <v>0</v>
      </c>
      <c r="C289" s="255">
        <v>0</v>
      </c>
    </row>
    <row r="290" spans="1:3" x14ac:dyDescent="0.3">
      <c r="A290" s="139" t="s">
        <v>91</v>
      </c>
      <c r="B290" s="255">
        <v>0</v>
      </c>
      <c r="C290" s="255">
        <v>0</v>
      </c>
    </row>
    <row r="291" spans="1:3" x14ac:dyDescent="0.3">
      <c r="A291" s="139" t="s">
        <v>92</v>
      </c>
      <c r="B291" s="255">
        <v>0</v>
      </c>
      <c r="C291" s="255">
        <v>0</v>
      </c>
    </row>
    <row r="292" spans="1:3" x14ac:dyDescent="0.3">
      <c r="A292" s="139" t="s">
        <v>93</v>
      </c>
      <c r="B292" s="255">
        <v>0</v>
      </c>
      <c r="C292" s="255">
        <v>0</v>
      </c>
    </row>
    <row r="293" spans="1:3" x14ac:dyDescent="0.3">
      <c r="A293" s="7" t="s">
        <v>50</v>
      </c>
      <c r="B293" s="255">
        <v>289.24059179392509</v>
      </c>
      <c r="C293" s="255">
        <v>1013.9992555983447</v>
      </c>
    </row>
    <row r="294" spans="1:3" x14ac:dyDescent="0.3">
      <c r="A294" s="138" t="s">
        <v>79</v>
      </c>
      <c r="B294" s="255">
        <v>75.055491876100149</v>
      </c>
      <c r="C294" s="255">
        <v>1013.9992555983447</v>
      </c>
    </row>
    <row r="295" spans="1:3" x14ac:dyDescent="0.3">
      <c r="A295" s="139" t="s">
        <v>80</v>
      </c>
      <c r="B295" s="255">
        <v>25.22814787273505</v>
      </c>
      <c r="C295" s="255">
        <v>908.90873936367507</v>
      </c>
    </row>
    <row r="296" spans="1:3" x14ac:dyDescent="0.3">
      <c r="A296" s="139" t="s">
        <v>81</v>
      </c>
      <c r="B296" s="255">
        <v>25.017913307128925</v>
      </c>
      <c r="C296" s="255">
        <v>105.09051623466962</v>
      </c>
    </row>
    <row r="297" spans="1:3" x14ac:dyDescent="0.3">
      <c r="A297" s="139" t="s">
        <v>82</v>
      </c>
      <c r="B297" s="255">
        <v>24.809430696236184</v>
      </c>
      <c r="C297" s="255">
        <v>0</v>
      </c>
    </row>
    <row r="298" spans="1:3" x14ac:dyDescent="0.3">
      <c r="A298" s="138" t="s">
        <v>83</v>
      </c>
      <c r="B298" s="255">
        <v>73.194697705114052</v>
      </c>
      <c r="C298" s="255">
        <v>0</v>
      </c>
    </row>
    <row r="299" spans="1:3" x14ac:dyDescent="0.3">
      <c r="A299" s="139" t="s">
        <v>84</v>
      </c>
      <c r="B299" s="255">
        <v>24.602685440434218</v>
      </c>
      <c r="C299" s="255">
        <v>0</v>
      </c>
    </row>
    <row r="300" spans="1:3" x14ac:dyDescent="0.3">
      <c r="A300" s="139" t="s">
        <v>85</v>
      </c>
      <c r="B300" s="255">
        <v>24.397663061763932</v>
      </c>
      <c r="C300" s="255">
        <v>0</v>
      </c>
    </row>
    <row r="301" spans="1:3" x14ac:dyDescent="0.3">
      <c r="A301" s="139" t="s">
        <v>86</v>
      </c>
      <c r="B301" s="255">
        <v>24.194349202915898</v>
      </c>
      <c r="C301" s="255">
        <v>0</v>
      </c>
    </row>
    <row r="302" spans="1:3" x14ac:dyDescent="0.3">
      <c r="A302" s="138" t="s">
        <v>87</v>
      </c>
      <c r="B302" s="255">
        <v>71.380036799798773</v>
      </c>
      <c r="C302" s="255">
        <v>0</v>
      </c>
    </row>
    <row r="303" spans="1:3" x14ac:dyDescent="0.3">
      <c r="A303" s="139" t="s">
        <v>88</v>
      </c>
      <c r="B303" s="255">
        <v>23.992729626224936</v>
      </c>
      <c r="C303" s="255">
        <v>0</v>
      </c>
    </row>
    <row r="304" spans="1:3" x14ac:dyDescent="0.3">
      <c r="A304" s="139" t="s">
        <v>89</v>
      </c>
      <c r="B304" s="255">
        <v>23.792790212673061</v>
      </c>
      <c r="C304" s="255">
        <v>0</v>
      </c>
    </row>
    <row r="305" spans="1:3" x14ac:dyDescent="0.3">
      <c r="A305" s="139" t="s">
        <v>169</v>
      </c>
      <c r="B305" s="255">
        <v>23.594516960900783</v>
      </c>
      <c r="C305" s="255">
        <v>0</v>
      </c>
    </row>
    <row r="306" spans="1:3" x14ac:dyDescent="0.3">
      <c r="A306" s="138" t="s">
        <v>90</v>
      </c>
      <c r="B306" s="255">
        <v>69.610365412912103</v>
      </c>
      <c r="C306" s="255">
        <v>0</v>
      </c>
    </row>
    <row r="307" spans="1:3" x14ac:dyDescent="0.3">
      <c r="A307" s="139" t="s">
        <v>91</v>
      </c>
      <c r="B307" s="255">
        <v>23.397895986226612</v>
      </c>
      <c r="C307" s="255">
        <v>0</v>
      </c>
    </row>
    <row r="308" spans="1:3" x14ac:dyDescent="0.3">
      <c r="A308" s="139" t="s">
        <v>92</v>
      </c>
      <c r="B308" s="255">
        <v>23.202913519674723</v>
      </c>
      <c r="C308" s="255">
        <v>0</v>
      </c>
    </row>
    <row r="309" spans="1:3" x14ac:dyDescent="0.3">
      <c r="A309" s="139" t="s">
        <v>93</v>
      </c>
      <c r="B309" s="255">
        <v>23.009555907010768</v>
      </c>
      <c r="C309" s="255">
        <v>0</v>
      </c>
    </row>
    <row r="310" spans="1:3" x14ac:dyDescent="0.3">
      <c r="A310" s="7" t="s">
        <v>51</v>
      </c>
      <c r="B310" s="255">
        <v>248.5678002778543</v>
      </c>
      <c r="C310" s="255">
        <v>1273.3707479819182</v>
      </c>
    </row>
    <row r="311" spans="1:3" x14ac:dyDescent="0.3">
      <c r="A311" s="138" t="s">
        <v>79</v>
      </c>
      <c r="B311" s="255">
        <v>65.423840887249739</v>
      </c>
      <c r="C311" s="255">
        <v>1273.3707479819182</v>
      </c>
    </row>
    <row r="312" spans="1:3" x14ac:dyDescent="0.3">
      <c r="A312" s="139" t="s">
        <v>80</v>
      </c>
      <c r="B312" s="255">
        <v>22.81780960778568</v>
      </c>
      <c r="C312" s="255">
        <v>0</v>
      </c>
    </row>
    <row r="313" spans="1:3" x14ac:dyDescent="0.3">
      <c r="A313" s="139" t="s">
        <v>81</v>
      </c>
      <c r="B313" s="255">
        <v>21.392149596383629</v>
      </c>
      <c r="C313" s="255">
        <v>1273.3707479819182</v>
      </c>
    </row>
    <row r="314" spans="1:3" x14ac:dyDescent="0.3">
      <c r="A314" s="139" t="s">
        <v>82</v>
      </c>
      <c r="B314" s="255">
        <v>21.213881683080434</v>
      </c>
      <c r="C314" s="255">
        <v>0</v>
      </c>
    </row>
    <row r="315" spans="1:3" x14ac:dyDescent="0.3">
      <c r="A315" s="138" t="s">
        <v>83</v>
      </c>
      <c r="B315" s="255">
        <v>62.586831433447344</v>
      </c>
      <c r="C315" s="255">
        <v>0</v>
      </c>
    </row>
    <row r="316" spans="1:3" x14ac:dyDescent="0.3">
      <c r="A316" s="139" t="s">
        <v>84</v>
      </c>
      <c r="B316" s="255">
        <v>21.037099335721432</v>
      </c>
      <c r="C316" s="255">
        <v>0</v>
      </c>
    </row>
    <row r="317" spans="1:3" x14ac:dyDescent="0.3">
      <c r="A317" s="139" t="s">
        <v>85</v>
      </c>
      <c r="B317" s="255">
        <v>20.861790174590418</v>
      </c>
      <c r="C317" s="255">
        <v>0</v>
      </c>
    </row>
    <row r="318" spans="1:3" x14ac:dyDescent="0.3">
      <c r="A318" s="139" t="s">
        <v>86</v>
      </c>
      <c r="B318" s="255">
        <v>20.687941923135497</v>
      </c>
      <c r="C318" s="255">
        <v>0</v>
      </c>
    </row>
    <row r="319" spans="1:3" x14ac:dyDescent="0.3">
      <c r="A319" s="138" t="s">
        <v>87</v>
      </c>
      <c r="B319" s="255">
        <v>61.035163351595315</v>
      </c>
      <c r="C319" s="255">
        <v>0</v>
      </c>
    </row>
    <row r="320" spans="1:3" x14ac:dyDescent="0.3">
      <c r="A320" s="139" t="s">
        <v>88</v>
      </c>
      <c r="B320" s="255">
        <v>20.515542407109368</v>
      </c>
      <c r="C320" s="255">
        <v>0</v>
      </c>
    </row>
    <row r="321" spans="1:3" x14ac:dyDescent="0.3">
      <c r="A321" s="139" t="s">
        <v>89</v>
      </c>
      <c r="B321" s="255">
        <v>20.344579553716791</v>
      </c>
      <c r="C321" s="255">
        <v>0</v>
      </c>
    </row>
    <row r="322" spans="1:3" x14ac:dyDescent="0.3">
      <c r="A322" s="139" t="s">
        <v>169</v>
      </c>
      <c r="B322" s="255">
        <v>20.175041390769149</v>
      </c>
      <c r="C322" s="255">
        <v>0</v>
      </c>
    </row>
    <row r="323" spans="1:3" x14ac:dyDescent="0.3">
      <c r="A323" s="138" t="s">
        <v>90</v>
      </c>
      <c r="B323" s="255">
        <v>59.521964605561919</v>
      </c>
      <c r="C323" s="255">
        <v>0</v>
      </c>
    </row>
    <row r="324" spans="1:3" x14ac:dyDescent="0.3">
      <c r="A324" s="139" t="s">
        <v>91</v>
      </c>
      <c r="B324" s="255">
        <v>20.006916045846072</v>
      </c>
      <c r="C324" s="255">
        <v>0</v>
      </c>
    </row>
    <row r="325" spans="1:3" x14ac:dyDescent="0.3">
      <c r="A325" s="139" t="s">
        <v>92</v>
      </c>
      <c r="B325" s="255">
        <v>19.840191745464022</v>
      </c>
      <c r="C325" s="255">
        <v>0</v>
      </c>
    </row>
    <row r="326" spans="1:3" x14ac:dyDescent="0.3">
      <c r="A326" s="139" t="s">
        <v>93</v>
      </c>
      <c r="B326" s="255">
        <v>19.674856814251822</v>
      </c>
      <c r="C326" s="255">
        <v>0</v>
      </c>
    </row>
    <row r="327" spans="1:3" x14ac:dyDescent="0.3">
      <c r="A327" s="7" t="s">
        <v>52</v>
      </c>
      <c r="B327" s="255">
        <v>120.59286198176817</v>
      </c>
      <c r="C327" s="255">
        <v>1891.5697609264114</v>
      </c>
    </row>
    <row r="328" spans="1:3" x14ac:dyDescent="0.3">
      <c r="A328" s="138" t="s">
        <v>79</v>
      </c>
      <c r="B328" s="255">
        <v>38.588203886131495</v>
      </c>
      <c r="C328" s="255">
        <v>1572.998235542402</v>
      </c>
    </row>
    <row r="329" spans="1:3" x14ac:dyDescent="0.3">
      <c r="A329" s="139" t="s">
        <v>80</v>
      </c>
      <c r="B329" s="255">
        <v>19.510899674133057</v>
      </c>
      <c r="C329" s="255">
        <v>815.64142162106691</v>
      </c>
    </row>
    <row r="330" spans="1:3" x14ac:dyDescent="0.3">
      <c r="A330" s="139" t="s">
        <v>81</v>
      </c>
      <c r="B330" s="255">
        <v>9.5785627842670014</v>
      </c>
      <c r="C330" s="255">
        <v>757.35681392133506</v>
      </c>
    </row>
    <row r="331" spans="1:3" x14ac:dyDescent="0.3">
      <c r="A331" s="139" t="s">
        <v>82</v>
      </c>
      <c r="B331" s="255">
        <v>9.4987414277314421</v>
      </c>
      <c r="C331" s="255">
        <v>0</v>
      </c>
    </row>
    <row r="332" spans="1:3" x14ac:dyDescent="0.3">
      <c r="A332" s="138" t="s">
        <v>83</v>
      </c>
      <c r="B332" s="255">
        <v>28.023920254136385</v>
      </c>
      <c r="C332" s="255">
        <v>0</v>
      </c>
    </row>
    <row r="333" spans="1:3" x14ac:dyDescent="0.3">
      <c r="A333" s="139" t="s">
        <v>84</v>
      </c>
      <c r="B333" s="255">
        <v>9.419585249167012</v>
      </c>
      <c r="C333" s="255">
        <v>0</v>
      </c>
    </row>
    <row r="334" spans="1:3" x14ac:dyDescent="0.3">
      <c r="A334" s="139" t="s">
        <v>85</v>
      </c>
      <c r="B334" s="255">
        <v>9.3410887054239531</v>
      </c>
      <c r="C334" s="255">
        <v>0</v>
      </c>
    </row>
    <row r="335" spans="1:3" x14ac:dyDescent="0.3">
      <c r="A335" s="139" t="s">
        <v>86</v>
      </c>
      <c r="B335" s="255">
        <v>9.2632462995454201</v>
      </c>
      <c r="C335" s="255">
        <v>0</v>
      </c>
    </row>
    <row r="336" spans="1:3" x14ac:dyDescent="0.3">
      <c r="A336" s="138" t="s">
        <v>87</v>
      </c>
      <c r="B336" s="255">
        <v>27.329144346956141</v>
      </c>
      <c r="C336" s="255">
        <v>192.78532887209394</v>
      </c>
    </row>
    <row r="337" spans="1:3" x14ac:dyDescent="0.3">
      <c r="A337" s="139" t="s">
        <v>88</v>
      </c>
      <c r="B337" s="255">
        <v>9.1860525803825421</v>
      </c>
      <c r="C337" s="255">
        <v>0</v>
      </c>
    </row>
    <row r="338" spans="1:3" x14ac:dyDescent="0.3">
      <c r="A338" s="139" t="s">
        <v>89</v>
      </c>
      <c r="B338" s="255">
        <v>9.1095021422126869</v>
      </c>
      <c r="C338" s="255">
        <v>0</v>
      </c>
    </row>
    <row r="339" spans="1:3" x14ac:dyDescent="0.3">
      <c r="A339" s="139" t="s">
        <v>169</v>
      </c>
      <c r="B339" s="255">
        <v>9.0335896243609159</v>
      </c>
      <c r="C339" s="255">
        <v>192.78532887209394</v>
      </c>
    </row>
    <row r="340" spans="1:3" x14ac:dyDescent="0.3">
      <c r="A340" s="138" t="s">
        <v>90</v>
      </c>
      <c r="B340" s="255">
        <v>26.651593494544137</v>
      </c>
      <c r="C340" s="255">
        <v>125.78619651191548</v>
      </c>
    </row>
    <row r="341" spans="1:3" x14ac:dyDescent="0.3">
      <c r="A341" s="139" t="s">
        <v>91</v>
      </c>
      <c r="B341" s="255">
        <v>8.9583097108245759</v>
      </c>
      <c r="C341" s="255">
        <v>125.78619651191548</v>
      </c>
    </row>
    <row r="342" spans="1:3" x14ac:dyDescent="0.3">
      <c r="A342" s="139" t="s">
        <v>92</v>
      </c>
      <c r="B342" s="255">
        <v>8.883657129901037</v>
      </c>
      <c r="C342" s="255">
        <v>0</v>
      </c>
    </row>
    <row r="343" spans="1:3" x14ac:dyDescent="0.3">
      <c r="A343" s="139" t="s">
        <v>93</v>
      </c>
      <c r="B343" s="255">
        <v>8.8096266538185279</v>
      </c>
      <c r="C343" s="255">
        <v>0</v>
      </c>
    </row>
    <row r="344" spans="1:3" x14ac:dyDescent="0.3">
      <c r="A344" s="7" t="s">
        <v>53</v>
      </c>
      <c r="B344" s="255">
        <v>302.2663003921578</v>
      </c>
      <c r="C344" s="255">
        <v>2037.5720674014574</v>
      </c>
    </row>
    <row r="345" spans="1:3" x14ac:dyDescent="0.3">
      <c r="A345" s="138" t="s">
        <v>79</v>
      </c>
      <c r="B345" s="255">
        <v>78.435553297671476</v>
      </c>
      <c r="C345" s="255">
        <v>2037.5720674014574</v>
      </c>
    </row>
    <row r="346" spans="1:3" x14ac:dyDescent="0.3">
      <c r="A346" s="139" t="s">
        <v>80</v>
      </c>
      <c r="B346" s="255">
        <v>26.364276452147926</v>
      </c>
      <c r="C346" s="255">
        <v>1141.8863822607393</v>
      </c>
    </row>
    <row r="347" spans="1:3" x14ac:dyDescent="0.3">
      <c r="A347" s="139" t="s">
        <v>81</v>
      </c>
      <c r="B347" s="255">
        <v>26.144574148380027</v>
      </c>
      <c r="C347" s="255">
        <v>895.68568514071808</v>
      </c>
    </row>
    <row r="348" spans="1:3" x14ac:dyDescent="0.3">
      <c r="A348" s="139" t="s">
        <v>82</v>
      </c>
      <c r="B348" s="255">
        <v>25.926702697143526</v>
      </c>
      <c r="C348" s="255">
        <v>0</v>
      </c>
    </row>
    <row r="349" spans="1:3" x14ac:dyDescent="0.3">
      <c r="A349" s="138" t="s">
        <v>83</v>
      </c>
      <c r="B349" s="255">
        <v>76.490959814554856</v>
      </c>
      <c r="C349" s="255">
        <v>0</v>
      </c>
    </row>
    <row r="350" spans="1:3" x14ac:dyDescent="0.3">
      <c r="A350" s="139" t="s">
        <v>84</v>
      </c>
      <c r="B350" s="255">
        <v>25.710646841333997</v>
      </c>
      <c r="C350" s="255">
        <v>0</v>
      </c>
    </row>
    <row r="351" spans="1:3" x14ac:dyDescent="0.3">
      <c r="A351" s="139" t="s">
        <v>85</v>
      </c>
      <c r="B351" s="255">
        <v>25.496391450989549</v>
      </c>
      <c r="C351" s="255">
        <v>0</v>
      </c>
    </row>
    <row r="352" spans="1:3" x14ac:dyDescent="0.3">
      <c r="A352" s="139" t="s">
        <v>86</v>
      </c>
      <c r="B352" s="255">
        <v>25.283921522231303</v>
      </c>
      <c r="C352" s="255">
        <v>0</v>
      </c>
    </row>
    <row r="353" spans="1:3" x14ac:dyDescent="0.3">
      <c r="A353" s="138" t="s">
        <v>87</v>
      </c>
      <c r="B353" s="255">
        <v>74.594577170217264</v>
      </c>
      <c r="C353" s="255">
        <v>0</v>
      </c>
    </row>
    <row r="354" spans="1:3" x14ac:dyDescent="0.3">
      <c r="A354" s="139" t="s">
        <v>88</v>
      </c>
      <c r="B354" s="255">
        <v>25.07322217621271</v>
      </c>
      <c r="C354" s="255">
        <v>0</v>
      </c>
    </row>
    <row r="355" spans="1:3" x14ac:dyDescent="0.3">
      <c r="A355" s="139" t="s">
        <v>89</v>
      </c>
      <c r="B355" s="255">
        <v>24.864278658077602</v>
      </c>
      <c r="C355" s="255">
        <v>0</v>
      </c>
    </row>
    <row r="356" spans="1:3" x14ac:dyDescent="0.3">
      <c r="A356" s="139" t="s">
        <v>169</v>
      </c>
      <c r="B356" s="255">
        <v>24.657076335926956</v>
      </c>
      <c r="C356" s="255">
        <v>0</v>
      </c>
    </row>
    <row r="357" spans="1:3" x14ac:dyDescent="0.3">
      <c r="A357" s="138" t="s">
        <v>90</v>
      </c>
      <c r="B357" s="255">
        <v>72.745210109714222</v>
      </c>
      <c r="C357" s="255">
        <v>0</v>
      </c>
    </row>
    <row r="358" spans="1:3" x14ac:dyDescent="0.3">
      <c r="A358" s="139" t="s">
        <v>91</v>
      </c>
      <c r="B358" s="255">
        <v>24.451600699794234</v>
      </c>
      <c r="C358" s="255">
        <v>0</v>
      </c>
    </row>
    <row r="359" spans="1:3" x14ac:dyDescent="0.3">
      <c r="A359" s="139" t="s">
        <v>92</v>
      </c>
      <c r="B359" s="255">
        <v>24.24783736062928</v>
      </c>
      <c r="C359" s="255">
        <v>0</v>
      </c>
    </row>
    <row r="360" spans="1:3" x14ac:dyDescent="0.3">
      <c r="A360" s="139" t="s">
        <v>93</v>
      </c>
      <c r="B360" s="255">
        <v>24.045772049290701</v>
      </c>
      <c r="C360" s="255">
        <v>0</v>
      </c>
    </row>
    <row r="361" spans="1:3" x14ac:dyDescent="0.3">
      <c r="A361" s="7" t="s">
        <v>54</v>
      </c>
      <c r="B361" s="255">
        <v>134.67243204630569</v>
      </c>
      <c r="C361" s="255">
        <v>1390.2374919951615</v>
      </c>
    </row>
    <row r="362" spans="1:3" x14ac:dyDescent="0.3">
      <c r="A362" s="138" t="s">
        <v>79</v>
      </c>
      <c r="B362" s="255">
        <v>44.761893778155333</v>
      </c>
      <c r="C362" s="255">
        <v>1277.2650497806073</v>
      </c>
    </row>
    <row r="363" spans="1:3" x14ac:dyDescent="0.3">
      <c r="A363" s="139" t="s">
        <v>80</v>
      </c>
      <c r="B363" s="255">
        <v>23.845390615546609</v>
      </c>
      <c r="C363" s="255">
        <v>0</v>
      </c>
    </row>
    <row r="364" spans="1:3" x14ac:dyDescent="0.3">
      <c r="A364" s="139" t="s">
        <v>81</v>
      </c>
      <c r="B364" s="255">
        <v>10.502009956121533</v>
      </c>
      <c r="C364" s="255">
        <v>1277.2650497806073</v>
      </c>
    </row>
    <row r="365" spans="1:3" x14ac:dyDescent="0.3">
      <c r="A365" s="139" t="s">
        <v>82</v>
      </c>
      <c r="B365" s="255">
        <v>10.414493206487187</v>
      </c>
      <c r="C365" s="255">
        <v>0</v>
      </c>
    </row>
    <row r="366" spans="1:3" x14ac:dyDescent="0.3">
      <c r="A366" s="138" t="s">
        <v>83</v>
      </c>
      <c r="B366" s="255">
        <v>30.725641847010991</v>
      </c>
      <c r="C366" s="255">
        <v>0</v>
      </c>
    </row>
    <row r="367" spans="1:3" x14ac:dyDescent="0.3">
      <c r="A367" s="139" t="s">
        <v>84</v>
      </c>
      <c r="B367" s="255">
        <v>10.327705763099793</v>
      </c>
      <c r="C367" s="255">
        <v>0</v>
      </c>
    </row>
    <row r="368" spans="1:3" x14ac:dyDescent="0.3">
      <c r="A368" s="139" t="s">
        <v>85</v>
      </c>
      <c r="B368" s="255">
        <v>10.241641548407296</v>
      </c>
      <c r="C368" s="255">
        <v>0</v>
      </c>
    </row>
    <row r="369" spans="1:3" x14ac:dyDescent="0.3">
      <c r="A369" s="139" t="s">
        <v>86</v>
      </c>
      <c r="B369" s="255">
        <v>10.156294535503902</v>
      </c>
      <c r="C369" s="255">
        <v>0</v>
      </c>
    </row>
    <row r="370" spans="1:3" x14ac:dyDescent="0.3">
      <c r="A370" s="138" t="s">
        <v>87</v>
      </c>
      <c r="B370" s="255">
        <v>29.963884195177769</v>
      </c>
      <c r="C370" s="255">
        <v>0</v>
      </c>
    </row>
    <row r="371" spans="1:3" x14ac:dyDescent="0.3">
      <c r="A371" s="139" t="s">
        <v>88</v>
      </c>
      <c r="B371" s="255">
        <v>10.071658747708035</v>
      </c>
      <c r="C371" s="255">
        <v>0</v>
      </c>
    </row>
    <row r="372" spans="1:3" x14ac:dyDescent="0.3">
      <c r="A372" s="139" t="s">
        <v>89</v>
      </c>
      <c r="B372" s="255">
        <v>9.9877282581438003</v>
      </c>
      <c r="C372" s="255">
        <v>0</v>
      </c>
    </row>
    <row r="373" spans="1:3" x14ac:dyDescent="0.3">
      <c r="A373" s="139" t="s">
        <v>169</v>
      </c>
      <c r="B373" s="255">
        <v>9.9044971893259337</v>
      </c>
      <c r="C373" s="255">
        <v>0</v>
      </c>
    </row>
    <row r="374" spans="1:3" x14ac:dyDescent="0.3">
      <c r="A374" s="138" t="s">
        <v>90</v>
      </c>
      <c r="B374" s="255">
        <v>29.221012225961555</v>
      </c>
      <c r="C374" s="255">
        <v>112.97244221455412</v>
      </c>
    </row>
    <row r="375" spans="1:3" x14ac:dyDescent="0.3">
      <c r="A375" s="139" t="s">
        <v>91</v>
      </c>
      <c r="B375" s="255">
        <v>9.8219597127482174</v>
      </c>
      <c r="C375" s="255">
        <v>0</v>
      </c>
    </row>
    <row r="376" spans="1:3" x14ac:dyDescent="0.3">
      <c r="A376" s="139" t="s">
        <v>92</v>
      </c>
      <c r="B376" s="255">
        <v>9.7401100484753158</v>
      </c>
      <c r="C376" s="255">
        <v>0</v>
      </c>
    </row>
    <row r="377" spans="1:3" x14ac:dyDescent="0.3">
      <c r="A377" s="139" t="s">
        <v>93</v>
      </c>
      <c r="B377" s="255">
        <v>9.658942464738022</v>
      </c>
      <c r="C377" s="255">
        <v>112.97244221455412</v>
      </c>
    </row>
    <row r="378" spans="1:3" x14ac:dyDescent="0.3">
      <c r="A378" s="7" t="s">
        <v>55</v>
      </c>
      <c r="B378" s="255">
        <v>569.26490267628242</v>
      </c>
      <c r="C378" s="255">
        <v>7141.5747886936861</v>
      </c>
    </row>
    <row r="379" spans="1:3" x14ac:dyDescent="0.3">
      <c r="A379" s="138" t="s">
        <v>79</v>
      </c>
      <c r="B379" s="255">
        <v>115.20865920891615</v>
      </c>
      <c r="C379" s="255">
        <v>2405.8540115497703</v>
      </c>
    </row>
    <row r="380" spans="1:3" x14ac:dyDescent="0.3">
      <c r="A380" s="139" t="s">
        <v>80</v>
      </c>
      <c r="B380" s="255">
        <v>9.5784512775318724</v>
      </c>
      <c r="C380" s="255">
        <v>1200.3495732283038</v>
      </c>
    </row>
    <row r="381" spans="1:3" x14ac:dyDescent="0.3">
      <c r="A381" s="139" t="s">
        <v>81</v>
      </c>
      <c r="B381" s="255">
        <v>53.036087664293362</v>
      </c>
      <c r="C381" s="255">
        <v>1205.5044383214665</v>
      </c>
    </row>
    <row r="382" spans="1:3" x14ac:dyDescent="0.3">
      <c r="A382" s="139" t="s">
        <v>82</v>
      </c>
      <c r="B382" s="255">
        <v>52.594120267090922</v>
      </c>
      <c r="C382" s="255">
        <v>0</v>
      </c>
    </row>
    <row r="383" spans="1:3" x14ac:dyDescent="0.3">
      <c r="A383" s="138" t="s">
        <v>83</v>
      </c>
      <c r="B383" s="255">
        <v>155.16723382935797</v>
      </c>
      <c r="C383" s="255">
        <v>3239.9410197035163</v>
      </c>
    </row>
    <row r="384" spans="1:3" x14ac:dyDescent="0.3">
      <c r="A384" s="139" t="s">
        <v>84</v>
      </c>
      <c r="B384" s="255">
        <v>52.155835931531826</v>
      </c>
      <c r="C384" s="255">
        <v>1187.1248957515143</v>
      </c>
    </row>
    <row r="385" spans="1:3" x14ac:dyDescent="0.3">
      <c r="A385" s="139" t="s">
        <v>85</v>
      </c>
      <c r="B385" s="255">
        <v>51.721203965435727</v>
      </c>
      <c r="C385" s="255">
        <v>1068.0688559148073</v>
      </c>
    </row>
    <row r="386" spans="1:3" x14ac:dyDescent="0.3">
      <c r="A386" s="139" t="s">
        <v>86</v>
      </c>
      <c r="B386" s="255">
        <v>51.29019393239043</v>
      </c>
      <c r="C386" s="255">
        <v>984.74726803719477</v>
      </c>
    </row>
    <row r="387" spans="1:3" x14ac:dyDescent="0.3">
      <c r="A387" s="138" t="s">
        <v>87</v>
      </c>
      <c r="B387" s="255">
        <v>151.32028969481888</v>
      </c>
      <c r="C387" s="255">
        <v>1469.9409665019314</v>
      </c>
    </row>
    <row r="388" spans="1:3" x14ac:dyDescent="0.3">
      <c r="A388" s="139" t="s">
        <v>88</v>
      </c>
      <c r="B388" s="255">
        <v>50.862775649620509</v>
      </c>
      <c r="C388" s="255">
        <v>828.35150975117426</v>
      </c>
    </row>
    <row r="389" spans="1:3" x14ac:dyDescent="0.3">
      <c r="A389" s="139" t="s">
        <v>89</v>
      </c>
      <c r="B389" s="255">
        <v>50.438919185873672</v>
      </c>
      <c r="C389" s="255">
        <v>428.29382838337369</v>
      </c>
    </row>
    <row r="390" spans="1:3" x14ac:dyDescent="0.3">
      <c r="A390" s="139" t="s">
        <v>169</v>
      </c>
      <c r="B390" s="255">
        <v>50.018594859324722</v>
      </c>
      <c r="C390" s="255">
        <v>213.29562836738342</v>
      </c>
    </row>
    <row r="391" spans="1:3" x14ac:dyDescent="0.3">
      <c r="A391" s="138" t="s">
        <v>90</v>
      </c>
      <c r="B391" s="255">
        <v>147.56871994318942</v>
      </c>
      <c r="C391" s="255">
        <v>25.838790938467355</v>
      </c>
    </row>
    <row r="392" spans="1:3" x14ac:dyDescent="0.3">
      <c r="A392" s="139" t="s">
        <v>91</v>
      </c>
      <c r="B392" s="255">
        <v>49.601773235497014</v>
      </c>
      <c r="C392" s="255">
        <v>25.838790938467355</v>
      </c>
    </row>
    <row r="393" spans="1:3" x14ac:dyDescent="0.3">
      <c r="A393" s="139" t="s">
        <v>92</v>
      </c>
      <c r="B393" s="255">
        <v>49.188425125201206</v>
      </c>
      <c r="C393" s="255">
        <v>0</v>
      </c>
    </row>
    <row r="394" spans="1:3" x14ac:dyDescent="0.3">
      <c r="A394" s="139" t="s">
        <v>93</v>
      </c>
      <c r="B394" s="255">
        <v>48.778521582491194</v>
      </c>
      <c r="C394" s="255">
        <v>0</v>
      </c>
    </row>
    <row r="395" spans="1:3" x14ac:dyDescent="0.3">
      <c r="A395" s="7" t="s">
        <v>56</v>
      </c>
      <c r="B395" s="255">
        <v>0</v>
      </c>
      <c r="C395" s="255">
        <v>15537.398496242637</v>
      </c>
    </row>
    <row r="396" spans="1:3" x14ac:dyDescent="0.3">
      <c r="A396" s="138" t="s">
        <v>79</v>
      </c>
      <c r="B396" s="255">
        <v>0</v>
      </c>
      <c r="C396" s="255">
        <v>2141.4678440225011</v>
      </c>
    </row>
    <row r="397" spans="1:3" x14ac:dyDescent="0.3">
      <c r="A397" s="139" t="s">
        <v>80</v>
      </c>
      <c r="B397" s="255">
        <v>0</v>
      </c>
      <c r="C397" s="255">
        <v>751.69480814870349</v>
      </c>
    </row>
    <row r="398" spans="1:3" x14ac:dyDescent="0.3">
      <c r="A398" s="139" t="s">
        <v>81</v>
      </c>
      <c r="B398" s="255">
        <v>0</v>
      </c>
      <c r="C398" s="255">
        <v>1265.2552599453472</v>
      </c>
    </row>
    <row r="399" spans="1:3" x14ac:dyDescent="0.3">
      <c r="A399" s="139" t="s">
        <v>82</v>
      </c>
      <c r="B399" s="255">
        <v>0</v>
      </c>
      <c r="C399" s="255">
        <v>124.51777592845042</v>
      </c>
    </row>
    <row r="400" spans="1:3" x14ac:dyDescent="0.3">
      <c r="A400" s="138" t="s">
        <v>83</v>
      </c>
      <c r="B400" s="255">
        <v>0</v>
      </c>
      <c r="C400" s="255">
        <v>2757.4960171620837</v>
      </c>
    </row>
    <row r="401" spans="1:3" x14ac:dyDescent="0.3">
      <c r="A401" s="139" t="s">
        <v>84</v>
      </c>
      <c r="B401" s="255">
        <v>0</v>
      </c>
      <c r="C401" s="255">
        <v>0</v>
      </c>
    </row>
    <row r="402" spans="1:3" x14ac:dyDescent="0.3">
      <c r="A402" s="139" t="s">
        <v>85</v>
      </c>
      <c r="B402" s="255">
        <v>0</v>
      </c>
      <c r="C402" s="255">
        <v>0</v>
      </c>
    </row>
    <row r="403" spans="1:3" x14ac:dyDescent="0.3">
      <c r="A403" s="139" t="s">
        <v>86</v>
      </c>
      <c r="B403" s="255">
        <v>0</v>
      </c>
      <c r="C403" s="255">
        <v>2757.4960171620837</v>
      </c>
    </row>
    <row r="404" spans="1:3" x14ac:dyDescent="0.3">
      <c r="A404" s="138" t="s">
        <v>87</v>
      </c>
      <c r="B404" s="255">
        <v>0</v>
      </c>
      <c r="C404" s="255">
        <v>6059.1952586972939</v>
      </c>
    </row>
    <row r="405" spans="1:3" x14ac:dyDescent="0.3">
      <c r="A405" s="139" t="s">
        <v>88</v>
      </c>
      <c r="B405" s="255">
        <v>0</v>
      </c>
      <c r="C405" s="255">
        <v>2076.335671219143</v>
      </c>
    </row>
    <row r="406" spans="1:3" x14ac:dyDescent="0.3">
      <c r="A406" s="139" t="s">
        <v>89</v>
      </c>
      <c r="B406" s="255">
        <v>0</v>
      </c>
      <c r="C406" s="255">
        <v>2037.1578229338486</v>
      </c>
    </row>
    <row r="407" spans="1:3" x14ac:dyDescent="0.3">
      <c r="A407" s="139" t="s">
        <v>169</v>
      </c>
      <c r="B407" s="255">
        <v>0</v>
      </c>
      <c r="C407" s="255">
        <v>1945.7017645443023</v>
      </c>
    </row>
    <row r="408" spans="1:3" x14ac:dyDescent="0.3">
      <c r="A408" s="138" t="s">
        <v>90</v>
      </c>
      <c r="B408" s="255">
        <v>0</v>
      </c>
      <c r="C408" s="255">
        <v>4579.2393763607579</v>
      </c>
    </row>
    <row r="409" spans="1:3" x14ac:dyDescent="0.3">
      <c r="A409" s="139" t="s">
        <v>91</v>
      </c>
      <c r="B409" s="255">
        <v>0</v>
      </c>
      <c r="C409" s="255">
        <v>1434.0972254561698</v>
      </c>
    </row>
    <row r="410" spans="1:3" x14ac:dyDescent="0.3">
      <c r="A410" s="139" t="s">
        <v>92</v>
      </c>
      <c r="B410" s="255">
        <v>0</v>
      </c>
      <c r="C410" s="255">
        <v>1631.4975622942291</v>
      </c>
    </row>
    <row r="411" spans="1:3" x14ac:dyDescent="0.3">
      <c r="A411" s="139" t="s">
        <v>93</v>
      </c>
      <c r="B411" s="255">
        <v>0</v>
      </c>
      <c r="C411" s="255">
        <v>1513.6445886103597</v>
      </c>
    </row>
    <row r="412" spans="1:3" x14ac:dyDescent="0.3">
      <c r="A412" s="7" t="s">
        <v>57</v>
      </c>
      <c r="B412" s="255">
        <v>142.93172037090045</v>
      </c>
      <c r="C412" s="255">
        <v>9323.7635600735412</v>
      </c>
    </row>
    <row r="413" spans="1:3" x14ac:dyDescent="0.3">
      <c r="A413" s="138" t="s">
        <v>79</v>
      </c>
      <c r="B413" s="255">
        <v>26.975652715974235</v>
      </c>
      <c r="C413" s="255">
        <v>3145.4664500210606</v>
      </c>
    </row>
    <row r="414" spans="1:3" x14ac:dyDescent="0.3">
      <c r="A414" s="139" t="s">
        <v>80</v>
      </c>
      <c r="B414" s="255">
        <v>0</v>
      </c>
      <c r="C414" s="255">
        <v>1300.4303308272247</v>
      </c>
    </row>
    <row r="415" spans="1:3" x14ac:dyDescent="0.3">
      <c r="A415" s="139" t="s">
        <v>81</v>
      </c>
      <c r="B415" s="255">
        <v>13.544260777895012</v>
      </c>
      <c r="C415" s="255">
        <v>1503.1343038894752</v>
      </c>
    </row>
    <row r="416" spans="1:3" x14ac:dyDescent="0.3">
      <c r="A416" s="139" t="s">
        <v>82</v>
      </c>
      <c r="B416" s="255">
        <v>13.431391938079221</v>
      </c>
      <c r="C416" s="255">
        <v>341.90181530436075</v>
      </c>
    </row>
    <row r="417" spans="1:3" x14ac:dyDescent="0.3">
      <c r="A417" s="138" t="s">
        <v>83</v>
      </c>
      <c r="B417" s="255">
        <v>39.626329386742462</v>
      </c>
      <c r="C417" s="255">
        <v>1215.1775350939802</v>
      </c>
    </row>
    <row r="418" spans="1:3" x14ac:dyDescent="0.3">
      <c r="A418" s="139" t="s">
        <v>84</v>
      </c>
      <c r="B418" s="255">
        <v>13.319463671928562</v>
      </c>
      <c r="C418" s="255">
        <v>0</v>
      </c>
    </row>
    <row r="419" spans="1:3" x14ac:dyDescent="0.3">
      <c r="A419" s="139" t="s">
        <v>85</v>
      </c>
      <c r="B419" s="255">
        <v>13.208468141329156</v>
      </c>
      <c r="C419" s="255">
        <v>0</v>
      </c>
    </row>
    <row r="420" spans="1:3" x14ac:dyDescent="0.3">
      <c r="A420" s="139" t="s">
        <v>86</v>
      </c>
      <c r="B420" s="255">
        <v>13.098397573484748</v>
      </c>
      <c r="C420" s="255">
        <v>1215.1775350939802</v>
      </c>
    </row>
    <row r="421" spans="1:3" x14ac:dyDescent="0.3">
      <c r="A421" s="138" t="s">
        <v>87</v>
      </c>
      <c r="B421" s="255">
        <v>38.64390370545923</v>
      </c>
      <c r="C421" s="255">
        <v>2703.4816045862981</v>
      </c>
    </row>
    <row r="422" spans="1:3" x14ac:dyDescent="0.3">
      <c r="A422" s="139" t="s">
        <v>88</v>
      </c>
      <c r="B422" s="255">
        <v>12.989244260372375</v>
      </c>
      <c r="C422" s="255">
        <v>944.35666703872721</v>
      </c>
    </row>
    <row r="423" spans="1:3" x14ac:dyDescent="0.3">
      <c r="A423" s="139" t="s">
        <v>89</v>
      </c>
      <c r="B423" s="255">
        <v>12.881000558202606</v>
      </c>
      <c r="C423" s="255">
        <v>977.58117449798851</v>
      </c>
    </row>
    <row r="424" spans="1:3" x14ac:dyDescent="0.3">
      <c r="A424" s="139" t="s">
        <v>169</v>
      </c>
      <c r="B424" s="255">
        <v>12.773658886884251</v>
      </c>
      <c r="C424" s="255">
        <v>781.54376304958214</v>
      </c>
    </row>
    <row r="425" spans="1:3" x14ac:dyDescent="0.3">
      <c r="A425" s="138" t="s">
        <v>90</v>
      </c>
      <c r="B425" s="255">
        <v>37.685834562724523</v>
      </c>
      <c r="C425" s="255">
        <v>2259.6379703722032</v>
      </c>
    </row>
    <row r="426" spans="1:3" x14ac:dyDescent="0.3">
      <c r="A426" s="139" t="s">
        <v>91</v>
      </c>
      <c r="B426" s="255">
        <v>12.667211729493548</v>
      </c>
      <c r="C426" s="255">
        <v>652.42904156844975</v>
      </c>
    </row>
    <row r="427" spans="1:3" x14ac:dyDescent="0.3">
      <c r="A427" s="139" t="s">
        <v>92</v>
      </c>
      <c r="B427" s="255">
        <v>12.561651631747768</v>
      </c>
      <c r="C427" s="255">
        <v>720.19432284410686</v>
      </c>
    </row>
    <row r="428" spans="1:3" x14ac:dyDescent="0.3">
      <c r="A428" s="139" t="s">
        <v>93</v>
      </c>
      <c r="B428" s="255">
        <v>12.456971201483205</v>
      </c>
      <c r="C428" s="255">
        <v>887.01460595964659</v>
      </c>
    </row>
    <row r="429" spans="1:3" x14ac:dyDescent="0.3">
      <c r="A429" s="7" t="s">
        <v>58</v>
      </c>
      <c r="B429" s="255">
        <v>399.44160990533499</v>
      </c>
      <c r="C429" s="255">
        <v>8054.5010431952287</v>
      </c>
    </row>
    <row r="430" spans="1:3" x14ac:dyDescent="0.3">
      <c r="A430" s="138" t="s">
        <v>79</v>
      </c>
      <c r="B430" s="255">
        <v>103.65172578745884</v>
      </c>
      <c r="C430" s="255">
        <v>2790.5309131158315</v>
      </c>
    </row>
    <row r="431" spans="1:3" x14ac:dyDescent="0.3">
      <c r="A431" s="139" t="s">
        <v>80</v>
      </c>
      <c r="B431" s="255">
        <v>34.840102970038224</v>
      </c>
      <c r="C431" s="255">
        <v>1524.3815148501913</v>
      </c>
    </row>
    <row r="432" spans="1:3" x14ac:dyDescent="0.3">
      <c r="A432" s="139" t="s">
        <v>81</v>
      </c>
      <c r="B432" s="255">
        <v>34.549768778621235</v>
      </c>
      <c r="C432" s="255">
        <v>1266.1493982656402</v>
      </c>
    </row>
    <row r="433" spans="1:3" x14ac:dyDescent="0.3">
      <c r="A433" s="139" t="s">
        <v>82</v>
      </c>
      <c r="B433" s="255">
        <v>34.261854038799392</v>
      </c>
      <c r="C433" s="255">
        <v>0</v>
      </c>
    </row>
    <row r="434" spans="1:3" x14ac:dyDescent="0.3">
      <c r="A434" s="138" t="s">
        <v>83</v>
      </c>
      <c r="B434" s="255">
        <v>101.08196676867381</v>
      </c>
      <c r="C434" s="255">
        <v>1247.4843789765619</v>
      </c>
    </row>
    <row r="435" spans="1:3" x14ac:dyDescent="0.3">
      <c r="A435" s="139" t="s">
        <v>84</v>
      </c>
      <c r="B435" s="255">
        <v>33.976338588476061</v>
      </c>
      <c r="C435" s="255">
        <v>0</v>
      </c>
    </row>
    <row r="436" spans="1:3" x14ac:dyDescent="0.3">
      <c r="A436" s="139" t="s">
        <v>85</v>
      </c>
      <c r="B436" s="255">
        <v>33.693202433572097</v>
      </c>
      <c r="C436" s="255">
        <v>0</v>
      </c>
    </row>
    <row r="437" spans="1:3" x14ac:dyDescent="0.3">
      <c r="A437" s="139" t="s">
        <v>86</v>
      </c>
      <c r="B437" s="255">
        <v>33.412425746625658</v>
      </c>
      <c r="C437" s="255">
        <v>1247.4843789765619</v>
      </c>
    </row>
    <row r="438" spans="1:3" x14ac:dyDescent="0.3">
      <c r="A438" s="138" t="s">
        <v>87</v>
      </c>
      <c r="B438" s="255">
        <v>98.57591784602522</v>
      </c>
      <c r="C438" s="255">
        <v>2605.6200780435329</v>
      </c>
    </row>
    <row r="439" spans="1:3" x14ac:dyDescent="0.3">
      <c r="A439" s="139" t="s">
        <v>88</v>
      </c>
      <c r="B439" s="255">
        <v>33.133988865403779</v>
      </c>
      <c r="C439" s="255">
        <v>1041.4909022672309</v>
      </c>
    </row>
    <row r="440" spans="1:3" x14ac:dyDescent="0.3">
      <c r="A440" s="139" t="s">
        <v>89</v>
      </c>
      <c r="B440" s="255">
        <v>32.857872291525418</v>
      </c>
      <c r="C440" s="255">
        <v>908.72462821592217</v>
      </c>
    </row>
    <row r="441" spans="1:3" x14ac:dyDescent="0.3">
      <c r="A441" s="139" t="s">
        <v>169</v>
      </c>
      <c r="B441" s="255">
        <v>32.584056689096037</v>
      </c>
      <c r="C441" s="255">
        <v>655.4045475603798</v>
      </c>
    </row>
    <row r="442" spans="1:3" x14ac:dyDescent="0.3">
      <c r="A442" s="138" t="s">
        <v>90</v>
      </c>
      <c r="B442" s="255">
        <v>96.131999503177127</v>
      </c>
      <c r="C442" s="255">
        <v>1410.8656730593016</v>
      </c>
    </row>
    <row r="443" spans="1:3" x14ac:dyDescent="0.3">
      <c r="A443" s="139" t="s">
        <v>91</v>
      </c>
      <c r="B443" s="255">
        <v>32.312522883353573</v>
      </c>
      <c r="C443" s="255">
        <v>375.73182958524467</v>
      </c>
    </row>
    <row r="444" spans="1:3" x14ac:dyDescent="0.3">
      <c r="A444" s="139" t="s">
        <v>92</v>
      </c>
      <c r="B444" s="255">
        <v>32.043251859325629</v>
      </c>
      <c r="C444" s="255">
        <v>403.7274524665695</v>
      </c>
    </row>
    <row r="445" spans="1:3" x14ac:dyDescent="0.3">
      <c r="A445" s="139" t="s">
        <v>93</v>
      </c>
      <c r="B445" s="255">
        <v>31.776224760497918</v>
      </c>
      <c r="C445" s="255">
        <v>631.4063910074874</v>
      </c>
    </row>
    <row r="446" spans="1:3" x14ac:dyDescent="0.3">
      <c r="A446" s="7" t="s">
        <v>59</v>
      </c>
      <c r="B446" s="255">
        <v>1266.8942794527441</v>
      </c>
      <c r="C446" s="255">
        <v>10991.344946982315</v>
      </c>
    </row>
    <row r="447" spans="1:3" x14ac:dyDescent="0.3">
      <c r="A447" s="138" t="s">
        <v>79</v>
      </c>
      <c r="B447" s="255">
        <v>264.66651836591575</v>
      </c>
      <c r="C447" s="255">
        <v>2759.5843133996109</v>
      </c>
    </row>
    <row r="448" spans="1:3" x14ac:dyDescent="0.3">
      <c r="A448" s="139" t="s">
        <v>80</v>
      </c>
      <c r="B448" s="255">
        <v>31.511422887493769</v>
      </c>
      <c r="C448" s="255">
        <v>677.20971387219151</v>
      </c>
    </row>
    <row r="449" spans="1:3" x14ac:dyDescent="0.3">
      <c r="A449" s="139" t="s">
        <v>81</v>
      </c>
      <c r="B449" s="255">
        <v>117.06531990548383</v>
      </c>
      <c r="C449" s="255">
        <v>2082.3745995274194</v>
      </c>
    </row>
    <row r="450" spans="1:3" x14ac:dyDescent="0.3">
      <c r="A450" s="139" t="s">
        <v>82</v>
      </c>
      <c r="B450" s="255">
        <v>116.08977557293814</v>
      </c>
      <c r="C450" s="255">
        <v>0</v>
      </c>
    </row>
    <row r="451" spans="1:3" x14ac:dyDescent="0.3">
      <c r="A451" s="138" t="s">
        <v>83</v>
      </c>
      <c r="B451" s="255">
        <v>342.49701791846576</v>
      </c>
      <c r="C451" s="255">
        <v>1393.600807110678</v>
      </c>
    </row>
    <row r="452" spans="1:3" x14ac:dyDescent="0.3">
      <c r="A452" s="139" t="s">
        <v>84</v>
      </c>
      <c r="B452" s="255">
        <v>115.12236077649699</v>
      </c>
      <c r="C452" s="255">
        <v>0</v>
      </c>
    </row>
    <row r="453" spans="1:3" x14ac:dyDescent="0.3">
      <c r="A453" s="139" t="s">
        <v>85</v>
      </c>
      <c r="B453" s="255">
        <v>114.16300777002617</v>
      </c>
      <c r="C453" s="255">
        <v>0</v>
      </c>
    </row>
    <row r="454" spans="1:3" x14ac:dyDescent="0.3">
      <c r="A454" s="139" t="s">
        <v>86</v>
      </c>
      <c r="B454" s="255">
        <v>113.21164937194263</v>
      </c>
      <c r="C454" s="255">
        <v>1393.600807110678</v>
      </c>
    </row>
    <row r="455" spans="1:3" x14ac:dyDescent="0.3">
      <c r="A455" s="138" t="s">
        <v>87</v>
      </c>
      <c r="B455" s="255">
        <v>334.00574781161106</v>
      </c>
      <c r="C455" s="255">
        <v>4048.2042414622924</v>
      </c>
    </row>
    <row r="456" spans="1:3" x14ac:dyDescent="0.3">
      <c r="A456" s="139" t="s">
        <v>88</v>
      </c>
      <c r="B456" s="255">
        <v>112.26821896050977</v>
      </c>
      <c r="C456" s="255">
        <v>1687.5158695278787</v>
      </c>
    </row>
    <row r="457" spans="1:3" x14ac:dyDescent="0.3">
      <c r="A457" s="139" t="s">
        <v>89</v>
      </c>
      <c r="B457" s="255">
        <v>111.33265046917219</v>
      </c>
      <c r="C457" s="255">
        <v>1746.9523734342183</v>
      </c>
    </row>
    <row r="458" spans="1:3" x14ac:dyDescent="0.3">
      <c r="A458" s="139" t="s">
        <v>169</v>
      </c>
      <c r="B458" s="255">
        <v>110.40487838192909</v>
      </c>
      <c r="C458" s="255">
        <v>613.73599850019536</v>
      </c>
    </row>
    <row r="459" spans="1:3" x14ac:dyDescent="0.3">
      <c r="A459" s="138" t="s">
        <v>90</v>
      </c>
      <c r="B459" s="255">
        <v>325.72499535675155</v>
      </c>
      <c r="C459" s="255">
        <v>2789.9555850097345</v>
      </c>
    </row>
    <row r="460" spans="1:3" x14ac:dyDescent="0.3">
      <c r="A460" s="139" t="s">
        <v>91</v>
      </c>
      <c r="B460" s="255">
        <v>109.48483772874634</v>
      </c>
      <c r="C460" s="255">
        <v>731.15160672132333</v>
      </c>
    </row>
    <row r="461" spans="1:3" x14ac:dyDescent="0.3">
      <c r="A461" s="139" t="s">
        <v>92</v>
      </c>
      <c r="B461" s="255">
        <v>108.57246408100679</v>
      </c>
      <c r="C461" s="255">
        <v>1136.253976018817</v>
      </c>
    </row>
    <row r="462" spans="1:3" x14ac:dyDescent="0.3">
      <c r="A462" s="139" t="s">
        <v>93</v>
      </c>
      <c r="B462" s="255">
        <v>107.66769354699839</v>
      </c>
      <c r="C462" s="255">
        <v>922.55000226959419</v>
      </c>
    </row>
    <row r="463" spans="1:3" x14ac:dyDescent="0.3">
      <c r="A463" s="7" t="s">
        <v>60</v>
      </c>
      <c r="B463" s="255">
        <v>727.49353938040292</v>
      </c>
      <c r="C463" s="255">
        <v>13875.644343455657</v>
      </c>
    </row>
    <row r="464" spans="1:3" x14ac:dyDescent="0.3">
      <c r="A464" s="138" t="s">
        <v>79</v>
      </c>
      <c r="B464" s="255">
        <v>223.92017665916038</v>
      </c>
      <c r="C464" s="255">
        <v>5249.8841023047089</v>
      </c>
    </row>
    <row r="465" spans="1:3" x14ac:dyDescent="0.3">
      <c r="A465" s="139" t="s">
        <v>80</v>
      </c>
      <c r="B465" s="255">
        <v>106.77046276744007</v>
      </c>
      <c r="C465" s="255">
        <v>2652.7704021581308</v>
      </c>
    </row>
    <row r="466" spans="1:3" x14ac:dyDescent="0.3">
      <c r="A466" s="139" t="s">
        <v>81</v>
      </c>
      <c r="B466" s="255">
        <v>58.819940029315639</v>
      </c>
      <c r="C466" s="255">
        <v>2597.1137001465781</v>
      </c>
    </row>
    <row r="467" spans="1:3" x14ac:dyDescent="0.3">
      <c r="A467" s="139" t="s">
        <v>82</v>
      </c>
      <c r="B467" s="255">
        <v>58.329773862404672</v>
      </c>
      <c r="C467" s="255">
        <v>0</v>
      </c>
    </row>
    <row r="468" spans="1:3" x14ac:dyDescent="0.3">
      <c r="A468" s="138" t="s">
        <v>83</v>
      </c>
      <c r="B468" s="255">
        <v>172.0890018533994</v>
      </c>
      <c r="C468" s="255">
        <v>5002.9220941390695</v>
      </c>
    </row>
    <row r="469" spans="1:3" x14ac:dyDescent="0.3">
      <c r="A469" s="139" t="s">
        <v>84</v>
      </c>
      <c r="B469" s="255">
        <v>57.843692413551295</v>
      </c>
      <c r="C469" s="255">
        <v>1765.5955504915964</v>
      </c>
    </row>
    <row r="470" spans="1:3" x14ac:dyDescent="0.3">
      <c r="A470" s="139" t="s">
        <v>85</v>
      </c>
      <c r="B470" s="255">
        <v>57.361661643438374</v>
      </c>
      <c r="C470" s="255">
        <v>1575.5967186025327</v>
      </c>
    </row>
    <row r="471" spans="1:3" x14ac:dyDescent="0.3">
      <c r="A471" s="139" t="s">
        <v>86</v>
      </c>
      <c r="B471" s="255">
        <v>56.883647796409718</v>
      </c>
      <c r="C471" s="255">
        <v>1661.7298250449403</v>
      </c>
    </row>
    <row r="472" spans="1:3" x14ac:dyDescent="0.3">
      <c r="A472" s="138" t="s">
        <v>87</v>
      </c>
      <c r="B472" s="255">
        <v>167.8225290939078</v>
      </c>
      <c r="C472" s="255">
        <v>3334.9132066883476</v>
      </c>
    </row>
    <row r="473" spans="1:3" x14ac:dyDescent="0.3">
      <c r="A473" s="139" t="s">
        <v>88</v>
      </c>
      <c r="B473" s="255">
        <v>56.409617398106306</v>
      </c>
      <c r="C473" s="255">
        <v>1485.3572215236272</v>
      </c>
    </row>
    <row r="474" spans="1:3" x14ac:dyDescent="0.3">
      <c r="A474" s="139" t="s">
        <v>89</v>
      </c>
      <c r="B474" s="255">
        <v>55.93953725312209</v>
      </c>
      <c r="C474" s="255">
        <v>1096.0959960777773</v>
      </c>
    </row>
    <row r="475" spans="1:3" x14ac:dyDescent="0.3">
      <c r="A475" s="139" t="s">
        <v>169</v>
      </c>
      <c r="B475" s="255">
        <v>55.473374442679408</v>
      </c>
      <c r="C475" s="255">
        <v>753.4599890869431</v>
      </c>
    </row>
    <row r="476" spans="1:3" x14ac:dyDescent="0.3">
      <c r="A476" s="138" t="s">
        <v>90</v>
      </c>
      <c r="B476" s="255">
        <v>163.66183177393552</v>
      </c>
      <c r="C476" s="255">
        <v>287.92494032352852</v>
      </c>
    </row>
    <row r="477" spans="1:3" x14ac:dyDescent="0.3">
      <c r="A477" s="139" t="s">
        <v>91</v>
      </c>
      <c r="B477" s="255">
        <v>55.011096322323745</v>
      </c>
      <c r="C477" s="255">
        <v>128.52462966195844</v>
      </c>
    </row>
    <row r="478" spans="1:3" x14ac:dyDescent="0.3">
      <c r="A478" s="139" t="s">
        <v>92</v>
      </c>
      <c r="B478" s="255">
        <v>54.552670519637708</v>
      </c>
      <c r="C478" s="255">
        <v>0</v>
      </c>
    </row>
    <row r="479" spans="1:3" x14ac:dyDescent="0.3">
      <c r="A479" s="139" t="s">
        <v>93</v>
      </c>
      <c r="B479" s="255">
        <v>54.098064931974058</v>
      </c>
      <c r="C479" s="255">
        <v>159.40031066157007</v>
      </c>
    </row>
    <row r="480" spans="1:3" x14ac:dyDescent="0.3">
      <c r="A480" s="7" t="s">
        <v>61</v>
      </c>
      <c r="B480" s="255">
        <v>432.453485604501</v>
      </c>
      <c r="C480" s="255">
        <v>4464.2665231500296</v>
      </c>
    </row>
    <row r="481" spans="1:3" x14ac:dyDescent="0.3">
      <c r="A481" s="138" t="s">
        <v>79</v>
      </c>
      <c r="B481" s="255">
        <v>112.2180288536581</v>
      </c>
      <c r="C481" s="255">
        <v>3607.5596090928047</v>
      </c>
    </row>
    <row r="482" spans="1:3" x14ac:dyDescent="0.3">
      <c r="A482" s="139" t="s">
        <v>80</v>
      </c>
      <c r="B482" s="255">
        <v>37.719465360114761</v>
      </c>
      <c r="C482" s="255">
        <v>2128.6333268005737</v>
      </c>
    </row>
    <row r="483" spans="1:3" x14ac:dyDescent="0.3">
      <c r="A483" s="139" t="s">
        <v>81</v>
      </c>
      <c r="B483" s="255">
        <v>37.405136482113804</v>
      </c>
      <c r="C483" s="255">
        <v>1478.926282292231</v>
      </c>
    </row>
    <row r="484" spans="1:3" x14ac:dyDescent="0.3">
      <c r="A484" s="139" t="s">
        <v>82</v>
      </c>
      <c r="B484" s="255">
        <v>37.093427011429519</v>
      </c>
      <c r="C484" s="255">
        <v>0</v>
      </c>
    </row>
    <row r="485" spans="1:3" x14ac:dyDescent="0.3">
      <c r="A485" s="138" t="s">
        <v>83</v>
      </c>
      <c r="B485" s="255">
        <v>109.43589194733889</v>
      </c>
      <c r="C485" s="255">
        <v>709.58022860438086</v>
      </c>
    </row>
    <row r="486" spans="1:3" x14ac:dyDescent="0.3">
      <c r="A486" s="139" t="s">
        <v>84</v>
      </c>
      <c r="B486" s="255">
        <v>36.784315119667603</v>
      </c>
      <c r="C486" s="255">
        <v>0</v>
      </c>
    </row>
    <row r="487" spans="1:3" x14ac:dyDescent="0.3">
      <c r="A487" s="139" t="s">
        <v>85</v>
      </c>
      <c r="B487" s="255">
        <v>36.477779160337043</v>
      </c>
      <c r="C487" s="255">
        <v>0</v>
      </c>
    </row>
    <row r="488" spans="1:3" x14ac:dyDescent="0.3">
      <c r="A488" s="139" t="s">
        <v>86</v>
      </c>
      <c r="B488" s="255">
        <v>36.173797667334235</v>
      </c>
      <c r="C488" s="255">
        <v>709.58022860438086</v>
      </c>
    </row>
    <row r="489" spans="1:3" x14ac:dyDescent="0.3">
      <c r="A489" s="138" t="s">
        <v>87</v>
      </c>
      <c r="B489" s="255">
        <v>106.72273046185512</v>
      </c>
      <c r="C489" s="255">
        <v>147.12668545284396</v>
      </c>
    </row>
    <row r="490" spans="1:3" x14ac:dyDescent="0.3">
      <c r="A490" s="139" t="s">
        <v>88</v>
      </c>
      <c r="B490" s="255">
        <v>35.87234935343978</v>
      </c>
      <c r="C490" s="255">
        <v>147.12668545284396</v>
      </c>
    </row>
    <row r="491" spans="1:3" x14ac:dyDescent="0.3">
      <c r="A491" s="139" t="s">
        <v>89</v>
      </c>
      <c r="B491" s="255">
        <v>35.573413108827786</v>
      </c>
      <c r="C491" s="255">
        <v>0</v>
      </c>
    </row>
    <row r="492" spans="1:3" x14ac:dyDescent="0.3">
      <c r="A492" s="139" t="s">
        <v>169</v>
      </c>
      <c r="B492" s="255">
        <v>35.276967999587555</v>
      </c>
      <c r="C492" s="255">
        <v>0</v>
      </c>
    </row>
    <row r="493" spans="1:3" x14ac:dyDescent="0.3">
      <c r="A493" s="138" t="s">
        <v>90</v>
      </c>
      <c r="B493" s="255">
        <v>104.07683434164892</v>
      </c>
      <c r="C493" s="255">
        <v>0</v>
      </c>
    </row>
    <row r="494" spans="1:3" x14ac:dyDescent="0.3">
      <c r="A494" s="139" t="s">
        <v>91</v>
      </c>
      <c r="B494" s="255">
        <v>34.982993266257658</v>
      </c>
      <c r="C494" s="255">
        <v>0</v>
      </c>
    </row>
    <row r="495" spans="1:3" x14ac:dyDescent="0.3">
      <c r="A495" s="139" t="s">
        <v>92</v>
      </c>
      <c r="B495" s="255">
        <v>34.691468322372181</v>
      </c>
      <c r="C495" s="255">
        <v>0</v>
      </c>
    </row>
    <row r="496" spans="1:3" x14ac:dyDescent="0.3">
      <c r="A496" s="139" t="s">
        <v>93</v>
      </c>
      <c r="B496" s="255">
        <v>34.40237275301908</v>
      </c>
      <c r="C496" s="255">
        <v>0</v>
      </c>
    </row>
    <row r="497" spans="1:3" x14ac:dyDescent="0.3">
      <c r="A497" s="7" t="s">
        <v>62</v>
      </c>
      <c r="B497" s="255">
        <v>34.115686313410585</v>
      </c>
      <c r="C497" s="255">
        <v>0</v>
      </c>
    </row>
    <row r="498" spans="1:3" x14ac:dyDescent="0.3">
      <c r="A498" s="138" t="s">
        <v>79</v>
      </c>
      <c r="B498" s="255">
        <v>34.115686313410585</v>
      </c>
      <c r="C498" s="255">
        <v>0</v>
      </c>
    </row>
    <row r="499" spans="1:3" x14ac:dyDescent="0.3">
      <c r="A499" s="139" t="s">
        <v>80</v>
      </c>
      <c r="B499" s="255">
        <v>34.115686313410585</v>
      </c>
      <c r="C499" s="255">
        <v>0</v>
      </c>
    </row>
    <row r="500" spans="1:3" x14ac:dyDescent="0.3">
      <c r="A500" s="139" t="s">
        <v>81</v>
      </c>
      <c r="B500" s="255">
        <v>0</v>
      </c>
      <c r="C500" s="255">
        <v>0</v>
      </c>
    </row>
    <row r="501" spans="1:3" x14ac:dyDescent="0.3">
      <c r="A501" s="139" t="s">
        <v>82</v>
      </c>
      <c r="B501" s="255">
        <v>0</v>
      </c>
      <c r="C501" s="255">
        <v>0</v>
      </c>
    </row>
    <row r="502" spans="1:3" x14ac:dyDescent="0.3">
      <c r="A502" s="138" t="s">
        <v>83</v>
      </c>
      <c r="B502" s="255">
        <v>0</v>
      </c>
      <c r="C502" s="255">
        <v>0</v>
      </c>
    </row>
    <row r="503" spans="1:3" x14ac:dyDescent="0.3">
      <c r="A503" s="139" t="s">
        <v>84</v>
      </c>
      <c r="B503" s="255">
        <v>0</v>
      </c>
      <c r="C503" s="255">
        <v>0</v>
      </c>
    </row>
    <row r="504" spans="1:3" x14ac:dyDescent="0.3">
      <c r="A504" s="139" t="s">
        <v>85</v>
      </c>
      <c r="B504" s="255">
        <v>0</v>
      </c>
      <c r="C504" s="255">
        <v>0</v>
      </c>
    </row>
    <row r="505" spans="1:3" x14ac:dyDescent="0.3">
      <c r="A505" s="139" t="s">
        <v>86</v>
      </c>
      <c r="B505" s="255">
        <v>0</v>
      </c>
      <c r="C505" s="255">
        <v>0</v>
      </c>
    </row>
    <row r="506" spans="1:3" x14ac:dyDescent="0.3">
      <c r="A506" s="138" t="s">
        <v>87</v>
      </c>
      <c r="B506" s="255">
        <v>0</v>
      </c>
      <c r="C506" s="255">
        <v>0</v>
      </c>
    </row>
    <row r="507" spans="1:3" x14ac:dyDescent="0.3">
      <c r="A507" s="139" t="s">
        <v>88</v>
      </c>
      <c r="B507" s="255">
        <v>0</v>
      </c>
      <c r="C507" s="255">
        <v>0</v>
      </c>
    </row>
    <row r="508" spans="1:3" x14ac:dyDescent="0.3">
      <c r="A508" s="139" t="s">
        <v>89</v>
      </c>
      <c r="B508" s="255">
        <v>0</v>
      </c>
      <c r="C508" s="255">
        <v>0</v>
      </c>
    </row>
    <row r="509" spans="1:3" x14ac:dyDescent="0.3">
      <c r="A509" s="139" t="s">
        <v>169</v>
      </c>
      <c r="B509" s="255">
        <v>0</v>
      </c>
      <c r="C509" s="255">
        <v>0</v>
      </c>
    </row>
    <row r="510" spans="1:3" x14ac:dyDescent="0.3">
      <c r="A510" s="138" t="s">
        <v>90</v>
      </c>
      <c r="B510" s="255">
        <v>0</v>
      </c>
      <c r="C510" s="255">
        <v>0</v>
      </c>
    </row>
    <row r="511" spans="1:3" x14ac:dyDescent="0.3">
      <c r="A511" s="139" t="s">
        <v>91</v>
      </c>
      <c r="B511" s="255">
        <v>0</v>
      </c>
      <c r="C511" s="255">
        <v>0</v>
      </c>
    </row>
    <row r="512" spans="1:3" x14ac:dyDescent="0.3">
      <c r="A512" s="139" t="s">
        <v>92</v>
      </c>
      <c r="B512" s="255">
        <v>0</v>
      </c>
      <c r="C512" s="255">
        <v>0</v>
      </c>
    </row>
    <row r="513" spans="1:3" x14ac:dyDescent="0.3">
      <c r="A513" s="139" t="s">
        <v>93</v>
      </c>
      <c r="B513" s="255">
        <v>0</v>
      </c>
      <c r="C513" s="255">
        <v>0</v>
      </c>
    </row>
    <row r="514" spans="1:3" x14ac:dyDescent="0.3">
      <c r="A514" s="7" t="s">
        <v>63</v>
      </c>
      <c r="B514" s="255">
        <v>1958.8077670705045</v>
      </c>
      <c r="C514" s="255">
        <v>0</v>
      </c>
    </row>
    <row r="515" spans="1:3" x14ac:dyDescent="0.3">
      <c r="A515" s="138" t="s">
        <v>79</v>
      </c>
      <c r="B515" s="255">
        <v>369.6878336364349</v>
      </c>
      <c r="C515" s="255">
        <v>0</v>
      </c>
    </row>
    <row r="516" spans="1:3" x14ac:dyDescent="0.3">
      <c r="A516" s="139" t="s">
        <v>80</v>
      </c>
      <c r="B516" s="255">
        <v>0</v>
      </c>
      <c r="C516" s="255">
        <v>0</v>
      </c>
    </row>
    <row r="517" spans="1:3" x14ac:dyDescent="0.3">
      <c r="A517" s="139" t="s">
        <v>81</v>
      </c>
      <c r="B517" s="255">
        <v>185.61732232791712</v>
      </c>
      <c r="C517" s="255">
        <v>0</v>
      </c>
    </row>
    <row r="518" spans="1:3" x14ac:dyDescent="0.3">
      <c r="A518" s="139" t="s">
        <v>82</v>
      </c>
      <c r="B518" s="255">
        <v>184.07051130851781</v>
      </c>
      <c r="C518" s="255">
        <v>0</v>
      </c>
    </row>
    <row r="519" spans="1:3" x14ac:dyDescent="0.3">
      <c r="A519" s="138" t="s">
        <v>83</v>
      </c>
      <c r="B519" s="255">
        <v>543.0590325354267</v>
      </c>
      <c r="C519" s="255">
        <v>0</v>
      </c>
    </row>
    <row r="520" spans="1:3" x14ac:dyDescent="0.3">
      <c r="A520" s="139" t="s">
        <v>84</v>
      </c>
      <c r="B520" s="255">
        <v>182.53659038094685</v>
      </c>
      <c r="C520" s="255">
        <v>0</v>
      </c>
    </row>
    <row r="521" spans="1:3" x14ac:dyDescent="0.3">
      <c r="A521" s="139" t="s">
        <v>85</v>
      </c>
      <c r="B521" s="255">
        <v>181.01545212777228</v>
      </c>
      <c r="C521" s="255">
        <v>0</v>
      </c>
    </row>
    <row r="522" spans="1:3" x14ac:dyDescent="0.3">
      <c r="A522" s="139" t="s">
        <v>86</v>
      </c>
      <c r="B522" s="255">
        <v>179.50699002670751</v>
      </c>
      <c r="C522" s="255">
        <v>0</v>
      </c>
    </row>
    <row r="523" spans="1:3" x14ac:dyDescent="0.3">
      <c r="A523" s="138" t="s">
        <v>87</v>
      </c>
      <c r="B523" s="255">
        <v>529.59537975021237</v>
      </c>
      <c r="C523" s="255">
        <v>0</v>
      </c>
    </row>
    <row r="524" spans="1:3" x14ac:dyDescent="0.3">
      <c r="A524" s="139" t="s">
        <v>88</v>
      </c>
      <c r="B524" s="255">
        <v>178.01109844315161</v>
      </c>
      <c r="C524" s="255">
        <v>0</v>
      </c>
    </row>
    <row r="525" spans="1:3" x14ac:dyDescent="0.3">
      <c r="A525" s="139" t="s">
        <v>89</v>
      </c>
      <c r="B525" s="255">
        <v>176.52767262279201</v>
      </c>
      <c r="C525" s="255">
        <v>0</v>
      </c>
    </row>
    <row r="526" spans="1:3" x14ac:dyDescent="0.3">
      <c r="A526" s="139" t="s">
        <v>169</v>
      </c>
      <c r="B526" s="255">
        <v>175.05660868426875</v>
      </c>
      <c r="C526" s="255">
        <v>0</v>
      </c>
    </row>
    <row r="527" spans="1:3" x14ac:dyDescent="0.3">
      <c r="A527" s="138" t="s">
        <v>90</v>
      </c>
      <c r="B527" s="255">
        <v>516.46552114843064</v>
      </c>
      <c r="C527" s="255">
        <v>0</v>
      </c>
    </row>
    <row r="528" spans="1:3" x14ac:dyDescent="0.3">
      <c r="A528" s="139" t="s">
        <v>91</v>
      </c>
      <c r="B528" s="255">
        <v>173.59780361189985</v>
      </c>
      <c r="C528" s="255">
        <v>0</v>
      </c>
    </row>
    <row r="529" spans="1:3" x14ac:dyDescent="0.3">
      <c r="A529" s="139" t="s">
        <v>92</v>
      </c>
      <c r="B529" s="255">
        <v>172.15115524846735</v>
      </c>
      <c r="C529" s="255">
        <v>0</v>
      </c>
    </row>
    <row r="530" spans="1:3" x14ac:dyDescent="0.3">
      <c r="A530" s="139" t="s">
        <v>93</v>
      </c>
      <c r="B530" s="255">
        <v>170.71656228806344</v>
      </c>
      <c r="C530" s="255">
        <v>0</v>
      </c>
    </row>
    <row r="531" spans="1:3" x14ac:dyDescent="0.3">
      <c r="A531" s="7" t="s">
        <v>64</v>
      </c>
      <c r="B531" s="255">
        <v>239.17845986384123</v>
      </c>
      <c r="C531" s="255">
        <v>-767.18745326431122</v>
      </c>
    </row>
    <row r="532" spans="1:3" x14ac:dyDescent="0.3">
      <c r="A532" s="138" t="s">
        <v>79</v>
      </c>
      <c r="B532" s="255">
        <v>62.064791251840205</v>
      </c>
      <c r="C532" s="255">
        <v>0</v>
      </c>
    </row>
    <row r="533" spans="1:3" x14ac:dyDescent="0.3">
      <c r="A533" s="139" t="s">
        <v>80</v>
      </c>
      <c r="B533" s="255">
        <v>20.861627740400525</v>
      </c>
      <c r="C533" s="255">
        <v>0</v>
      </c>
    </row>
    <row r="534" spans="1:3" x14ac:dyDescent="0.3">
      <c r="A534" s="139" t="s">
        <v>81</v>
      </c>
      <c r="B534" s="255">
        <v>20.687780842563857</v>
      </c>
      <c r="C534" s="255">
        <v>0</v>
      </c>
    </row>
    <row r="535" spans="1:3" x14ac:dyDescent="0.3">
      <c r="A535" s="139" t="s">
        <v>82</v>
      </c>
      <c r="B535" s="255">
        <v>20.515382668875823</v>
      </c>
      <c r="C535" s="255">
        <v>0</v>
      </c>
    </row>
    <row r="536" spans="1:3" x14ac:dyDescent="0.3">
      <c r="A536" s="138" t="s">
        <v>83</v>
      </c>
      <c r="B536" s="255">
        <v>60.526065718263759</v>
      </c>
      <c r="C536" s="255">
        <v>0</v>
      </c>
    </row>
    <row r="537" spans="1:3" x14ac:dyDescent="0.3">
      <c r="A537" s="139" t="s">
        <v>84</v>
      </c>
      <c r="B537" s="255">
        <v>20.344421146635188</v>
      </c>
      <c r="C537" s="255">
        <v>0</v>
      </c>
    </row>
    <row r="538" spans="1:3" x14ac:dyDescent="0.3">
      <c r="A538" s="139" t="s">
        <v>85</v>
      </c>
      <c r="B538" s="255">
        <v>20.174884303746563</v>
      </c>
      <c r="C538" s="255">
        <v>0</v>
      </c>
    </row>
    <row r="539" spans="1:3" x14ac:dyDescent="0.3">
      <c r="A539" s="139" t="s">
        <v>86</v>
      </c>
      <c r="B539" s="255">
        <v>20.006760267882008</v>
      </c>
      <c r="C539" s="255">
        <v>0</v>
      </c>
    </row>
    <row r="540" spans="1:3" x14ac:dyDescent="0.3">
      <c r="A540" s="138" t="s">
        <v>87</v>
      </c>
      <c r="B540" s="255">
        <v>59.025488645673391</v>
      </c>
      <c r="C540" s="255">
        <v>-767.18745326431122</v>
      </c>
    </row>
    <row r="541" spans="1:3" x14ac:dyDescent="0.3">
      <c r="A541" s="139" t="s">
        <v>88</v>
      </c>
      <c r="B541" s="255">
        <v>19.840037265649656</v>
      </c>
      <c r="C541" s="255">
        <v>-586.81201986768565</v>
      </c>
    </row>
    <row r="542" spans="1:3" x14ac:dyDescent="0.3">
      <c r="A542" s="139" t="s">
        <v>89</v>
      </c>
      <c r="B542" s="255">
        <v>19.674703621769243</v>
      </c>
      <c r="C542" s="255">
        <v>-180.37543339662551</v>
      </c>
    </row>
    <row r="543" spans="1:3" x14ac:dyDescent="0.3">
      <c r="A543" s="139" t="s">
        <v>169</v>
      </c>
      <c r="B543" s="255">
        <v>19.510747758254499</v>
      </c>
      <c r="C543" s="255">
        <v>0</v>
      </c>
    </row>
    <row r="544" spans="1:3" x14ac:dyDescent="0.3">
      <c r="A544" s="138" t="s">
        <v>90</v>
      </c>
      <c r="B544" s="255">
        <v>57.562114248063857</v>
      </c>
      <c r="C544" s="255">
        <v>0</v>
      </c>
    </row>
    <row r="545" spans="1:3" x14ac:dyDescent="0.3">
      <c r="A545" s="139" t="s">
        <v>91</v>
      </c>
      <c r="B545" s="255">
        <v>19.34815819360238</v>
      </c>
      <c r="C545" s="255">
        <v>0</v>
      </c>
    </row>
    <row r="546" spans="1:3" x14ac:dyDescent="0.3">
      <c r="A546" s="139" t="s">
        <v>92</v>
      </c>
      <c r="B546" s="255">
        <v>19.186923541989028</v>
      </c>
      <c r="C546" s="255">
        <v>0</v>
      </c>
    </row>
    <row r="547" spans="1:3" x14ac:dyDescent="0.3">
      <c r="A547" s="139" t="s">
        <v>93</v>
      </c>
      <c r="B547" s="255">
        <v>19.027032512472452</v>
      </c>
      <c r="C547" s="255">
        <v>0</v>
      </c>
    </row>
    <row r="548" spans="1:3" x14ac:dyDescent="0.3">
      <c r="A548" s="7" t="s">
        <v>65</v>
      </c>
      <c r="B548" s="255">
        <v>18.86847390820185</v>
      </c>
      <c r="C548" s="255">
        <v>0</v>
      </c>
    </row>
    <row r="549" spans="1:3" x14ac:dyDescent="0.3">
      <c r="A549" s="138" t="s">
        <v>79</v>
      </c>
      <c r="B549" s="255">
        <v>18.86847390820185</v>
      </c>
      <c r="C549" s="255">
        <v>0</v>
      </c>
    </row>
    <row r="550" spans="1:3" x14ac:dyDescent="0.3">
      <c r="A550" s="139" t="s">
        <v>80</v>
      </c>
      <c r="B550" s="255">
        <v>18.86847390820185</v>
      </c>
      <c r="C550" s="255">
        <v>0</v>
      </c>
    </row>
    <row r="551" spans="1:3" x14ac:dyDescent="0.3">
      <c r="A551" s="139" t="s">
        <v>81</v>
      </c>
      <c r="B551" s="255">
        <v>0</v>
      </c>
      <c r="C551" s="255">
        <v>0</v>
      </c>
    </row>
    <row r="552" spans="1:3" x14ac:dyDescent="0.3">
      <c r="A552" s="139" t="s">
        <v>82</v>
      </c>
      <c r="B552" s="255">
        <v>0</v>
      </c>
      <c r="C552" s="255">
        <v>0</v>
      </c>
    </row>
    <row r="553" spans="1:3" x14ac:dyDescent="0.3">
      <c r="A553" s="138" t="s">
        <v>83</v>
      </c>
      <c r="B553" s="255">
        <v>0</v>
      </c>
      <c r="C553" s="255">
        <v>0</v>
      </c>
    </row>
    <row r="554" spans="1:3" x14ac:dyDescent="0.3">
      <c r="A554" s="139" t="s">
        <v>84</v>
      </c>
      <c r="B554" s="255">
        <v>0</v>
      </c>
      <c r="C554" s="255">
        <v>0</v>
      </c>
    </row>
    <row r="555" spans="1:3" x14ac:dyDescent="0.3">
      <c r="A555" s="139" t="s">
        <v>85</v>
      </c>
      <c r="B555" s="255">
        <v>0</v>
      </c>
      <c r="C555" s="255">
        <v>0</v>
      </c>
    </row>
    <row r="556" spans="1:3" x14ac:dyDescent="0.3">
      <c r="A556" s="139" t="s">
        <v>86</v>
      </c>
      <c r="B556" s="255">
        <v>0</v>
      </c>
      <c r="C556" s="255">
        <v>0</v>
      </c>
    </row>
    <row r="557" spans="1:3" x14ac:dyDescent="0.3">
      <c r="A557" s="138" t="s">
        <v>87</v>
      </c>
      <c r="B557" s="255">
        <v>0</v>
      </c>
      <c r="C557" s="255">
        <v>0</v>
      </c>
    </row>
    <row r="558" spans="1:3" x14ac:dyDescent="0.3">
      <c r="A558" s="139" t="s">
        <v>88</v>
      </c>
      <c r="B558" s="255">
        <v>0</v>
      </c>
      <c r="C558" s="255">
        <v>0</v>
      </c>
    </row>
    <row r="559" spans="1:3" x14ac:dyDescent="0.3">
      <c r="A559" s="139" t="s">
        <v>89</v>
      </c>
      <c r="B559" s="255">
        <v>0</v>
      </c>
      <c r="C559" s="255">
        <v>0</v>
      </c>
    </row>
    <row r="560" spans="1:3" x14ac:dyDescent="0.3">
      <c r="A560" s="139" t="s">
        <v>169</v>
      </c>
      <c r="B560" s="255">
        <v>0</v>
      </c>
      <c r="C560" s="255">
        <v>0</v>
      </c>
    </row>
    <row r="561" spans="1:3" x14ac:dyDescent="0.3">
      <c r="A561" s="138" t="s">
        <v>90</v>
      </c>
      <c r="B561" s="255">
        <v>0</v>
      </c>
      <c r="C561" s="255">
        <v>0</v>
      </c>
    </row>
    <row r="562" spans="1:3" x14ac:dyDescent="0.3">
      <c r="A562" s="139" t="s">
        <v>91</v>
      </c>
      <c r="B562" s="255">
        <v>0</v>
      </c>
      <c r="C562" s="255">
        <v>0</v>
      </c>
    </row>
    <row r="563" spans="1:3" x14ac:dyDescent="0.3">
      <c r="A563" s="139" t="s">
        <v>92</v>
      </c>
      <c r="B563" s="255">
        <v>0</v>
      </c>
      <c r="C563" s="255">
        <v>0</v>
      </c>
    </row>
    <row r="564" spans="1:3" x14ac:dyDescent="0.3">
      <c r="A564" s="139" t="s">
        <v>93</v>
      </c>
      <c r="B564" s="255">
        <v>0</v>
      </c>
      <c r="C564" s="255">
        <v>0</v>
      </c>
    </row>
    <row r="565" spans="1:3" x14ac:dyDescent="0.3">
      <c r="A565" s="7" t="s">
        <v>66</v>
      </c>
      <c r="B565" s="255">
        <v>342.68159649949234</v>
      </c>
      <c r="C565" s="255">
        <v>0</v>
      </c>
    </row>
    <row r="566" spans="1:3" x14ac:dyDescent="0.3">
      <c r="A566" s="138" t="s">
        <v>79</v>
      </c>
      <c r="B566" s="255">
        <v>64.674655250339526</v>
      </c>
      <c r="C566" s="255">
        <v>0</v>
      </c>
    </row>
    <row r="567" spans="1:3" x14ac:dyDescent="0.3">
      <c r="A567" s="139" t="s">
        <v>80</v>
      </c>
      <c r="B567" s="255">
        <v>0</v>
      </c>
      <c r="C567" s="255">
        <v>0</v>
      </c>
    </row>
    <row r="568" spans="1:3" x14ac:dyDescent="0.3">
      <c r="A568" s="139" t="s">
        <v>81</v>
      </c>
      <c r="B568" s="255">
        <v>32.472630251216493</v>
      </c>
      <c r="C568" s="255">
        <v>0</v>
      </c>
    </row>
    <row r="569" spans="1:3" x14ac:dyDescent="0.3">
      <c r="A569" s="139" t="s">
        <v>82</v>
      </c>
      <c r="B569" s="255">
        <v>32.202024999123026</v>
      </c>
      <c r="C569" s="255">
        <v>0</v>
      </c>
    </row>
    <row r="570" spans="1:3" x14ac:dyDescent="0.3">
      <c r="A570" s="138" t="s">
        <v>83</v>
      </c>
      <c r="B570" s="255">
        <v>95.004900118925988</v>
      </c>
      <c r="C570" s="255">
        <v>0</v>
      </c>
    </row>
    <row r="571" spans="1:3" x14ac:dyDescent="0.3">
      <c r="A571" s="139" t="s">
        <v>84</v>
      </c>
      <c r="B571" s="255">
        <v>31.933674790796999</v>
      </c>
      <c r="C571" s="255">
        <v>0</v>
      </c>
    </row>
    <row r="572" spans="1:3" x14ac:dyDescent="0.3">
      <c r="A572" s="139" t="s">
        <v>85</v>
      </c>
      <c r="B572" s="255">
        <v>31.667560834207027</v>
      </c>
      <c r="C572" s="255">
        <v>0</v>
      </c>
    </row>
    <row r="573" spans="1:3" x14ac:dyDescent="0.3">
      <c r="A573" s="139" t="s">
        <v>86</v>
      </c>
      <c r="B573" s="255">
        <v>31.403664493921966</v>
      </c>
      <c r="C573" s="255">
        <v>0</v>
      </c>
    </row>
    <row r="574" spans="1:3" x14ac:dyDescent="0.3">
      <c r="A574" s="138" t="s">
        <v>87</v>
      </c>
      <c r="B574" s="255">
        <v>92.649515323790041</v>
      </c>
      <c r="C574" s="255">
        <v>0</v>
      </c>
    </row>
    <row r="575" spans="1:3" x14ac:dyDescent="0.3">
      <c r="A575" s="139" t="s">
        <v>88</v>
      </c>
      <c r="B575" s="255">
        <v>31.141967289805951</v>
      </c>
      <c r="C575" s="255">
        <v>0</v>
      </c>
    </row>
    <row r="576" spans="1:3" x14ac:dyDescent="0.3">
      <c r="A576" s="139" t="s">
        <v>89</v>
      </c>
      <c r="B576" s="255">
        <v>30.882450895724233</v>
      </c>
      <c r="C576" s="255">
        <v>0</v>
      </c>
    </row>
    <row r="577" spans="1:3" x14ac:dyDescent="0.3">
      <c r="A577" s="139" t="s">
        <v>169</v>
      </c>
      <c r="B577" s="255">
        <v>30.625097138259864</v>
      </c>
      <c r="C577" s="255">
        <v>0</v>
      </c>
    </row>
    <row r="578" spans="1:3" x14ac:dyDescent="0.3">
      <c r="A578" s="138" t="s">
        <v>90</v>
      </c>
      <c r="B578" s="255">
        <v>90.352525806436759</v>
      </c>
      <c r="C578" s="255">
        <v>0</v>
      </c>
    </row>
    <row r="579" spans="1:3" x14ac:dyDescent="0.3">
      <c r="A579" s="139" t="s">
        <v>91</v>
      </c>
      <c r="B579" s="255">
        <v>30.369887995441033</v>
      </c>
      <c r="C579" s="255">
        <v>0</v>
      </c>
    </row>
    <row r="580" spans="1:3" x14ac:dyDescent="0.3">
      <c r="A580" s="139" t="s">
        <v>92</v>
      </c>
      <c r="B580" s="255">
        <v>30.116805595479025</v>
      </c>
      <c r="C580" s="255">
        <v>0</v>
      </c>
    </row>
    <row r="581" spans="1:3" x14ac:dyDescent="0.3">
      <c r="A581" s="139" t="s">
        <v>93</v>
      </c>
      <c r="B581" s="255">
        <v>29.865832215516701</v>
      </c>
      <c r="C581" s="255">
        <v>0</v>
      </c>
    </row>
    <row r="582" spans="1:3" x14ac:dyDescent="0.3">
      <c r="A582" s="7" t="s">
        <v>67</v>
      </c>
      <c r="B582" s="255">
        <v>380.64757115128361</v>
      </c>
      <c r="C582" s="255">
        <v>1078.0010493051086</v>
      </c>
    </row>
    <row r="583" spans="1:3" x14ac:dyDescent="0.3">
      <c r="A583" s="138" t="s">
        <v>79</v>
      </c>
      <c r="B583" s="255">
        <v>95.86732561144629</v>
      </c>
      <c r="C583" s="255">
        <v>0</v>
      </c>
    </row>
    <row r="584" spans="1:3" x14ac:dyDescent="0.3">
      <c r="A584" s="139" t="s">
        <v>80</v>
      </c>
      <c r="B584" s="255">
        <v>29.616950280387396</v>
      </c>
      <c r="C584" s="255">
        <v>0</v>
      </c>
    </row>
    <row r="585" spans="1:3" x14ac:dyDescent="0.3">
      <c r="A585" s="139" t="s">
        <v>81</v>
      </c>
      <c r="B585" s="255">
        <v>33.263786777100698</v>
      </c>
      <c r="C585" s="255">
        <v>0</v>
      </c>
    </row>
    <row r="586" spans="1:3" x14ac:dyDescent="0.3">
      <c r="A586" s="139" t="s">
        <v>82</v>
      </c>
      <c r="B586" s="255">
        <v>32.986588553958192</v>
      </c>
      <c r="C586" s="255">
        <v>0</v>
      </c>
    </row>
    <row r="587" spans="1:3" x14ac:dyDescent="0.3">
      <c r="A587" s="138" t="s">
        <v>83</v>
      </c>
      <c r="B587" s="255">
        <v>97.319580085980675</v>
      </c>
      <c r="C587" s="255">
        <v>244.42858310914289</v>
      </c>
    </row>
    <row r="588" spans="1:3" x14ac:dyDescent="0.3">
      <c r="A588" s="139" t="s">
        <v>84</v>
      </c>
      <c r="B588" s="255">
        <v>32.711700316008539</v>
      </c>
      <c r="C588" s="255">
        <v>0</v>
      </c>
    </row>
    <row r="589" spans="1:3" x14ac:dyDescent="0.3">
      <c r="A589" s="139" t="s">
        <v>85</v>
      </c>
      <c r="B589" s="255">
        <v>32.439102813375136</v>
      </c>
      <c r="C589" s="255">
        <v>80.395649509108807</v>
      </c>
    </row>
    <row r="590" spans="1:3" x14ac:dyDescent="0.3">
      <c r="A590" s="139" t="s">
        <v>86</v>
      </c>
      <c r="B590" s="255">
        <v>32.168776956597007</v>
      </c>
      <c r="C590" s="255">
        <v>164.03293360003408</v>
      </c>
    </row>
    <row r="591" spans="1:3" x14ac:dyDescent="0.3">
      <c r="A591" s="138" t="s">
        <v>87</v>
      </c>
      <c r="B591" s="255">
        <v>94.906809177147636</v>
      </c>
      <c r="C591" s="255">
        <v>411.37560414918971</v>
      </c>
    </row>
    <row r="592" spans="1:3" x14ac:dyDescent="0.3">
      <c r="A592" s="139" t="s">
        <v>88</v>
      </c>
      <c r="B592" s="255">
        <v>31.900703815292033</v>
      </c>
      <c r="C592" s="255">
        <v>52.796196466384572</v>
      </c>
    </row>
    <row r="593" spans="1:3" x14ac:dyDescent="0.3">
      <c r="A593" s="139" t="s">
        <v>89</v>
      </c>
      <c r="B593" s="255">
        <v>31.634864616831269</v>
      </c>
      <c r="C593" s="255">
        <v>195.20946665570227</v>
      </c>
    </row>
    <row r="594" spans="1:3" x14ac:dyDescent="0.3">
      <c r="A594" s="139" t="s">
        <v>169</v>
      </c>
      <c r="B594" s="255">
        <v>31.371240745024341</v>
      </c>
      <c r="C594" s="255">
        <v>163.36994102710287</v>
      </c>
    </row>
    <row r="595" spans="1:3" x14ac:dyDescent="0.3">
      <c r="A595" s="138" t="s">
        <v>90</v>
      </c>
      <c r="B595" s="255">
        <v>92.553856276708885</v>
      </c>
      <c r="C595" s="255">
        <v>422.196862046776</v>
      </c>
    </row>
    <row r="596" spans="1:3" x14ac:dyDescent="0.3">
      <c r="A596" s="139" t="s">
        <v>91</v>
      </c>
      <c r="B596" s="255">
        <v>31.109813738815806</v>
      </c>
      <c r="C596" s="255">
        <v>35.460188342144647</v>
      </c>
    </row>
    <row r="597" spans="1:3" x14ac:dyDescent="0.3">
      <c r="A597" s="139" t="s">
        <v>92</v>
      </c>
      <c r="B597" s="255">
        <v>30.850565290992339</v>
      </c>
      <c r="C597" s="255">
        <v>210.29538790003971</v>
      </c>
    </row>
    <row r="598" spans="1:3" x14ac:dyDescent="0.3">
      <c r="A598" s="139" t="s">
        <v>93</v>
      </c>
      <c r="B598" s="255">
        <v>30.593477246900736</v>
      </c>
      <c r="C598" s="255">
        <v>176.44128580459164</v>
      </c>
    </row>
    <row r="599" spans="1:3" x14ac:dyDescent="0.3">
      <c r="A599" s="7" t="s">
        <v>68</v>
      </c>
      <c r="B599" s="255">
        <v>363.44505620903641</v>
      </c>
      <c r="C599" s="255">
        <v>1678.2244496633184</v>
      </c>
    </row>
    <row r="600" spans="1:3" x14ac:dyDescent="0.3">
      <c r="A600" s="138" t="s">
        <v>79</v>
      </c>
      <c r="B600" s="255">
        <v>93.20607354470782</v>
      </c>
      <c r="C600" s="255">
        <v>502.49531212692546</v>
      </c>
    </row>
    <row r="601" spans="1:3" x14ac:dyDescent="0.3">
      <c r="A601" s="139" t="s">
        <v>80</v>
      </c>
      <c r="B601" s="255">
        <v>30.338531603176566</v>
      </c>
      <c r="C601" s="255">
        <v>230.88458631296089</v>
      </c>
    </row>
    <row r="602" spans="1:3" x14ac:dyDescent="0.3">
      <c r="A602" s="139" t="s">
        <v>81</v>
      </c>
      <c r="B602" s="255">
        <v>31.565293025036613</v>
      </c>
      <c r="C602" s="255">
        <v>137.15598078011408</v>
      </c>
    </row>
    <row r="603" spans="1:3" x14ac:dyDescent="0.3">
      <c r="A603" s="139" t="s">
        <v>82</v>
      </c>
      <c r="B603" s="255">
        <v>31.302248916494641</v>
      </c>
      <c r="C603" s="255">
        <v>134.45474503385049</v>
      </c>
    </row>
    <row r="604" spans="1:3" x14ac:dyDescent="0.3">
      <c r="A604" s="138" t="s">
        <v>83</v>
      </c>
      <c r="B604" s="255">
        <v>92.35031125807528</v>
      </c>
      <c r="C604" s="255">
        <v>362.44865002304596</v>
      </c>
    </row>
    <row r="605" spans="1:3" x14ac:dyDescent="0.3">
      <c r="A605" s="139" t="s">
        <v>84</v>
      </c>
      <c r="B605" s="255">
        <v>31.041396842190519</v>
      </c>
      <c r="C605" s="255">
        <v>106.2601646627154</v>
      </c>
    </row>
    <row r="606" spans="1:3" x14ac:dyDescent="0.3">
      <c r="A606" s="139" t="s">
        <v>85</v>
      </c>
      <c r="B606" s="255">
        <v>30.782718535172265</v>
      </c>
      <c r="C606" s="255">
        <v>95.944908453790049</v>
      </c>
    </row>
    <row r="607" spans="1:3" x14ac:dyDescent="0.3">
      <c r="A607" s="139" t="s">
        <v>86</v>
      </c>
      <c r="B607" s="255">
        <v>30.526195880712496</v>
      </c>
      <c r="C607" s="255">
        <v>160.24357690654051</v>
      </c>
    </row>
    <row r="608" spans="1:3" x14ac:dyDescent="0.3">
      <c r="A608" s="138" t="s">
        <v>87</v>
      </c>
      <c r="B608" s="255">
        <v>90.060739681335008</v>
      </c>
      <c r="C608" s="255">
        <v>401.15620630519879</v>
      </c>
    </row>
    <row r="609" spans="1:3" x14ac:dyDescent="0.3">
      <c r="A609" s="139" t="s">
        <v>88</v>
      </c>
      <c r="B609" s="255">
        <v>30.271810915039893</v>
      </c>
      <c r="C609" s="255">
        <v>49.887026192885969</v>
      </c>
    </row>
    <row r="610" spans="1:3" x14ac:dyDescent="0.3">
      <c r="A610" s="139" t="s">
        <v>89</v>
      </c>
      <c r="B610" s="255">
        <v>30.019545824081227</v>
      </c>
      <c r="C610" s="255">
        <v>191.44403335710467</v>
      </c>
    </row>
    <row r="611" spans="1:3" x14ac:dyDescent="0.3">
      <c r="A611" s="139" t="s">
        <v>169</v>
      </c>
      <c r="B611" s="255">
        <v>29.769382942213884</v>
      </c>
      <c r="C611" s="255">
        <v>159.82514675520815</v>
      </c>
    </row>
    <row r="612" spans="1:3" x14ac:dyDescent="0.3">
      <c r="A612" s="138" t="s">
        <v>90</v>
      </c>
      <c r="B612" s="255">
        <v>87.827931724918301</v>
      </c>
      <c r="C612" s="255">
        <v>412.1242812081482</v>
      </c>
    </row>
    <row r="613" spans="1:3" x14ac:dyDescent="0.3">
      <c r="A613" s="139" t="s">
        <v>91</v>
      </c>
      <c r="B613" s="255">
        <v>29.521304751028769</v>
      </c>
      <c r="C613" s="255">
        <v>32.721097695660319</v>
      </c>
    </row>
    <row r="614" spans="1:3" x14ac:dyDescent="0.3">
      <c r="A614" s="139" t="s">
        <v>92</v>
      </c>
      <c r="B614" s="255">
        <v>29.275293878103529</v>
      </c>
      <c r="C614" s="255">
        <v>206.51476544210436</v>
      </c>
    </row>
    <row r="615" spans="1:3" x14ac:dyDescent="0.3">
      <c r="A615" s="139" t="s">
        <v>93</v>
      </c>
      <c r="B615" s="255">
        <v>29.031333095786</v>
      </c>
      <c r="C615" s="255">
        <v>172.88841807038352</v>
      </c>
    </row>
    <row r="616" spans="1:3" x14ac:dyDescent="0.3">
      <c r="A616" s="7" t="s">
        <v>69</v>
      </c>
      <c r="B616" s="255">
        <v>351.53885335580594</v>
      </c>
      <c r="C616" s="255">
        <v>1638.4576540240942</v>
      </c>
    </row>
    <row r="617" spans="1:3" x14ac:dyDescent="0.3">
      <c r="A617" s="138" t="s">
        <v>79</v>
      </c>
      <c r="B617" s="255">
        <v>89.702245394213477</v>
      </c>
      <c r="C617" s="255">
        <v>490.64664144805829</v>
      </c>
    </row>
    <row r="618" spans="1:3" x14ac:dyDescent="0.3">
      <c r="A618" s="139" t="s">
        <v>80</v>
      </c>
      <c r="B618" s="255">
        <v>28.789405319987782</v>
      </c>
      <c r="C618" s="255">
        <v>227.01597969537124</v>
      </c>
    </row>
    <row r="619" spans="1:3" x14ac:dyDescent="0.3">
      <c r="A619" s="139" t="s">
        <v>81</v>
      </c>
      <c r="B619" s="255">
        <v>30.583852756933403</v>
      </c>
      <c r="C619" s="255">
        <v>132.40130836137268</v>
      </c>
    </row>
    <row r="620" spans="1:3" x14ac:dyDescent="0.3">
      <c r="A620" s="139" t="s">
        <v>82</v>
      </c>
      <c r="B620" s="255">
        <v>30.328987317292292</v>
      </c>
      <c r="C620" s="255">
        <v>131.22935339131436</v>
      </c>
    </row>
    <row r="621" spans="1:3" x14ac:dyDescent="0.3">
      <c r="A621" s="138" t="s">
        <v>83</v>
      </c>
      <c r="B621" s="255">
        <v>89.4789197532142</v>
      </c>
      <c r="C621" s="255">
        <v>353.14592615631682</v>
      </c>
    </row>
    <row r="622" spans="1:3" x14ac:dyDescent="0.3">
      <c r="A622" s="139" t="s">
        <v>84</v>
      </c>
      <c r="B622" s="255">
        <v>30.076245756314854</v>
      </c>
      <c r="C622" s="255">
        <v>103.22913859021537</v>
      </c>
    </row>
    <row r="623" spans="1:3" x14ac:dyDescent="0.3">
      <c r="A623" s="139" t="s">
        <v>85</v>
      </c>
      <c r="B623" s="255">
        <v>29.825610375012229</v>
      </c>
      <c r="C623" s="255">
        <v>92.994010892814913</v>
      </c>
    </row>
    <row r="624" spans="1:3" x14ac:dyDescent="0.3">
      <c r="A624" s="139" t="s">
        <v>86</v>
      </c>
      <c r="B624" s="255">
        <v>29.577063621887127</v>
      </c>
      <c r="C624" s="255">
        <v>156.92277667328653</v>
      </c>
    </row>
    <row r="625" spans="1:3" x14ac:dyDescent="0.3">
      <c r="A625" s="138" t="s">
        <v>87</v>
      </c>
      <c r="B625" s="255">
        <v>87.260536419216834</v>
      </c>
      <c r="C625" s="255">
        <v>391.79477880393188</v>
      </c>
    </row>
    <row r="626" spans="1:3" x14ac:dyDescent="0.3">
      <c r="A626" s="139" t="s">
        <v>88</v>
      </c>
      <c r="B626" s="255">
        <v>29.330588091704733</v>
      </c>
      <c r="C626" s="255">
        <v>47.24679216743607</v>
      </c>
    </row>
    <row r="627" spans="1:3" x14ac:dyDescent="0.3">
      <c r="A627" s="139" t="s">
        <v>89</v>
      </c>
      <c r="B627" s="255">
        <v>29.08616652427386</v>
      </c>
      <c r="C627" s="255">
        <v>187.97960957765463</v>
      </c>
    </row>
    <row r="628" spans="1:3" x14ac:dyDescent="0.3">
      <c r="A628" s="139" t="s">
        <v>169</v>
      </c>
      <c r="B628" s="255">
        <v>28.843781803238244</v>
      </c>
      <c r="C628" s="255">
        <v>156.56837705884118</v>
      </c>
    </row>
    <row r="629" spans="1:3" x14ac:dyDescent="0.3">
      <c r="A629" s="138" t="s">
        <v>90</v>
      </c>
      <c r="B629" s="255">
        <v>85.097151789161472</v>
      </c>
      <c r="C629" s="255">
        <v>402.87030761578717</v>
      </c>
    </row>
    <row r="630" spans="1:3" x14ac:dyDescent="0.3">
      <c r="A630" s="139" t="s">
        <v>91</v>
      </c>
      <c r="B630" s="255">
        <v>28.603416954877925</v>
      </c>
      <c r="C630" s="255">
        <v>30.232770649009581</v>
      </c>
    </row>
    <row r="631" spans="1:3" x14ac:dyDescent="0.3">
      <c r="A631" s="139" t="s">
        <v>92</v>
      </c>
      <c r="B631" s="255">
        <v>28.365055146920611</v>
      </c>
      <c r="C631" s="255">
        <v>203.0245719694949</v>
      </c>
    </row>
    <row r="632" spans="1:3" x14ac:dyDescent="0.3">
      <c r="A632" s="139" t="s">
        <v>93</v>
      </c>
      <c r="B632" s="255">
        <v>28.12867968736294</v>
      </c>
      <c r="C632" s="255">
        <v>169.61296499728269</v>
      </c>
    </row>
    <row r="633" spans="1:3" x14ac:dyDescent="0.3">
      <c r="A633" s="7" t="s">
        <v>70</v>
      </c>
      <c r="B633" s="255">
        <v>342.26589433586815</v>
      </c>
      <c r="C633" s="255">
        <v>1602.2316606901741</v>
      </c>
    </row>
    <row r="634" spans="1:3" x14ac:dyDescent="0.3">
      <c r="A634" s="138" t="s">
        <v>79</v>
      </c>
      <c r="B634" s="255">
        <v>87.225957930161172</v>
      </c>
      <c r="C634" s="255">
        <v>480.2483743265675</v>
      </c>
    </row>
    <row r="635" spans="1:3" x14ac:dyDescent="0.3">
      <c r="A635" s="139" t="s">
        <v>80</v>
      </c>
      <c r="B635" s="255">
        <v>27.894274023301584</v>
      </c>
      <c r="C635" s="255">
        <v>223.43450028499956</v>
      </c>
    </row>
    <row r="636" spans="1:3" x14ac:dyDescent="0.3">
      <c r="A636" s="139" t="s">
        <v>81</v>
      </c>
      <c r="B636" s="255">
        <v>29.78996681515962</v>
      </c>
      <c r="C636" s="255">
        <v>128.55654847333881</v>
      </c>
    </row>
    <row r="637" spans="1:3" x14ac:dyDescent="0.3">
      <c r="A637" s="139" t="s">
        <v>82</v>
      </c>
      <c r="B637" s="255">
        <v>29.541717091699958</v>
      </c>
      <c r="C637" s="255">
        <v>128.25732556822913</v>
      </c>
    </row>
    <row r="638" spans="1:3" x14ac:dyDescent="0.3">
      <c r="A638" s="138" t="s">
        <v>83</v>
      </c>
      <c r="B638" s="255">
        <v>87.156254357139261</v>
      </c>
      <c r="C638" s="255">
        <v>344.56799659055923</v>
      </c>
    </row>
    <row r="639" spans="1:3" x14ac:dyDescent="0.3">
      <c r="A639" s="139" t="s">
        <v>84</v>
      </c>
      <c r="B639" s="255">
        <v>29.295536115935793</v>
      </c>
      <c r="C639" s="255">
        <v>100.44005282507351</v>
      </c>
    </row>
    <row r="640" spans="1:3" x14ac:dyDescent="0.3">
      <c r="A640" s="139" t="s">
        <v>85</v>
      </c>
      <c r="B640" s="255">
        <v>29.051406648302994</v>
      </c>
      <c r="C640" s="255">
        <v>90.278508757144664</v>
      </c>
    </row>
    <row r="641" spans="1:3" x14ac:dyDescent="0.3">
      <c r="A641" s="139" t="s">
        <v>86</v>
      </c>
      <c r="B641" s="255">
        <v>28.809311592900471</v>
      </c>
      <c r="C641" s="255">
        <v>153.84943500834106</v>
      </c>
    </row>
    <row r="642" spans="1:3" x14ac:dyDescent="0.3">
      <c r="A642" s="138" t="s">
        <v>87</v>
      </c>
      <c r="B642" s="255">
        <v>84.995455113554655</v>
      </c>
      <c r="C642" s="255">
        <v>383.13201162615223</v>
      </c>
    </row>
    <row r="643" spans="1:3" x14ac:dyDescent="0.3">
      <c r="A643" s="139" t="s">
        <v>88</v>
      </c>
      <c r="B643" s="255">
        <v>28.569233996292965</v>
      </c>
      <c r="C643" s="255">
        <v>44.822869655540671</v>
      </c>
    </row>
    <row r="644" spans="1:3" x14ac:dyDescent="0.3">
      <c r="A644" s="139" t="s">
        <v>89</v>
      </c>
      <c r="B644" s="255">
        <v>28.33115704632386</v>
      </c>
      <c r="C644" s="255">
        <v>184.76215337332269</v>
      </c>
    </row>
    <row r="645" spans="1:3" x14ac:dyDescent="0.3">
      <c r="A645" s="139" t="s">
        <v>169</v>
      </c>
      <c r="B645" s="255">
        <v>28.095064070937827</v>
      </c>
      <c r="C645" s="255">
        <v>153.54698859728887</v>
      </c>
    </row>
    <row r="646" spans="1:3" x14ac:dyDescent="0.3">
      <c r="A646" s="138" t="s">
        <v>90</v>
      </c>
      <c r="B646" s="255">
        <v>82.888226935013108</v>
      </c>
      <c r="C646" s="255">
        <v>394.2832781468951</v>
      </c>
    </row>
    <row r="647" spans="1:3" x14ac:dyDescent="0.3">
      <c r="A647" s="139" t="s">
        <v>91</v>
      </c>
      <c r="B647" s="255">
        <v>27.860938537013343</v>
      </c>
      <c r="C647" s="255">
        <v>27.945464070461639</v>
      </c>
    </row>
    <row r="648" spans="1:3" x14ac:dyDescent="0.3">
      <c r="A648" s="139" t="s">
        <v>92</v>
      </c>
      <c r="B648" s="255">
        <v>27.6287640492049</v>
      </c>
      <c r="C648" s="255">
        <v>199.77316428655467</v>
      </c>
    </row>
    <row r="649" spans="1:3" x14ac:dyDescent="0.3">
      <c r="A649" s="139" t="s">
        <v>93</v>
      </c>
      <c r="B649" s="255">
        <v>27.398524348794858</v>
      </c>
      <c r="C649" s="255">
        <v>166.56464978987879</v>
      </c>
    </row>
    <row r="650" spans="1:3" x14ac:dyDescent="0.3">
      <c r="A650" s="7" t="s">
        <v>71</v>
      </c>
      <c r="B650" s="255">
        <v>334.01225032564275</v>
      </c>
      <c r="C650" s="255">
        <v>1568.5280786559561</v>
      </c>
    </row>
    <row r="651" spans="1:3" x14ac:dyDescent="0.3">
      <c r="A651" s="138" t="s">
        <v>79</v>
      </c>
      <c r="B651" s="255">
        <v>85.080822994488514</v>
      </c>
      <c r="C651" s="255">
        <v>470.67223766011102</v>
      </c>
    </row>
    <row r="652" spans="1:3" x14ac:dyDescent="0.3">
      <c r="A652" s="139" t="s">
        <v>80</v>
      </c>
      <c r="B652" s="255">
        <v>27.170203312554904</v>
      </c>
      <c r="C652" s="255">
        <v>220.08980953066566</v>
      </c>
    </row>
    <row r="653" spans="1:3" x14ac:dyDescent="0.3">
      <c r="A653" s="139" t="s">
        <v>81</v>
      </c>
      <c r="B653" s="255">
        <v>29.076461764987585</v>
      </c>
      <c r="C653" s="255">
        <v>125.09092235115713</v>
      </c>
    </row>
    <row r="654" spans="1:3" x14ac:dyDescent="0.3">
      <c r="A654" s="139" t="s">
        <v>82</v>
      </c>
      <c r="B654" s="255">
        <v>28.834157916946022</v>
      </c>
      <c r="C654" s="255">
        <v>125.49150577828823</v>
      </c>
    </row>
    <row r="655" spans="1:3" x14ac:dyDescent="0.3">
      <c r="A655" s="138" t="s">
        <v>83</v>
      </c>
      <c r="B655" s="255">
        <v>85.068758656867061</v>
      </c>
      <c r="C655" s="255">
        <v>336.57868468475863</v>
      </c>
    </row>
    <row r="656" spans="1:3" x14ac:dyDescent="0.3">
      <c r="A656" s="139" t="s">
        <v>84</v>
      </c>
      <c r="B656" s="255">
        <v>28.593873267638138</v>
      </c>
      <c r="C656" s="255">
        <v>97.846984667212382</v>
      </c>
    </row>
    <row r="657" spans="1:3" x14ac:dyDescent="0.3">
      <c r="A657" s="139" t="s">
        <v>85</v>
      </c>
      <c r="B657" s="255">
        <v>28.355590990407823</v>
      </c>
      <c r="C657" s="255">
        <v>87.753395423834263</v>
      </c>
    </row>
    <row r="658" spans="1:3" x14ac:dyDescent="0.3">
      <c r="A658" s="139" t="s">
        <v>86</v>
      </c>
      <c r="B658" s="255">
        <v>28.11929439882109</v>
      </c>
      <c r="C658" s="255">
        <v>150.97830459371198</v>
      </c>
    </row>
    <row r="659" spans="1:3" x14ac:dyDescent="0.3">
      <c r="A659" s="138" t="s">
        <v>87</v>
      </c>
      <c r="B659" s="255">
        <v>82.959713118893191</v>
      </c>
      <c r="C659" s="255">
        <v>375.03782114877686</v>
      </c>
    </row>
    <row r="660" spans="1:3" x14ac:dyDescent="0.3">
      <c r="A660" s="139" t="s">
        <v>88</v>
      </c>
      <c r="B660" s="255">
        <v>27.884966945497581</v>
      </c>
      <c r="C660" s="255">
        <v>42.572425958740496</v>
      </c>
    </row>
    <row r="661" spans="1:3" x14ac:dyDescent="0.3">
      <c r="A661" s="139" t="s">
        <v>89</v>
      </c>
      <c r="B661" s="255">
        <v>27.652592220951767</v>
      </c>
      <c r="C661" s="255">
        <v>181.74744243021451</v>
      </c>
    </row>
    <row r="662" spans="1:3" x14ac:dyDescent="0.3">
      <c r="A662" s="139" t="s">
        <v>169</v>
      </c>
      <c r="B662" s="255">
        <v>27.422153952443839</v>
      </c>
      <c r="C662" s="255">
        <v>150.71795275982186</v>
      </c>
    </row>
    <row r="663" spans="1:3" x14ac:dyDescent="0.3">
      <c r="A663" s="138" t="s">
        <v>90</v>
      </c>
      <c r="B663" s="255">
        <v>80.902955555394058</v>
      </c>
      <c r="C663" s="255">
        <v>386.23933516230954</v>
      </c>
    </row>
    <row r="664" spans="1:3" x14ac:dyDescent="0.3">
      <c r="A664" s="139" t="s">
        <v>91</v>
      </c>
      <c r="B664" s="255">
        <v>27.19363600284014</v>
      </c>
      <c r="C664" s="255">
        <v>25.818722264858479</v>
      </c>
    </row>
    <row r="665" spans="1:3" x14ac:dyDescent="0.3">
      <c r="A665" s="139" t="s">
        <v>92</v>
      </c>
      <c r="B665" s="255">
        <v>26.967022369483139</v>
      </c>
      <c r="C665" s="255">
        <v>196.71825693495703</v>
      </c>
    </row>
    <row r="666" spans="1:3" x14ac:dyDescent="0.3">
      <c r="A666" s="139" t="s">
        <v>93</v>
      </c>
      <c r="B666" s="255">
        <v>26.742297183070779</v>
      </c>
      <c r="C666" s="255">
        <v>163.70235596249404</v>
      </c>
    </row>
    <row r="667" spans="1:3" x14ac:dyDescent="0.3">
      <c r="A667" s="7" t="s">
        <v>72</v>
      </c>
      <c r="B667" s="255">
        <v>326.38266823853485</v>
      </c>
      <c r="C667" s="255">
        <v>1536.811897147425</v>
      </c>
    </row>
    <row r="668" spans="1:3" x14ac:dyDescent="0.3">
      <c r="A668" s="138" t="s">
        <v>79</v>
      </c>
      <c r="B668" s="255">
        <v>83.112943751410455</v>
      </c>
      <c r="C668" s="255">
        <v>461.70167662647873</v>
      </c>
    </row>
    <row r="669" spans="1:3" x14ac:dyDescent="0.3">
      <c r="A669" s="139" t="s">
        <v>80</v>
      </c>
      <c r="B669" s="255">
        <v>26.51944470654519</v>
      </c>
      <c r="C669" s="255">
        <v>216.94065133685217</v>
      </c>
    </row>
    <row r="670" spans="1:3" x14ac:dyDescent="0.3">
      <c r="A670" s="139" t="s">
        <v>81</v>
      </c>
      <c r="B670" s="255">
        <v>28.41514596394909</v>
      </c>
      <c r="C670" s="255">
        <v>121.86763080363653</v>
      </c>
    </row>
    <row r="671" spans="1:3" x14ac:dyDescent="0.3">
      <c r="A671" s="139" t="s">
        <v>82</v>
      </c>
      <c r="B671" s="255">
        <v>28.178353080916182</v>
      </c>
      <c r="C671" s="255">
        <v>122.89339448599003</v>
      </c>
    </row>
    <row r="672" spans="1:3" x14ac:dyDescent="0.3">
      <c r="A672" s="138" t="s">
        <v>83</v>
      </c>
      <c r="B672" s="255">
        <v>83.133952602085685</v>
      </c>
      <c r="C672" s="255">
        <v>329.06687552811218</v>
      </c>
    </row>
    <row r="673" spans="1:3" x14ac:dyDescent="0.3">
      <c r="A673" s="139" t="s">
        <v>84</v>
      </c>
      <c r="B673" s="255">
        <v>27.943533471908548</v>
      </c>
      <c r="C673" s="255">
        <v>95.412486584331418</v>
      </c>
    </row>
    <row r="674" spans="1:3" x14ac:dyDescent="0.3">
      <c r="A674" s="139" t="s">
        <v>85</v>
      </c>
      <c r="B674" s="255">
        <v>27.710670692975974</v>
      </c>
      <c r="C674" s="255">
        <v>85.381986213360506</v>
      </c>
    </row>
    <row r="675" spans="1:3" x14ac:dyDescent="0.3">
      <c r="A675" s="139" t="s">
        <v>86</v>
      </c>
      <c r="B675" s="255">
        <v>27.479748437201174</v>
      </c>
      <c r="C675" s="255">
        <v>148.27240273042025</v>
      </c>
    </row>
    <row r="676" spans="1:3" x14ac:dyDescent="0.3">
      <c r="A676" s="138" t="s">
        <v>87</v>
      </c>
      <c r="B676" s="255">
        <v>81.072875250566042</v>
      </c>
      <c r="C676" s="255">
        <v>367.40600373524467</v>
      </c>
    </row>
    <row r="677" spans="1:3" x14ac:dyDescent="0.3">
      <c r="A677" s="139" t="s">
        <v>88</v>
      </c>
      <c r="B677" s="255">
        <v>27.250750533557831</v>
      </c>
      <c r="C677" s="255">
        <v>40.460620018730879</v>
      </c>
    </row>
    <row r="678" spans="1:3" x14ac:dyDescent="0.3">
      <c r="A678" s="139" t="s">
        <v>89</v>
      </c>
      <c r="B678" s="255">
        <v>27.023660945778182</v>
      </c>
      <c r="C678" s="255">
        <v>178.89928402503392</v>
      </c>
    </row>
    <row r="679" spans="1:3" x14ac:dyDescent="0.3">
      <c r="A679" s="139" t="s">
        <v>169</v>
      </c>
      <c r="B679" s="255">
        <v>26.798463771230033</v>
      </c>
      <c r="C679" s="255">
        <v>148.04609969147987</v>
      </c>
    </row>
    <row r="680" spans="1:3" x14ac:dyDescent="0.3">
      <c r="A680" s="138" t="s">
        <v>90</v>
      </c>
      <c r="B680" s="255">
        <v>79.062896634472594</v>
      </c>
      <c r="C680" s="255">
        <v>378.63734125758947</v>
      </c>
    </row>
    <row r="681" spans="1:3" x14ac:dyDescent="0.3">
      <c r="A681" s="139" t="s">
        <v>91</v>
      </c>
      <c r="B681" s="255">
        <v>26.575143239803118</v>
      </c>
      <c r="C681" s="255">
        <v>23.819667352679971</v>
      </c>
    </row>
    <row r="682" spans="1:3" x14ac:dyDescent="0.3">
      <c r="A682" s="139" t="s">
        <v>92</v>
      </c>
      <c r="B682" s="255">
        <v>26.353683712804759</v>
      </c>
      <c r="C682" s="255">
        <v>193.82521807268495</v>
      </c>
    </row>
    <row r="683" spans="1:3" x14ac:dyDescent="0.3">
      <c r="A683" s="139" t="s">
        <v>93</v>
      </c>
      <c r="B683" s="255">
        <v>26.13406968186472</v>
      </c>
      <c r="C683" s="255">
        <v>160.99245583222455</v>
      </c>
    </row>
    <row r="684" spans="1:3" x14ac:dyDescent="0.3">
      <c r="A684" s="7" t="s">
        <v>73</v>
      </c>
      <c r="B684" s="255">
        <v>319.22273503494029</v>
      </c>
      <c r="C684" s="255">
        <v>1506.7003759659774</v>
      </c>
    </row>
    <row r="685" spans="1:3" x14ac:dyDescent="0.3">
      <c r="A685" s="138" t="s">
        <v>79</v>
      </c>
      <c r="B685" s="255">
        <v>81.27231796457211</v>
      </c>
      <c r="C685" s="255">
        <v>453.21385993433614</v>
      </c>
    </row>
    <row r="686" spans="1:3" x14ac:dyDescent="0.3">
      <c r="A686" s="139" t="s">
        <v>80</v>
      </c>
      <c r="B686" s="255">
        <v>25.916285767849178</v>
      </c>
      <c r="C686" s="255">
        <v>213.95320070975595</v>
      </c>
    </row>
    <row r="687" spans="1:3" x14ac:dyDescent="0.3">
      <c r="A687" s="139" t="s">
        <v>81</v>
      </c>
      <c r="B687" s="255">
        <v>27.793823697099381</v>
      </c>
      <c r="C687" s="255">
        <v>118.8290946403431</v>
      </c>
    </row>
    <row r="688" spans="1:3" x14ac:dyDescent="0.3">
      <c r="A688" s="139" t="s">
        <v>82</v>
      </c>
      <c r="B688" s="255">
        <v>27.562208499623555</v>
      </c>
      <c r="C688" s="255">
        <v>120.43156458423709</v>
      </c>
    </row>
    <row r="689" spans="1:3" x14ac:dyDescent="0.3">
      <c r="A689" s="138" t="s">
        <v>83</v>
      </c>
      <c r="B689" s="255">
        <v>81.316155292565028</v>
      </c>
      <c r="C689" s="255">
        <v>321.94192623660001</v>
      </c>
    </row>
    <row r="690" spans="1:3" x14ac:dyDescent="0.3">
      <c r="A690" s="139" t="s">
        <v>84</v>
      </c>
      <c r="B690" s="255">
        <v>27.332523428793358</v>
      </c>
      <c r="C690" s="255">
        <v>93.106032541188142</v>
      </c>
    </row>
    <row r="691" spans="1:3" x14ac:dyDescent="0.3">
      <c r="A691" s="139" t="s">
        <v>85</v>
      </c>
      <c r="B691" s="255">
        <v>27.104752400220082</v>
      </c>
      <c r="C691" s="255">
        <v>83.134391790756126</v>
      </c>
    </row>
    <row r="692" spans="1:3" x14ac:dyDescent="0.3">
      <c r="A692" s="139" t="s">
        <v>86</v>
      </c>
      <c r="B692" s="255">
        <v>26.878879463551581</v>
      </c>
      <c r="C692" s="255">
        <v>145.70150190465574</v>
      </c>
    </row>
    <row r="693" spans="1:3" x14ac:dyDescent="0.3">
      <c r="A693" s="138" t="s">
        <v>87</v>
      </c>
      <c r="B693" s="255">
        <v>79.300145217976606</v>
      </c>
      <c r="C693" s="255">
        <v>360.14986646793295</v>
      </c>
    </row>
    <row r="694" spans="1:3" x14ac:dyDescent="0.3">
      <c r="A694" s="139" t="s">
        <v>88</v>
      </c>
      <c r="B694" s="255">
        <v>26.654888801355316</v>
      </c>
      <c r="C694" s="255">
        <v>38.459131785552017</v>
      </c>
    </row>
    <row r="695" spans="1:3" x14ac:dyDescent="0.3">
      <c r="A695" s="139" t="s">
        <v>89</v>
      </c>
      <c r="B695" s="255">
        <v>26.432764728010689</v>
      </c>
      <c r="C695" s="255">
        <v>176.18805165435788</v>
      </c>
    </row>
    <row r="696" spans="1:3" x14ac:dyDescent="0.3">
      <c r="A696" s="139" t="s">
        <v>169</v>
      </c>
      <c r="B696" s="255">
        <v>26.212491688610601</v>
      </c>
      <c r="C696" s="255">
        <v>145.50268302802306</v>
      </c>
    </row>
    <row r="697" spans="1:3" x14ac:dyDescent="0.3">
      <c r="A697" s="138" t="s">
        <v>90</v>
      </c>
      <c r="B697" s="255">
        <v>77.334116559826526</v>
      </c>
      <c r="C697" s="255">
        <v>371.3947233271083</v>
      </c>
    </row>
    <row r="698" spans="1:3" x14ac:dyDescent="0.3">
      <c r="A698" s="139" t="s">
        <v>91</v>
      </c>
      <c r="B698" s="255">
        <v>25.994054257872179</v>
      </c>
      <c r="C698" s="255">
        <v>21.921602939529294</v>
      </c>
    </row>
    <row r="699" spans="1:3" x14ac:dyDescent="0.3">
      <c r="A699" s="139" t="s">
        <v>92</v>
      </c>
      <c r="B699" s="255">
        <v>25.777437139056577</v>
      </c>
      <c r="C699" s="255">
        <v>191.06567620853548</v>
      </c>
    </row>
    <row r="700" spans="1:3" x14ac:dyDescent="0.3">
      <c r="A700" s="139" t="s">
        <v>93</v>
      </c>
      <c r="B700" s="255">
        <v>25.562625162897771</v>
      </c>
      <c r="C700" s="255">
        <v>158.40744417904352</v>
      </c>
    </row>
    <row r="701" spans="1:3" x14ac:dyDescent="0.3">
      <c r="A701" s="7" t="s">
        <v>74</v>
      </c>
      <c r="B701" s="255">
        <v>287.41649100035204</v>
      </c>
      <c r="C701" s="255">
        <v>1321.966099729626</v>
      </c>
    </row>
    <row r="702" spans="1:3" x14ac:dyDescent="0.3">
      <c r="A702" s="138" t="s">
        <v>79</v>
      </c>
      <c r="B702" s="255">
        <v>79.531928957422252</v>
      </c>
      <c r="C702" s="255">
        <v>445.11827292952057</v>
      </c>
    </row>
    <row r="703" spans="1:3" x14ac:dyDescent="0.3">
      <c r="A703" s="139" t="s">
        <v>80</v>
      </c>
      <c r="B703" s="255">
        <v>25.34960328654029</v>
      </c>
      <c r="C703" s="255">
        <v>211.09971342550216</v>
      </c>
    </row>
    <row r="704" spans="1:3" x14ac:dyDescent="0.3">
      <c r="A704" s="139" t="s">
        <v>81</v>
      </c>
      <c r="B704" s="255">
        <v>27.204514981195963</v>
      </c>
      <c r="C704" s="255">
        <v>115.9381924386571</v>
      </c>
    </row>
    <row r="705" spans="1:3" x14ac:dyDescent="0.3">
      <c r="A705" s="139" t="s">
        <v>82</v>
      </c>
      <c r="B705" s="255">
        <v>26.977810689685999</v>
      </c>
      <c r="C705" s="255">
        <v>118.08036706536132</v>
      </c>
    </row>
    <row r="706" spans="1:3" x14ac:dyDescent="0.3">
      <c r="A706" s="138" t="s">
        <v>83</v>
      </c>
      <c r="B706" s="255">
        <v>79.592019758717427</v>
      </c>
      <c r="C706" s="255">
        <v>315.12991548741138</v>
      </c>
    </row>
    <row r="707" spans="1:3" x14ac:dyDescent="0.3">
      <c r="A707" s="139" t="s">
        <v>84</v>
      </c>
      <c r="B707" s="255">
        <v>26.752995600605281</v>
      </c>
      <c r="C707" s="255">
        <v>90.902748543153393</v>
      </c>
    </row>
    <row r="708" spans="1:3" x14ac:dyDescent="0.3">
      <c r="A708" s="139" t="s">
        <v>85</v>
      </c>
      <c r="B708" s="255">
        <v>26.530053970600239</v>
      </c>
      <c r="C708" s="255">
        <v>80.986270906716527</v>
      </c>
    </row>
    <row r="709" spans="1:3" x14ac:dyDescent="0.3">
      <c r="A709" s="139" t="s">
        <v>86</v>
      </c>
      <c r="B709" s="255">
        <v>26.308970187511907</v>
      </c>
      <c r="C709" s="255">
        <v>143.24089603754146</v>
      </c>
    </row>
    <row r="710" spans="1:3" x14ac:dyDescent="0.3">
      <c r="A710" s="138" t="s">
        <v>87</v>
      </c>
      <c r="B710" s="255">
        <v>77.618754875335952</v>
      </c>
      <c r="C710" s="255">
        <v>353.19865649674648</v>
      </c>
    </row>
    <row r="711" spans="1:3" x14ac:dyDescent="0.3">
      <c r="A711" s="139" t="s">
        <v>88</v>
      </c>
      <c r="B711" s="255">
        <v>26.08972876928264</v>
      </c>
      <c r="C711" s="255">
        <v>36.544961040838643</v>
      </c>
    </row>
    <row r="712" spans="1:3" x14ac:dyDescent="0.3">
      <c r="A712" s="139" t="s">
        <v>89</v>
      </c>
      <c r="B712" s="255">
        <v>25.872314362871954</v>
      </c>
      <c r="C712" s="255">
        <v>173.58948869109645</v>
      </c>
    </row>
    <row r="713" spans="1:3" x14ac:dyDescent="0.3">
      <c r="A713" s="139" t="s">
        <v>169</v>
      </c>
      <c r="B713" s="255">
        <v>25.656711743181354</v>
      </c>
      <c r="C713" s="255">
        <v>143.06420676481139</v>
      </c>
    </row>
    <row r="714" spans="1:3" x14ac:dyDescent="0.3">
      <c r="A714" s="138" t="s">
        <v>90</v>
      </c>
      <c r="B714" s="255">
        <v>50.67378740887645</v>
      </c>
      <c r="C714" s="255">
        <v>208.51925481594753</v>
      </c>
    </row>
    <row r="715" spans="1:3" x14ac:dyDescent="0.3">
      <c r="A715" s="139" t="s">
        <v>91</v>
      </c>
      <c r="B715" s="255">
        <v>25.442905811988176</v>
      </c>
      <c r="C715" s="255">
        <v>20.10287376670658</v>
      </c>
    </row>
    <row r="716" spans="1:3" x14ac:dyDescent="0.3">
      <c r="A716" s="139" t="s">
        <v>92</v>
      </c>
      <c r="B716" s="255">
        <v>25.230881596888274</v>
      </c>
      <c r="C716" s="255">
        <v>188.41638104924095</v>
      </c>
    </row>
    <row r="717" spans="1:3" x14ac:dyDescent="0.3">
      <c r="A717" s="7" t="s">
        <v>75</v>
      </c>
      <c r="B717" s="255">
        <v>16439.612311395922</v>
      </c>
      <c r="C717" s="255">
        <v>88354.984750123316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25BC2-2A1E-4875-BA77-356B6E917012}">
  <sheetPr codeName="Sheet5"/>
  <dimension ref="A1:AB546"/>
  <sheetViews>
    <sheetView zoomScale="70" zoomScaleNormal="70" workbookViewId="0">
      <pane xSplit="1" ySplit="6" topLeftCell="B7" activePane="bottomRight" state="frozen"/>
      <selection pane="topRight" activeCell="G53" sqref="G53"/>
      <selection pane="bottomLeft" activeCell="G53" sqref="G53"/>
      <selection pane="bottomRight" activeCell="M11" sqref="M11"/>
    </sheetView>
  </sheetViews>
  <sheetFormatPr defaultColWidth="8.6640625" defaultRowHeight="14.4" x14ac:dyDescent="0.3"/>
  <cols>
    <col min="1" max="1" width="10.44140625" customWidth="1"/>
    <col min="2" max="2" width="21.6640625" style="5" customWidth="1"/>
    <col min="3" max="3" width="27.44140625" style="5" customWidth="1"/>
    <col min="4" max="4" width="24.6640625" customWidth="1"/>
    <col min="5" max="5" width="28.6640625" customWidth="1"/>
    <col min="6" max="6" width="30.6640625" customWidth="1"/>
    <col min="7" max="7" width="25.6640625" customWidth="1"/>
    <col min="8" max="8" width="27.109375" customWidth="1"/>
    <col min="9" max="9" width="16" customWidth="1"/>
    <col min="10" max="11" width="20.6640625" customWidth="1"/>
    <col min="12" max="12" width="17.109375" customWidth="1"/>
    <col min="13" max="13" width="13.109375" customWidth="1"/>
    <col min="14" max="14" width="8.44140625" customWidth="1"/>
    <col min="15" max="15" width="14.109375" customWidth="1"/>
    <col min="16" max="16" width="26.109375" customWidth="1"/>
    <col min="17" max="17" width="22.109375" customWidth="1"/>
    <col min="18" max="18" width="18.109375" customWidth="1"/>
    <col min="19" max="19" width="15.6640625" customWidth="1"/>
    <col min="20" max="20" width="15" customWidth="1"/>
    <col min="21" max="21" width="13.6640625" customWidth="1"/>
    <col min="23" max="23" width="19.44140625" bestFit="1" customWidth="1"/>
    <col min="27" max="27" width="12.109375" customWidth="1"/>
  </cols>
  <sheetData>
    <row r="1" spans="1:28" x14ac:dyDescent="0.3">
      <c r="A1" s="3"/>
      <c r="C1" s="7"/>
      <c r="D1" s="96">
        <v>0.01</v>
      </c>
      <c r="E1" s="8" t="s">
        <v>106</v>
      </c>
      <c r="I1" s="78">
        <v>10</v>
      </c>
      <c r="J1" s="68" t="s">
        <v>107</v>
      </c>
      <c r="K1" s="68"/>
      <c r="L1" s="68"/>
      <c r="M1" s="1"/>
    </row>
    <row r="2" spans="1:28" x14ac:dyDescent="0.3">
      <c r="A2" s="20"/>
      <c r="B2" s="21"/>
      <c r="C2" s="84"/>
      <c r="D2" s="96">
        <v>0.1</v>
      </c>
      <c r="E2" s="68" t="s">
        <v>108</v>
      </c>
      <c r="F2" s="20"/>
      <c r="G2" s="1"/>
      <c r="H2" s="1"/>
      <c r="I2" s="78">
        <v>5</v>
      </c>
      <c r="J2" s="68" t="s">
        <v>109</v>
      </c>
      <c r="K2" s="68"/>
      <c r="L2" s="68"/>
      <c r="M2" s="1"/>
      <c r="N2" s="1"/>
      <c r="O2" s="20"/>
      <c r="P2" s="286"/>
      <c r="Q2" s="286"/>
      <c r="R2" s="1"/>
      <c r="S2" s="1"/>
      <c r="T2" s="1"/>
    </row>
    <row r="3" spans="1:28" x14ac:dyDescent="0.3">
      <c r="A3" s="20"/>
      <c r="B3" s="21"/>
      <c r="C3" s="22"/>
      <c r="D3" s="1"/>
      <c r="E3" s="1"/>
      <c r="F3" s="1"/>
      <c r="G3" s="1"/>
      <c r="H3" s="1"/>
      <c r="N3" s="1"/>
      <c r="O3" s="20"/>
      <c r="P3" s="286"/>
      <c r="Q3" s="286"/>
      <c r="R3" s="1"/>
      <c r="S3" s="1"/>
      <c r="T3" s="1"/>
    </row>
    <row r="4" spans="1:28" ht="18" x14ac:dyDescent="0.35">
      <c r="A4" s="20"/>
      <c r="B4" s="287" t="s">
        <v>16</v>
      </c>
      <c r="C4" s="287"/>
      <c r="D4" s="287"/>
      <c r="E4" s="288"/>
      <c r="F4" s="284" t="s">
        <v>110</v>
      </c>
      <c r="G4" s="283"/>
      <c r="H4" s="283"/>
      <c r="I4" s="283"/>
      <c r="J4" s="283"/>
      <c r="K4" s="283"/>
      <c r="L4" s="284"/>
      <c r="M4" s="285"/>
      <c r="N4" s="289" t="s">
        <v>111</v>
      </c>
      <c r="O4" s="289"/>
      <c r="P4" s="289"/>
      <c r="Q4" s="283" t="s">
        <v>112</v>
      </c>
      <c r="R4" s="284"/>
      <c r="S4" s="284"/>
      <c r="T4" s="285"/>
    </row>
    <row r="5" spans="1:28" x14ac:dyDescent="0.3">
      <c r="A5" s="23"/>
      <c r="B5" s="24"/>
      <c r="C5" s="90"/>
      <c r="D5" s="63"/>
      <c r="E5" s="12"/>
      <c r="F5" s="25" t="s">
        <v>113</v>
      </c>
      <c r="G5" s="23" t="s">
        <v>114</v>
      </c>
      <c r="H5" s="23" t="s">
        <v>114</v>
      </c>
      <c r="I5" s="23" t="s">
        <v>114</v>
      </c>
      <c r="J5" s="26" t="s">
        <v>114</v>
      </c>
      <c r="K5" s="19"/>
      <c r="L5" s="12"/>
      <c r="M5" s="23"/>
      <c r="N5" s="88"/>
      <c r="O5" s="79">
        <v>0.2</v>
      </c>
      <c r="P5" s="18"/>
      <c r="Q5" s="27">
        <v>0.15</v>
      </c>
      <c r="R5" s="27">
        <v>0.2</v>
      </c>
      <c r="S5" s="89">
        <v>0.1</v>
      </c>
      <c r="T5" s="80"/>
    </row>
    <row r="6" spans="1:28" s="106" customFormat="1" ht="34.35" customHeight="1" x14ac:dyDescent="0.3">
      <c r="A6" s="23" t="s">
        <v>3</v>
      </c>
      <c r="B6" s="24" t="s">
        <v>115</v>
      </c>
      <c r="C6" s="63" t="s">
        <v>116</v>
      </c>
      <c r="D6" s="63" t="s">
        <v>117</v>
      </c>
      <c r="E6" s="28" t="s">
        <v>118</v>
      </c>
      <c r="F6" s="29" t="s">
        <v>119</v>
      </c>
      <c r="G6" s="63" t="s">
        <v>117</v>
      </c>
      <c r="H6" s="63" t="s">
        <v>120</v>
      </c>
      <c r="I6" s="63" t="s">
        <v>121</v>
      </c>
      <c r="J6" s="30" t="s">
        <v>14</v>
      </c>
      <c r="K6" s="24" t="s">
        <v>122</v>
      </c>
      <c r="L6" s="63" t="s">
        <v>123</v>
      </c>
      <c r="M6" s="63" t="s">
        <v>5</v>
      </c>
      <c r="N6" s="24" t="s">
        <v>24</v>
      </c>
      <c r="O6" s="63" t="s">
        <v>124</v>
      </c>
      <c r="P6" s="30" t="s">
        <v>125</v>
      </c>
      <c r="Q6" s="24" t="s">
        <v>126</v>
      </c>
      <c r="R6" s="63" t="s">
        <v>127</v>
      </c>
      <c r="S6" s="63" t="s">
        <v>128</v>
      </c>
      <c r="T6" s="81" t="s">
        <v>23</v>
      </c>
      <c r="V6" s="107"/>
      <c r="W6" s="108"/>
      <c r="X6" s="107"/>
      <c r="Y6" s="107"/>
      <c r="Z6" s="107"/>
      <c r="AA6" s="107"/>
      <c r="AB6" s="107"/>
    </row>
    <row r="7" spans="1:28" x14ac:dyDescent="0.3">
      <c r="A7" s="11">
        <v>32509</v>
      </c>
      <c r="B7" s="94">
        <v>4520.04</v>
      </c>
      <c r="C7" s="97">
        <v>4342.17</v>
      </c>
      <c r="D7" s="97">
        <v>177.87</v>
      </c>
      <c r="E7" s="13"/>
      <c r="F7" s="31"/>
      <c r="G7" s="32"/>
      <c r="H7" s="32"/>
      <c r="I7" s="33"/>
      <c r="J7" s="34"/>
      <c r="K7" s="19">
        <v>6877.5666666666702</v>
      </c>
      <c r="L7" s="12">
        <v>0.59616000000000002</v>
      </c>
      <c r="M7" s="14">
        <v>2.4916666666666668E-3</v>
      </c>
      <c r="N7" s="95">
        <v>-53.549999999999358</v>
      </c>
      <c r="O7" s="35"/>
      <c r="P7" s="18">
        <f>MAX(MIN(D7+N7 -O7- D$1*C7, 0), D7+N7 -O7 - D$2*C7)</f>
        <v>0</v>
      </c>
      <c r="Q7" s="35"/>
      <c r="R7" s="35"/>
      <c r="S7" s="35"/>
      <c r="T7" s="82"/>
      <c r="W7" s="1"/>
      <c r="Z7" s="6"/>
    </row>
    <row r="8" spans="1:28" x14ac:dyDescent="0.3">
      <c r="A8" s="11">
        <v>32540</v>
      </c>
      <c r="B8" s="94">
        <v>4361.7</v>
      </c>
      <c r="C8" s="97">
        <v>4237.38</v>
      </c>
      <c r="D8" s="109">
        <v>124.32</v>
      </c>
      <c r="E8" s="109">
        <v>0</v>
      </c>
      <c r="F8" s="16">
        <f t="shared" ref="F8:F71" ca="1" si="0">SUM(G8:J8)-MIN(0, P7)</f>
        <v>72.422190391338418</v>
      </c>
      <c r="G8" s="12">
        <f t="shared" ref="G8:G71" si="1">D7/($I$1*12)</f>
        <v>1.4822500000000001</v>
      </c>
      <c r="H8" s="12">
        <f t="shared" ref="H8:H71" si="2">C7/($I$2*12)</f>
        <v>72.369500000000002</v>
      </c>
      <c r="I8" s="17" cm="1">
        <f t="array" aca="1" ref="I8" ca="1">IF(MONTH(A8) = LOOKUP(YEAR(A8), YEAR('CNY Dates'!A$2:A$34), 'CNY Dates'!B$2:B$34), LOOKUP(YEAR(A8), YEAR('Hongbao demand'!B$4:B$35), 'Hongbao demand'!F$4:F$35)  - O7, 0)</f>
        <v>5.7806443206775828</v>
      </c>
      <c r="J8" s="18">
        <f t="shared" ref="J8:J71" si="3">(SQRT(K8/(2*L8*M8))-SQRT(K7/(2*L7*M7)))*L8</f>
        <v>-7.2102039293391549</v>
      </c>
      <c r="K8" s="19">
        <v>6877.5666666666702</v>
      </c>
      <c r="L8" s="12">
        <v>0.59772999999999998</v>
      </c>
      <c r="M8" s="14">
        <v>2.5249999999999999E-3</v>
      </c>
      <c r="N8" s="19">
        <f t="shared" ref="N8:N71" ca="1" si="4">E8-F8</f>
        <v>-72.422190391338418</v>
      </c>
      <c r="O8" s="12">
        <f ca="1">MIN(IF(I8=0, O7*(I$1*12-1)/(I$1*12), MAX(O$5*N8, 0)), D$2*O$5*C7)</f>
        <v>0</v>
      </c>
      <c r="P8" s="18">
        <f t="shared" ref="P8:P71" ca="1" si="5">MAX(MIN(D8+N8 - D$1*C8, 0), D8+N8 - D$2*C8)</f>
        <v>0</v>
      </c>
      <c r="Q8" s="19">
        <f ca="1">MAX(0,$P8)*Q$5</f>
        <v>0</v>
      </c>
      <c r="R8" s="12">
        <f ca="1">MAX(0,$P8)*R$5</f>
        <v>0</v>
      </c>
      <c r="S8" s="12">
        <f ca="1">O8*$S$5</f>
        <v>0</v>
      </c>
      <c r="T8" s="83">
        <f ca="1">SUM(Q8:S8)</f>
        <v>0</v>
      </c>
      <c r="W8" s="1"/>
      <c r="Z8" s="6"/>
    </row>
    <row r="9" spans="1:28" x14ac:dyDescent="0.3">
      <c r="A9" s="11">
        <v>32568</v>
      </c>
      <c r="B9" s="94">
        <v>4356.45</v>
      </c>
      <c r="C9" s="97">
        <v>4252.6400000000003</v>
      </c>
      <c r="D9" s="109">
        <v>103.81</v>
      </c>
      <c r="E9" s="109">
        <v>85.88</v>
      </c>
      <c r="F9" s="16">
        <f t="shared" ca="1" si="0"/>
        <v>69.142596886209802</v>
      </c>
      <c r="G9" s="12">
        <f t="shared" si="1"/>
        <v>1.036</v>
      </c>
      <c r="H9" s="12">
        <f t="shared" si="2"/>
        <v>70.623000000000005</v>
      </c>
      <c r="I9" s="17" cm="1">
        <f t="array" ref="I9">IF(MONTH(A9) = LOOKUP(YEAR(A9), YEAR('CNY Dates'!A$2:A$34), 'CNY Dates'!B$2:B$34), LOOKUP(YEAR(A9), YEAR('Hongbao demand'!B$4:B$35), 'Hongbao demand'!F$4:F$35)  - O8, 0)</f>
        <v>0</v>
      </c>
      <c r="J9" s="18">
        <f t="shared" si="3"/>
        <v>-2.516403113790199</v>
      </c>
      <c r="K9" s="19">
        <v>6877.5666666666702</v>
      </c>
      <c r="L9" s="12">
        <v>0.59714</v>
      </c>
      <c r="M9" s="14">
        <v>2.5416666666666665E-3</v>
      </c>
      <c r="N9" s="19">
        <f t="shared" ca="1" si="4"/>
        <v>16.737403113790194</v>
      </c>
      <c r="O9" s="12">
        <f t="shared" ref="O9:O72" ca="1" si="6">MIN(IF(I9=0, O8*(I$1*12-1)/(I$1*12), MAX(O$5*N9, 0)), D$2*O$5*C8)</f>
        <v>0</v>
      </c>
      <c r="P9" s="18">
        <f t="shared" ca="1" si="5"/>
        <v>0</v>
      </c>
      <c r="Q9" s="19">
        <f t="shared" ref="Q9:R72" ca="1" si="7">MAX(0,$P9)*Q$5</f>
        <v>0</v>
      </c>
      <c r="R9" s="12">
        <f t="shared" ca="1" si="7"/>
        <v>0</v>
      </c>
      <c r="S9" s="12">
        <f t="shared" ref="S9:S72" ca="1" si="8">O9*$S$5</f>
        <v>0</v>
      </c>
      <c r="T9" s="83">
        <f t="shared" ref="T9:T72" ca="1" si="9">SUM(Q9:S9)</f>
        <v>0</v>
      </c>
      <c r="W9" s="1"/>
      <c r="Z9" s="6"/>
    </row>
    <row r="10" spans="1:28" x14ac:dyDescent="0.3">
      <c r="A10" s="11">
        <v>32599</v>
      </c>
      <c r="B10" s="94">
        <v>4341.6099999999997</v>
      </c>
      <c r="C10" s="97">
        <v>4267.83</v>
      </c>
      <c r="D10" s="109">
        <v>73.78</v>
      </c>
      <c r="E10" s="109">
        <v>86.07</v>
      </c>
      <c r="F10" s="16">
        <f t="shared" ca="1" si="0"/>
        <v>81.746420627234571</v>
      </c>
      <c r="G10" s="12">
        <f t="shared" si="1"/>
        <v>0.86508333333333332</v>
      </c>
      <c r="H10" s="12">
        <f t="shared" si="2"/>
        <v>70.87733333333334</v>
      </c>
      <c r="I10" s="17" cm="1">
        <f t="array" ref="I10">IF(MONTH(A10) = LOOKUP(YEAR(A10), YEAR('CNY Dates'!A$2:A$34), 'CNY Dates'!B$2:B$34), LOOKUP(YEAR(A10), YEAR('Hongbao demand'!B$4:B$35), 'Hongbao demand'!F$4:F$35)  - O9, 0)</f>
        <v>0</v>
      </c>
      <c r="J10" s="18">
        <f t="shared" si="3"/>
        <v>10.004003960567905</v>
      </c>
      <c r="K10" s="19">
        <v>7372.4</v>
      </c>
      <c r="L10" s="12">
        <v>0.60057000000000005</v>
      </c>
      <c r="M10" s="14">
        <v>2.65E-3</v>
      </c>
      <c r="N10" s="19">
        <f t="shared" ca="1" si="4"/>
        <v>4.3235793727654226</v>
      </c>
      <c r="O10" s="12">
        <f t="shared" ca="1" si="6"/>
        <v>0</v>
      </c>
      <c r="P10" s="18">
        <f t="shared" ca="1" si="5"/>
        <v>0</v>
      </c>
      <c r="Q10" s="19">
        <f t="shared" ca="1" si="7"/>
        <v>0</v>
      </c>
      <c r="R10" s="12">
        <f t="shared" ca="1" si="7"/>
        <v>0</v>
      </c>
      <c r="S10" s="12">
        <f t="shared" ca="1" si="8"/>
        <v>0</v>
      </c>
      <c r="T10" s="83">
        <f t="shared" ca="1" si="9"/>
        <v>0</v>
      </c>
      <c r="W10" s="1"/>
      <c r="Z10" s="6"/>
    </row>
    <row r="11" spans="1:28" x14ac:dyDescent="0.3">
      <c r="A11" s="11">
        <v>32629</v>
      </c>
      <c r="B11" s="94">
        <v>4375.1400000000003</v>
      </c>
      <c r="C11" s="97">
        <v>4262.6499999999996</v>
      </c>
      <c r="D11" s="109">
        <v>112.49</v>
      </c>
      <c r="E11" s="109">
        <v>65.95</v>
      </c>
      <c r="F11" s="16">
        <f t="shared" ca="1" si="0"/>
        <v>58.57394400230848</v>
      </c>
      <c r="G11" s="12">
        <f t="shared" si="1"/>
        <v>0.61483333333333334</v>
      </c>
      <c r="H11" s="12">
        <f t="shared" si="2"/>
        <v>71.130499999999998</v>
      </c>
      <c r="I11" s="17" cm="1">
        <f t="array" ref="I11">IF(MONTH(A11) = LOOKUP(YEAR(A11), YEAR('CNY Dates'!A$2:A$34), 'CNY Dates'!B$2:B$34), LOOKUP(YEAR(A11), YEAR('Hongbao demand'!B$4:B$35), 'Hongbao demand'!F$4:F$35)  - O10, 0)</f>
        <v>0</v>
      </c>
      <c r="J11" s="18">
        <f t="shared" si="3"/>
        <v>-13.171389331024853</v>
      </c>
      <c r="K11" s="19">
        <v>7372.4</v>
      </c>
      <c r="L11" s="12">
        <v>0.60482000000000002</v>
      </c>
      <c r="M11" s="14">
        <v>2.7083333333333334E-3</v>
      </c>
      <c r="N11" s="19">
        <f t="shared" ca="1" si="4"/>
        <v>7.3760559976915232</v>
      </c>
      <c r="O11" s="12">
        <f t="shared" ca="1" si="6"/>
        <v>0</v>
      </c>
      <c r="P11" s="18">
        <f t="shared" ca="1" si="5"/>
        <v>0</v>
      </c>
      <c r="Q11" s="19">
        <f t="shared" ca="1" si="7"/>
        <v>0</v>
      </c>
      <c r="R11" s="12">
        <f t="shared" ca="1" si="7"/>
        <v>0</v>
      </c>
      <c r="S11" s="12">
        <f t="shared" ca="1" si="8"/>
        <v>0</v>
      </c>
      <c r="T11" s="83">
        <f t="shared" ca="1" si="9"/>
        <v>0</v>
      </c>
      <c r="W11" s="1"/>
      <c r="Z11" s="6"/>
    </row>
    <row r="12" spans="1:28" x14ac:dyDescent="0.3">
      <c r="A12" s="11">
        <v>32660</v>
      </c>
      <c r="B12" s="94">
        <v>4388.0200000000004</v>
      </c>
      <c r="C12" s="97">
        <v>4297.16</v>
      </c>
      <c r="D12" s="109">
        <v>90.86</v>
      </c>
      <c r="E12" s="109">
        <v>105.55</v>
      </c>
      <c r="F12" s="16">
        <f t="shared" ca="1" si="0"/>
        <v>65.748364106649532</v>
      </c>
      <c r="G12" s="12">
        <f t="shared" si="1"/>
        <v>0.93741666666666668</v>
      </c>
      <c r="H12" s="12">
        <f t="shared" si="2"/>
        <v>71.044166666666655</v>
      </c>
      <c r="I12" s="17" cm="1">
        <f t="array" ref="I12">IF(MONTH(A12) = LOOKUP(YEAR(A12), YEAR('CNY Dates'!A$2:A$34), 'CNY Dates'!B$2:B$34), LOOKUP(YEAR(A12), YEAR('Hongbao demand'!B$4:B$35), 'Hongbao demand'!F$4:F$35)  - O11, 0)</f>
        <v>0</v>
      </c>
      <c r="J12" s="18">
        <f t="shared" si="3"/>
        <v>-6.2332192266837891</v>
      </c>
      <c r="K12" s="19">
        <v>7372.4</v>
      </c>
      <c r="L12" s="12">
        <v>0.60756999999999994</v>
      </c>
      <c r="M12" s="14">
        <v>2.7333333333333328E-3</v>
      </c>
      <c r="N12" s="19">
        <f t="shared" ca="1" si="4"/>
        <v>39.801635893350465</v>
      </c>
      <c r="O12" s="12">
        <f t="shared" ca="1" si="6"/>
        <v>0</v>
      </c>
      <c r="P12" s="18">
        <f t="shared" ca="1" si="5"/>
        <v>0</v>
      </c>
      <c r="Q12" s="19">
        <f t="shared" ca="1" si="7"/>
        <v>0</v>
      </c>
      <c r="R12" s="12">
        <f t="shared" ca="1" si="7"/>
        <v>0</v>
      </c>
      <c r="S12" s="12">
        <f t="shared" ca="1" si="8"/>
        <v>0</v>
      </c>
      <c r="T12" s="83">
        <f t="shared" ca="1" si="9"/>
        <v>0</v>
      </c>
      <c r="W12" s="1"/>
      <c r="Z12" s="6"/>
    </row>
    <row r="13" spans="1:28" x14ac:dyDescent="0.3">
      <c r="A13" s="11">
        <v>32690</v>
      </c>
      <c r="B13" s="94">
        <v>4394.04</v>
      </c>
      <c r="C13" s="97">
        <v>4287.6400000000003</v>
      </c>
      <c r="D13" s="109">
        <v>106.4</v>
      </c>
      <c r="E13" s="109">
        <v>62.1</v>
      </c>
      <c r="F13" s="16">
        <f t="shared" ca="1" si="0"/>
        <v>83.62842043755262</v>
      </c>
      <c r="G13" s="12">
        <f t="shared" si="1"/>
        <v>0.75716666666666665</v>
      </c>
      <c r="H13" s="12">
        <f t="shared" si="2"/>
        <v>71.61933333333333</v>
      </c>
      <c r="I13" s="17" cm="1">
        <f t="array" ref="I13">IF(MONTH(A13) = LOOKUP(YEAR(A13), YEAR('CNY Dates'!A$2:A$34), 'CNY Dates'!B$2:B$34), LOOKUP(YEAR(A13), YEAR('Hongbao demand'!B$4:B$35), 'Hongbao demand'!F$4:F$35)  - O12, 0)</f>
        <v>0</v>
      </c>
      <c r="J13" s="18">
        <f t="shared" si="3"/>
        <v>11.251920437552629</v>
      </c>
      <c r="K13" s="19">
        <v>7577.9333333333298</v>
      </c>
      <c r="L13" s="12">
        <v>0.60931000000000002</v>
      </c>
      <c r="M13" s="14">
        <v>2.7333333333333328E-3</v>
      </c>
      <c r="N13" s="19">
        <f t="shared" ca="1" si="4"/>
        <v>-21.528420437552619</v>
      </c>
      <c r="O13" s="12">
        <f t="shared" ca="1" si="6"/>
        <v>0</v>
      </c>
      <c r="P13" s="18">
        <f t="shared" ca="1" si="5"/>
        <v>0</v>
      </c>
      <c r="Q13" s="19">
        <f t="shared" ca="1" si="7"/>
        <v>0</v>
      </c>
      <c r="R13" s="12">
        <f t="shared" ca="1" si="7"/>
        <v>0</v>
      </c>
      <c r="S13" s="12">
        <f t="shared" ca="1" si="8"/>
        <v>0</v>
      </c>
      <c r="T13" s="83">
        <f t="shared" ca="1" si="9"/>
        <v>0</v>
      </c>
      <c r="W13" s="1"/>
      <c r="Z13" s="6"/>
    </row>
    <row r="14" spans="1:28" x14ac:dyDescent="0.3">
      <c r="A14" s="11">
        <v>32721</v>
      </c>
      <c r="B14" s="94">
        <v>4430.0200000000004</v>
      </c>
      <c r="C14" s="97">
        <v>4309.6899999999996</v>
      </c>
      <c r="D14" s="109">
        <v>120.33</v>
      </c>
      <c r="E14" s="109">
        <v>93.51</v>
      </c>
      <c r="F14" s="16">
        <f t="shared" ca="1" si="0"/>
        <v>71.789083726296582</v>
      </c>
      <c r="G14" s="12">
        <f t="shared" si="1"/>
        <v>0.88666666666666671</v>
      </c>
      <c r="H14" s="12">
        <f t="shared" si="2"/>
        <v>71.460666666666668</v>
      </c>
      <c r="I14" s="17" cm="1">
        <f t="array" ref="I14">IF(MONTH(A14) = LOOKUP(YEAR(A14), YEAR('CNY Dates'!A$2:A$34), 'CNY Dates'!B$2:B$34), LOOKUP(YEAR(A14), YEAR('Hongbao demand'!B$4:B$35), 'Hongbao demand'!F$4:F$35)  - O13, 0)</f>
        <v>0</v>
      </c>
      <c r="J14" s="18">
        <f t="shared" si="3"/>
        <v>-0.55824960703675686</v>
      </c>
      <c r="K14" s="19">
        <v>7577.9333333333298</v>
      </c>
      <c r="L14" s="12">
        <v>0.61004999999999998</v>
      </c>
      <c r="M14" s="14">
        <v>2.7333333333333328E-3</v>
      </c>
      <c r="N14" s="19">
        <f t="shared" ca="1" si="4"/>
        <v>21.720916273703423</v>
      </c>
      <c r="O14" s="12">
        <f t="shared" ca="1" si="6"/>
        <v>0</v>
      </c>
      <c r="P14" s="18">
        <f t="shared" ca="1" si="5"/>
        <v>0</v>
      </c>
      <c r="Q14" s="19">
        <f t="shared" ca="1" si="7"/>
        <v>0</v>
      </c>
      <c r="R14" s="12">
        <f t="shared" ca="1" si="7"/>
        <v>0</v>
      </c>
      <c r="S14" s="12">
        <f t="shared" ca="1" si="8"/>
        <v>0</v>
      </c>
      <c r="T14" s="83">
        <f t="shared" ca="1" si="9"/>
        <v>0</v>
      </c>
      <c r="W14" s="1"/>
      <c r="Z14" s="6"/>
    </row>
    <row r="15" spans="1:28" x14ac:dyDescent="0.3">
      <c r="A15" s="11">
        <v>32752</v>
      </c>
      <c r="B15" s="94">
        <v>4441.08</v>
      </c>
      <c r="C15" s="97">
        <v>4367.3</v>
      </c>
      <c r="D15" s="109">
        <v>73.78</v>
      </c>
      <c r="E15" s="109">
        <v>129.44</v>
      </c>
      <c r="F15" s="16">
        <f t="shared" ca="1" si="0"/>
        <v>72.861064371467407</v>
      </c>
      <c r="G15" s="12">
        <f t="shared" si="1"/>
        <v>1.00275</v>
      </c>
      <c r="H15" s="12">
        <f t="shared" si="2"/>
        <v>71.828166666666661</v>
      </c>
      <c r="I15" s="17" cm="1">
        <f t="array" ref="I15">IF(MONTH(A15) = LOOKUP(YEAR(A15), YEAR('CNY Dates'!A$2:A$34), 'CNY Dates'!B$2:B$34), LOOKUP(YEAR(A15), YEAR('Hongbao demand'!B$4:B$35), 'Hongbao demand'!F$4:F$35)  - O14, 0)</f>
        <v>0</v>
      </c>
      <c r="J15" s="18">
        <f t="shared" si="3"/>
        <v>3.0147704800735486E-2</v>
      </c>
      <c r="K15" s="19">
        <v>7577.9333333333298</v>
      </c>
      <c r="L15" s="12">
        <v>0.61000999999999994</v>
      </c>
      <c r="M15" s="14">
        <v>2.7333333333333328E-3</v>
      </c>
      <c r="N15" s="19">
        <f t="shared" ca="1" si="4"/>
        <v>56.578935628532591</v>
      </c>
      <c r="O15" s="12">
        <f t="shared" ca="1" si="6"/>
        <v>0</v>
      </c>
      <c r="P15" s="18">
        <f t="shared" ca="1" si="5"/>
        <v>0</v>
      </c>
      <c r="Q15" s="19">
        <f t="shared" ca="1" si="7"/>
        <v>0</v>
      </c>
      <c r="R15" s="12">
        <f t="shared" ca="1" si="7"/>
        <v>0</v>
      </c>
      <c r="S15" s="12">
        <f t="shared" ca="1" si="8"/>
        <v>0</v>
      </c>
      <c r="T15" s="83">
        <f t="shared" ca="1" si="9"/>
        <v>0</v>
      </c>
      <c r="W15" s="1"/>
      <c r="Z15" s="6"/>
    </row>
    <row r="16" spans="1:28" x14ac:dyDescent="0.3">
      <c r="A16" s="11">
        <v>32782</v>
      </c>
      <c r="B16" s="94">
        <v>4505.55</v>
      </c>
      <c r="C16" s="97">
        <v>4365.13</v>
      </c>
      <c r="D16" s="109">
        <v>140.41999999999999</v>
      </c>
      <c r="E16" s="109">
        <v>70.62</v>
      </c>
      <c r="F16" s="16">
        <f t="shared" ca="1" si="0"/>
        <v>82.354014592030737</v>
      </c>
      <c r="G16" s="12">
        <f t="shared" si="1"/>
        <v>0.61483333333333334</v>
      </c>
      <c r="H16" s="12">
        <f t="shared" si="2"/>
        <v>72.788333333333341</v>
      </c>
      <c r="I16" s="17" cm="1">
        <f t="array" ref="I16">IF(MONTH(A16) = LOOKUP(YEAR(A16), YEAR('CNY Dates'!A$2:A$34), 'CNY Dates'!B$2:B$34), LOOKUP(YEAR(A16), YEAR('Hongbao demand'!B$4:B$35), 'Hongbao demand'!F$4:F$35)  - O15, 0)</f>
        <v>0</v>
      </c>
      <c r="J16" s="18">
        <f t="shared" si="3"/>
        <v>8.9508479253640534</v>
      </c>
      <c r="K16" s="19">
        <v>7764.4333333333298</v>
      </c>
      <c r="L16" s="12">
        <v>0.61309000000000002</v>
      </c>
      <c r="M16" s="14">
        <v>2.7333333333333328E-3</v>
      </c>
      <c r="N16" s="19">
        <f t="shared" ca="1" si="4"/>
        <v>-11.734014592030732</v>
      </c>
      <c r="O16" s="12">
        <f t="shared" ca="1" si="6"/>
        <v>0</v>
      </c>
      <c r="P16" s="18">
        <f t="shared" ca="1" si="5"/>
        <v>0</v>
      </c>
      <c r="Q16" s="19">
        <f t="shared" ca="1" si="7"/>
        <v>0</v>
      </c>
      <c r="R16" s="12">
        <f t="shared" ca="1" si="7"/>
        <v>0</v>
      </c>
      <c r="S16" s="12">
        <f t="shared" ca="1" si="8"/>
        <v>0</v>
      </c>
      <c r="T16" s="83">
        <f t="shared" ca="1" si="9"/>
        <v>0</v>
      </c>
      <c r="W16" s="1"/>
      <c r="Z16" s="6"/>
    </row>
    <row r="17" spans="1:26" x14ac:dyDescent="0.3">
      <c r="A17" s="11">
        <v>32813</v>
      </c>
      <c r="B17" s="94">
        <v>4533.62</v>
      </c>
      <c r="C17" s="97">
        <v>4388.58</v>
      </c>
      <c r="D17" s="109">
        <v>145.04</v>
      </c>
      <c r="E17" s="109">
        <v>96.2</v>
      </c>
      <c r="F17" s="16">
        <f t="shared" ca="1" si="0"/>
        <v>69.317672081696116</v>
      </c>
      <c r="G17" s="12">
        <f t="shared" si="1"/>
        <v>1.1701666666666666</v>
      </c>
      <c r="H17" s="12">
        <f t="shared" si="2"/>
        <v>72.752166666666668</v>
      </c>
      <c r="I17" s="17" cm="1">
        <f t="array" ref="I17">IF(MONTH(A17) = LOOKUP(YEAR(A17), YEAR('CNY Dates'!A$2:A$34), 'CNY Dates'!B$2:B$34), LOOKUP(YEAR(A17), YEAR('Hongbao demand'!B$4:B$35), 'Hongbao demand'!F$4:F$35)  - O16, 0)</f>
        <v>0</v>
      </c>
      <c r="J17" s="18">
        <f t="shared" si="3"/>
        <v>-4.6046612516372045</v>
      </c>
      <c r="K17" s="19">
        <v>7764.4333333333298</v>
      </c>
      <c r="L17" s="12">
        <v>0.61541000000000001</v>
      </c>
      <c r="M17" s="14">
        <v>2.7500000000000003E-3</v>
      </c>
      <c r="N17" s="19">
        <f t="shared" ca="1" si="4"/>
        <v>26.882327918303886</v>
      </c>
      <c r="O17" s="12">
        <f t="shared" ca="1" si="6"/>
        <v>0</v>
      </c>
      <c r="P17" s="18">
        <f t="shared" ca="1" si="5"/>
        <v>0</v>
      </c>
      <c r="Q17" s="19">
        <f t="shared" ca="1" si="7"/>
        <v>0</v>
      </c>
      <c r="R17" s="12">
        <f t="shared" ca="1" si="7"/>
        <v>0</v>
      </c>
      <c r="S17" s="12">
        <f t="shared" ca="1" si="8"/>
        <v>0</v>
      </c>
      <c r="T17" s="83">
        <f t="shared" ca="1" si="9"/>
        <v>0</v>
      </c>
      <c r="W17" s="1"/>
      <c r="Z17" s="6"/>
    </row>
    <row r="18" spans="1:26" x14ac:dyDescent="0.3">
      <c r="A18" s="11">
        <v>32843</v>
      </c>
      <c r="B18" s="94">
        <v>4714.92</v>
      </c>
      <c r="C18" s="97">
        <v>4626.93</v>
      </c>
      <c r="D18" s="109">
        <v>87.99</v>
      </c>
      <c r="E18" s="109">
        <v>311.49</v>
      </c>
      <c r="F18" s="16">
        <f t="shared" ca="1" si="0"/>
        <v>66.797261141988031</v>
      </c>
      <c r="G18" s="12">
        <f t="shared" si="1"/>
        <v>1.2086666666666666</v>
      </c>
      <c r="H18" s="12">
        <f t="shared" si="2"/>
        <v>73.143000000000001</v>
      </c>
      <c r="I18" s="17" cm="1">
        <f t="array" ref="I18">IF(MONTH(A18) = LOOKUP(YEAR(A18), YEAR('CNY Dates'!A$2:A$34), 'CNY Dates'!B$2:B$34), LOOKUP(YEAR(A18), YEAR('Hongbao demand'!B$4:B$35), 'Hongbao demand'!F$4:F$35)  - O17, 0)</f>
        <v>0</v>
      </c>
      <c r="J18" s="18">
        <f t="shared" si="3"/>
        <v>-7.5544055246786499</v>
      </c>
      <c r="K18" s="19">
        <v>7764.4333333333298</v>
      </c>
      <c r="L18" s="12">
        <v>0.61616000000000004</v>
      </c>
      <c r="M18" s="14">
        <v>2.7916666666666667E-3</v>
      </c>
      <c r="N18" s="19">
        <f t="shared" ca="1" si="4"/>
        <v>244.69273885801198</v>
      </c>
      <c r="O18" s="12">
        <f t="shared" ca="1" si="6"/>
        <v>0</v>
      </c>
      <c r="P18" s="18">
        <f t="shared" ca="1" si="5"/>
        <v>0</v>
      </c>
      <c r="Q18" s="19">
        <f t="shared" ca="1" si="7"/>
        <v>0</v>
      </c>
      <c r="R18" s="12">
        <f t="shared" ca="1" si="7"/>
        <v>0</v>
      </c>
      <c r="S18" s="12">
        <f t="shared" ca="1" si="8"/>
        <v>0</v>
      </c>
      <c r="T18" s="83">
        <f t="shared" ca="1" si="9"/>
        <v>0</v>
      </c>
      <c r="W18" s="1"/>
      <c r="Z18" s="6"/>
    </row>
    <row r="19" spans="1:26" x14ac:dyDescent="0.3">
      <c r="A19" s="11">
        <v>32874</v>
      </c>
      <c r="B19" s="94">
        <v>5142.2700000000004</v>
      </c>
      <c r="C19" s="97">
        <v>4894.75</v>
      </c>
      <c r="D19" s="109">
        <v>247.52</v>
      </c>
      <c r="E19" s="109">
        <v>344.94</v>
      </c>
      <c r="F19" s="16">
        <f t="shared" ca="1" si="0"/>
        <v>59.162804984972887</v>
      </c>
      <c r="G19" s="12">
        <f t="shared" si="1"/>
        <v>0.73324999999999996</v>
      </c>
      <c r="H19" s="12">
        <f t="shared" si="2"/>
        <v>77.115500000000011</v>
      </c>
      <c r="I19" s="17" cm="1">
        <f t="array" aca="1" ref="I19" ca="1">IF(MONTH(A19) = LOOKUP(YEAR(A19), YEAR('CNY Dates'!A$2:A$34), 'CNY Dates'!B$2:B$34), LOOKUP(YEAR(A19), YEAR('Hongbao demand'!B$4:B$35), 'Hongbao demand'!F$4:F$35)  - O18, 0)</f>
        <v>6.0261501603051384</v>
      </c>
      <c r="J19" s="18">
        <f t="shared" si="3"/>
        <v>-24.712095175332259</v>
      </c>
      <c r="K19" s="19">
        <v>7841.2333333333299</v>
      </c>
      <c r="L19" s="12">
        <v>0.61965999999999999</v>
      </c>
      <c r="M19" s="14">
        <v>2.9583333333333332E-3</v>
      </c>
      <c r="N19" s="19">
        <f t="shared" ca="1" si="4"/>
        <v>285.77719501502713</v>
      </c>
      <c r="O19" s="12">
        <f t="shared" ca="1" si="6"/>
        <v>57.155439003005426</v>
      </c>
      <c r="P19" s="18">
        <f t="shared" ca="1" si="5"/>
        <v>43.822195015027091</v>
      </c>
      <c r="Q19" s="19">
        <f t="shared" ca="1" si="7"/>
        <v>6.5733292522540632</v>
      </c>
      <c r="R19" s="12">
        <f t="shared" ca="1" si="7"/>
        <v>8.7644390030054193</v>
      </c>
      <c r="S19" s="12">
        <f t="shared" ca="1" si="8"/>
        <v>5.7155439003005428</v>
      </c>
      <c r="T19" s="83">
        <f t="shared" ca="1" si="9"/>
        <v>21.053312155560025</v>
      </c>
      <c r="W19" s="1"/>
      <c r="Z19" s="6"/>
    </row>
    <row r="20" spans="1:26" x14ac:dyDescent="0.3">
      <c r="A20" s="11">
        <v>32905</v>
      </c>
      <c r="B20" s="94">
        <v>4761.68</v>
      </c>
      <c r="C20" s="97">
        <v>4641.7</v>
      </c>
      <c r="D20" s="109">
        <v>119.98</v>
      </c>
      <c r="E20" s="109">
        <v>0</v>
      </c>
      <c r="F20" s="16">
        <f t="shared" ca="1" si="0"/>
        <v>48.969783919543104</v>
      </c>
      <c r="G20" s="12">
        <f t="shared" si="1"/>
        <v>2.0626666666666669</v>
      </c>
      <c r="H20" s="12">
        <f t="shared" si="2"/>
        <v>81.579166666666666</v>
      </c>
      <c r="I20" s="17" cm="1">
        <f t="array" ref="I20">IF(MONTH(A20) = LOOKUP(YEAR(A20), YEAR('CNY Dates'!A$2:A$34), 'CNY Dates'!B$2:B$34), LOOKUP(YEAR(A20), YEAR('Hongbao demand'!B$4:B$35), 'Hongbao demand'!F$4:F$35)  - O19, 0)</f>
        <v>0</v>
      </c>
      <c r="J20" s="18">
        <f t="shared" si="3"/>
        <v>-34.672049413790234</v>
      </c>
      <c r="K20" s="19">
        <v>7841.2333333333299</v>
      </c>
      <c r="L20" s="12">
        <v>0.62087000000000003</v>
      </c>
      <c r="M20" s="14">
        <v>3.1916666666666669E-3</v>
      </c>
      <c r="N20" s="19">
        <f t="shared" ca="1" si="4"/>
        <v>-48.969783919543104</v>
      </c>
      <c r="O20" s="12">
        <f t="shared" ca="1" si="6"/>
        <v>56.679143677980385</v>
      </c>
      <c r="P20" s="18">
        <f t="shared" ca="1" si="5"/>
        <v>0</v>
      </c>
      <c r="Q20" s="19">
        <f t="shared" ca="1" si="7"/>
        <v>0</v>
      </c>
      <c r="R20" s="12">
        <f t="shared" ca="1" si="7"/>
        <v>0</v>
      </c>
      <c r="S20" s="12">
        <f t="shared" ca="1" si="8"/>
        <v>5.6679143677980388</v>
      </c>
      <c r="T20" s="83">
        <f t="shared" ca="1" si="9"/>
        <v>5.6679143677980388</v>
      </c>
      <c r="W20" s="1"/>
      <c r="Z20" s="6"/>
    </row>
    <row r="21" spans="1:26" x14ac:dyDescent="0.3">
      <c r="A21" s="11">
        <v>32933</v>
      </c>
      <c r="B21" s="94">
        <v>4742.08</v>
      </c>
      <c r="C21" s="97">
        <v>4641.3500000000004</v>
      </c>
      <c r="D21" s="109">
        <v>100.73</v>
      </c>
      <c r="E21" s="109">
        <v>77.010000000000005</v>
      </c>
      <c r="F21" s="16">
        <f t="shared" ca="1" si="0"/>
        <v>68.460319278493714</v>
      </c>
      <c r="G21" s="12">
        <f t="shared" si="1"/>
        <v>0.99983333333333335</v>
      </c>
      <c r="H21" s="12">
        <f t="shared" si="2"/>
        <v>77.361666666666665</v>
      </c>
      <c r="I21" s="17" cm="1">
        <f t="array" ref="I21">IF(MONTH(A21) = LOOKUP(YEAR(A21), YEAR('CNY Dates'!A$2:A$34), 'CNY Dates'!B$2:B$34), LOOKUP(YEAR(A21), YEAR('Hongbao demand'!B$4:B$35), 'Hongbao demand'!F$4:F$35)  - O20, 0)</f>
        <v>0</v>
      </c>
      <c r="J21" s="18">
        <f t="shared" si="3"/>
        <v>-9.901180721506277</v>
      </c>
      <c r="K21" s="19">
        <v>7841.2333333333299</v>
      </c>
      <c r="L21" s="12">
        <v>0.61907000000000001</v>
      </c>
      <c r="M21" s="14">
        <v>3.2750000000000001E-3</v>
      </c>
      <c r="N21" s="19">
        <f t="shared" ca="1" si="4"/>
        <v>8.5496807215062915</v>
      </c>
      <c r="O21" s="12">
        <f t="shared" ca="1" si="6"/>
        <v>56.206817480663879</v>
      </c>
      <c r="P21" s="18">
        <f t="shared" ca="1" si="5"/>
        <v>0</v>
      </c>
      <c r="Q21" s="19">
        <f t="shared" ca="1" si="7"/>
        <v>0</v>
      </c>
      <c r="R21" s="12">
        <f t="shared" ca="1" si="7"/>
        <v>0</v>
      </c>
      <c r="S21" s="12">
        <f t="shared" ca="1" si="8"/>
        <v>5.6206817480663886</v>
      </c>
      <c r="T21" s="83">
        <f t="shared" ca="1" si="9"/>
        <v>5.6206817480663886</v>
      </c>
      <c r="W21" s="1"/>
      <c r="Z21" s="6"/>
    </row>
    <row r="22" spans="1:26" x14ac:dyDescent="0.3">
      <c r="A22" s="11">
        <v>32964</v>
      </c>
      <c r="B22" s="94">
        <v>4791.29</v>
      </c>
      <c r="C22" s="97">
        <v>4679.43</v>
      </c>
      <c r="D22" s="109">
        <v>111.86</v>
      </c>
      <c r="E22" s="109">
        <v>115.44</v>
      </c>
      <c r="F22" s="16">
        <f t="shared" ca="1" si="0"/>
        <v>32.849934419699018</v>
      </c>
      <c r="G22" s="12">
        <f t="shared" si="1"/>
        <v>0.8394166666666667</v>
      </c>
      <c r="H22" s="12">
        <f t="shared" si="2"/>
        <v>77.355833333333337</v>
      </c>
      <c r="I22" s="17" cm="1">
        <f t="array" ref="I22">IF(MONTH(A22) = LOOKUP(YEAR(A22), YEAR('CNY Dates'!A$2:A$34), 'CNY Dates'!B$2:B$34), LOOKUP(YEAR(A22), YEAR('Hongbao demand'!B$4:B$35), 'Hongbao demand'!F$4:F$35)  - O21, 0)</f>
        <v>0</v>
      </c>
      <c r="J22" s="18">
        <f t="shared" si="3"/>
        <v>-45.345315580300984</v>
      </c>
      <c r="K22" s="19">
        <v>8017.6666666666697</v>
      </c>
      <c r="L22" s="12">
        <v>0.62253999999999998</v>
      </c>
      <c r="M22" s="14">
        <v>3.7083333333333339E-3</v>
      </c>
      <c r="N22" s="19">
        <f t="shared" ca="1" si="4"/>
        <v>82.590065580300973</v>
      </c>
      <c r="O22" s="12">
        <f t="shared" ca="1" si="6"/>
        <v>55.738427334991684</v>
      </c>
      <c r="P22" s="18">
        <f t="shared" ca="1" si="5"/>
        <v>0</v>
      </c>
      <c r="Q22" s="19">
        <f t="shared" ca="1" si="7"/>
        <v>0</v>
      </c>
      <c r="R22" s="12">
        <f t="shared" ca="1" si="7"/>
        <v>0</v>
      </c>
      <c r="S22" s="12">
        <f t="shared" ca="1" si="8"/>
        <v>5.5738427334991689</v>
      </c>
      <c r="T22" s="83">
        <f t="shared" ca="1" si="9"/>
        <v>5.5738427334991689</v>
      </c>
      <c r="W22" s="1"/>
      <c r="Z22" s="6"/>
    </row>
    <row r="23" spans="1:26" x14ac:dyDescent="0.3">
      <c r="A23" s="11">
        <v>32994</v>
      </c>
      <c r="B23" s="94">
        <v>4724.3</v>
      </c>
      <c r="C23" s="97">
        <v>4608.1000000000004</v>
      </c>
      <c r="D23" s="109">
        <v>116.2</v>
      </c>
      <c r="E23" s="109">
        <v>6.66</v>
      </c>
      <c r="F23" s="16">
        <f t="shared" ca="1" si="0"/>
        <v>73.285006420421254</v>
      </c>
      <c r="G23" s="12">
        <f t="shared" si="1"/>
        <v>0.9321666666666667</v>
      </c>
      <c r="H23" s="12">
        <f t="shared" si="2"/>
        <v>77.990500000000011</v>
      </c>
      <c r="I23" s="17" cm="1">
        <f t="array" ref="I23">IF(MONTH(A23) = LOOKUP(YEAR(A23), YEAR('CNY Dates'!A$2:A$34), 'CNY Dates'!B$2:B$34), LOOKUP(YEAR(A23), YEAR('Hongbao demand'!B$4:B$35), 'Hongbao demand'!F$4:F$35)  - O22, 0)</f>
        <v>0</v>
      </c>
      <c r="J23" s="18">
        <f t="shared" si="3"/>
        <v>-5.6376602462454208</v>
      </c>
      <c r="K23" s="19">
        <v>8017.6666666666697</v>
      </c>
      <c r="L23" s="12">
        <v>0.62414999999999998</v>
      </c>
      <c r="M23" s="14">
        <v>3.7499999999999999E-3</v>
      </c>
      <c r="N23" s="19">
        <f t="shared" ca="1" si="4"/>
        <v>-66.625006420421258</v>
      </c>
      <c r="O23" s="12">
        <f t="shared" ca="1" si="6"/>
        <v>55.273940440533423</v>
      </c>
      <c r="P23" s="18">
        <f t="shared" ca="1" si="5"/>
        <v>0</v>
      </c>
      <c r="Q23" s="19">
        <f t="shared" ca="1" si="7"/>
        <v>0</v>
      </c>
      <c r="R23" s="12">
        <f t="shared" ca="1" si="7"/>
        <v>0</v>
      </c>
      <c r="S23" s="12">
        <f t="shared" ca="1" si="8"/>
        <v>5.5273940440533424</v>
      </c>
      <c r="T23" s="83">
        <f t="shared" ca="1" si="9"/>
        <v>5.5273940440533424</v>
      </c>
      <c r="W23" s="1"/>
      <c r="Z23" s="6"/>
    </row>
    <row r="24" spans="1:26" x14ac:dyDescent="0.3">
      <c r="A24" s="11">
        <v>33025</v>
      </c>
      <c r="B24" s="94">
        <v>4712.3999999999996</v>
      </c>
      <c r="C24" s="97">
        <v>4614.3999999999996</v>
      </c>
      <c r="D24" s="109">
        <v>98</v>
      </c>
      <c r="E24" s="109">
        <v>83.1</v>
      </c>
      <c r="F24" s="16">
        <f t="shared" ca="1" si="0"/>
        <v>39.16718024236426</v>
      </c>
      <c r="G24" s="12">
        <f t="shared" si="1"/>
        <v>0.96833333333333338</v>
      </c>
      <c r="H24" s="12">
        <f t="shared" si="2"/>
        <v>76.801666666666677</v>
      </c>
      <c r="I24" s="17" cm="1">
        <f t="array" ref="I24">IF(MONTH(A24) = LOOKUP(YEAR(A24), YEAR('CNY Dates'!A$2:A$34), 'CNY Dates'!B$2:B$34), LOOKUP(YEAR(A24), YEAR('Hongbao demand'!B$4:B$35), 'Hongbao demand'!F$4:F$35)  - O23, 0)</f>
        <v>0</v>
      </c>
      <c r="J24" s="18">
        <f t="shared" si="3"/>
        <v>-38.60281975763575</v>
      </c>
      <c r="K24" s="19">
        <v>8017.6666666666697</v>
      </c>
      <c r="L24" s="12">
        <v>0.62500999999999995</v>
      </c>
      <c r="M24" s="14">
        <v>4.1250000000000002E-3</v>
      </c>
      <c r="N24" s="19">
        <f t="shared" ca="1" si="4"/>
        <v>43.932819757635734</v>
      </c>
      <c r="O24" s="12">
        <f t="shared" ca="1" si="6"/>
        <v>54.813324270195643</v>
      </c>
      <c r="P24" s="18">
        <f t="shared" ca="1" si="5"/>
        <v>0</v>
      </c>
      <c r="Q24" s="19">
        <f t="shared" ca="1" si="7"/>
        <v>0</v>
      </c>
      <c r="R24" s="12">
        <f t="shared" ca="1" si="7"/>
        <v>0</v>
      </c>
      <c r="S24" s="12">
        <f t="shared" ca="1" si="8"/>
        <v>5.4813324270195647</v>
      </c>
      <c r="T24" s="83">
        <f t="shared" ca="1" si="9"/>
        <v>5.4813324270195647</v>
      </c>
      <c r="W24" s="1"/>
      <c r="Z24" s="6"/>
    </row>
    <row r="25" spans="1:26" x14ac:dyDescent="0.3">
      <c r="A25" s="11">
        <v>33055</v>
      </c>
      <c r="B25" s="94">
        <v>4762.03</v>
      </c>
      <c r="C25" s="97">
        <v>4601.24</v>
      </c>
      <c r="D25" s="109">
        <v>160.79</v>
      </c>
      <c r="E25" s="109">
        <v>63.75</v>
      </c>
      <c r="F25" s="16">
        <f t="shared" ca="1" si="0"/>
        <v>78.503604002143859</v>
      </c>
      <c r="G25" s="12">
        <f t="shared" si="1"/>
        <v>0.81666666666666665</v>
      </c>
      <c r="H25" s="12">
        <f t="shared" si="2"/>
        <v>76.906666666666666</v>
      </c>
      <c r="I25" s="17" cm="1">
        <f t="array" ref="I25">IF(MONTH(A25) = LOOKUP(YEAR(A25), YEAR('CNY Dates'!A$2:A$34), 'CNY Dates'!B$2:B$34), LOOKUP(YEAR(A25), YEAR('Hongbao demand'!B$4:B$35), 'Hongbao demand'!F$4:F$35)  - O24, 0)</f>
        <v>0</v>
      </c>
      <c r="J25" s="18">
        <f t="shared" si="3"/>
        <v>0.78027066881053031</v>
      </c>
      <c r="K25" s="19">
        <v>8248.5333333333292</v>
      </c>
      <c r="L25" s="12">
        <v>0.62529999999999997</v>
      </c>
      <c r="M25" s="14">
        <v>4.2333333333333329E-3</v>
      </c>
      <c r="N25" s="19">
        <f t="shared" ca="1" si="4"/>
        <v>-14.753604002143859</v>
      </c>
      <c r="O25" s="12">
        <f t="shared" ca="1" si="6"/>
        <v>54.356546567944015</v>
      </c>
      <c r="P25" s="18">
        <f t="shared" ca="1" si="5"/>
        <v>0</v>
      </c>
      <c r="Q25" s="19">
        <f t="shared" ca="1" si="7"/>
        <v>0</v>
      </c>
      <c r="R25" s="12">
        <f t="shared" ca="1" si="7"/>
        <v>0</v>
      </c>
      <c r="S25" s="12">
        <f t="shared" ca="1" si="8"/>
        <v>5.4356546567944015</v>
      </c>
      <c r="T25" s="83">
        <f t="shared" ca="1" si="9"/>
        <v>5.4356546567944015</v>
      </c>
      <c r="W25" s="1"/>
      <c r="Z25" s="6"/>
    </row>
    <row r="26" spans="1:26" x14ac:dyDescent="0.3">
      <c r="A26" s="11">
        <v>33086</v>
      </c>
      <c r="B26" s="94">
        <v>4810.1899999999996</v>
      </c>
      <c r="C26" s="97">
        <v>4677.54</v>
      </c>
      <c r="D26" s="109">
        <v>132.65</v>
      </c>
      <c r="E26" s="109">
        <v>152.99</v>
      </c>
      <c r="F26" s="16">
        <f t="shared" ca="1" si="0"/>
        <v>69.050209961267001</v>
      </c>
      <c r="G26" s="12">
        <f t="shared" si="1"/>
        <v>1.3399166666666666</v>
      </c>
      <c r="H26" s="12">
        <f t="shared" si="2"/>
        <v>76.687333333333328</v>
      </c>
      <c r="I26" s="17" cm="1">
        <f t="array" ref="I26">IF(MONTH(A26) = LOOKUP(YEAR(A26), YEAR('CNY Dates'!A$2:A$34), 'CNY Dates'!B$2:B$34), LOOKUP(YEAR(A26), YEAR('Hongbao demand'!B$4:B$35), 'Hongbao demand'!F$4:F$35)  - O25, 0)</f>
        <v>0</v>
      </c>
      <c r="J26" s="18">
        <f t="shared" si="3"/>
        <v>-8.9770400387329889</v>
      </c>
      <c r="K26" s="19">
        <v>8248.5333333333292</v>
      </c>
      <c r="L26" s="12">
        <v>0.62753000000000003</v>
      </c>
      <c r="M26" s="14">
        <v>4.3166666666666666E-3</v>
      </c>
      <c r="N26" s="19">
        <f t="shared" ca="1" si="4"/>
        <v>83.939790038733008</v>
      </c>
      <c r="O26" s="12">
        <f t="shared" ca="1" si="6"/>
        <v>53.903575346544478</v>
      </c>
      <c r="P26" s="18">
        <f t="shared" ca="1" si="5"/>
        <v>0</v>
      </c>
      <c r="Q26" s="19">
        <f t="shared" ca="1" si="7"/>
        <v>0</v>
      </c>
      <c r="R26" s="12">
        <f t="shared" ca="1" si="7"/>
        <v>0</v>
      </c>
      <c r="S26" s="12">
        <f t="shared" ca="1" si="8"/>
        <v>5.3903575346544486</v>
      </c>
      <c r="T26" s="83">
        <f t="shared" ca="1" si="9"/>
        <v>5.3903575346544486</v>
      </c>
      <c r="W26" s="1"/>
      <c r="Z26" s="6"/>
    </row>
    <row r="27" spans="1:26" x14ac:dyDescent="0.3">
      <c r="A27" s="11">
        <v>33117</v>
      </c>
      <c r="B27" s="94">
        <v>4798.01</v>
      </c>
      <c r="C27" s="97">
        <v>4699.17</v>
      </c>
      <c r="D27" s="109">
        <v>98.84</v>
      </c>
      <c r="E27" s="109">
        <v>99.59</v>
      </c>
      <c r="F27" s="16">
        <f t="shared" ca="1" si="0"/>
        <v>74.923800380882668</v>
      </c>
      <c r="G27" s="12">
        <f t="shared" si="1"/>
        <v>1.1054166666666667</v>
      </c>
      <c r="H27" s="12">
        <f t="shared" si="2"/>
        <v>77.959000000000003</v>
      </c>
      <c r="I27" s="17" cm="1">
        <f t="array" ref="I27">IF(MONTH(A27) = LOOKUP(YEAR(A27), YEAR('CNY Dates'!A$2:A$34), 'CNY Dates'!B$2:B$34), LOOKUP(YEAR(A27), YEAR('Hongbao demand'!B$4:B$35), 'Hongbao demand'!F$4:F$35)  - O26, 0)</f>
        <v>0</v>
      </c>
      <c r="J27" s="18">
        <f t="shared" si="3"/>
        <v>-4.140616285784005</v>
      </c>
      <c r="K27" s="19">
        <v>8248.5333333333292</v>
      </c>
      <c r="L27" s="12">
        <v>0.63180999999999998</v>
      </c>
      <c r="M27" s="14">
        <v>4.333333333333334E-3</v>
      </c>
      <c r="N27" s="19">
        <f t="shared" ca="1" si="4"/>
        <v>24.666199619117336</v>
      </c>
      <c r="O27" s="12">
        <f t="shared" ca="1" si="6"/>
        <v>53.45437888532328</v>
      </c>
      <c r="P27" s="18">
        <f t="shared" ca="1" si="5"/>
        <v>0</v>
      </c>
      <c r="Q27" s="19">
        <f t="shared" ca="1" si="7"/>
        <v>0</v>
      </c>
      <c r="R27" s="12">
        <f t="shared" ca="1" si="7"/>
        <v>0</v>
      </c>
      <c r="S27" s="12">
        <f t="shared" ca="1" si="8"/>
        <v>5.3454378885323282</v>
      </c>
      <c r="T27" s="83">
        <f t="shared" ca="1" si="9"/>
        <v>5.3454378885323282</v>
      </c>
      <c r="W27" s="1"/>
      <c r="Z27" s="6"/>
    </row>
    <row r="28" spans="1:26" x14ac:dyDescent="0.3">
      <c r="A28" s="11">
        <v>33147</v>
      </c>
      <c r="B28" s="94">
        <v>4820.2700000000004</v>
      </c>
      <c r="C28" s="97">
        <v>4694.83</v>
      </c>
      <c r="D28" s="109">
        <v>125.44</v>
      </c>
      <c r="E28" s="109">
        <v>73.98</v>
      </c>
      <c r="F28" s="16">
        <f t="shared" ca="1" si="0"/>
        <v>82.763253704747243</v>
      </c>
      <c r="G28" s="12">
        <f t="shared" si="1"/>
        <v>0.82366666666666666</v>
      </c>
      <c r="H28" s="12">
        <f t="shared" si="2"/>
        <v>78.319500000000005</v>
      </c>
      <c r="I28" s="17" cm="1">
        <f t="array" ref="I28">IF(MONTH(A28) = LOOKUP(YEAR(A28), YEAR('CNY Dates'!A$2:A$34), 'CNY Dates'!B$2:B$34), LOOKUP(YEAR(A28), YEAR('Hongbao demand'!B$4:B$35), 'Hongbao demand'!F$4:F$35)  - O27, 0)</f>
        <v>0</v>
      </c>
      <c r="J28" s="18">
        <f t="shared" si="3"/>
        <v>3.6200870380805732</v>
      </c>
      <c r="K28" s="19">
        <v>8391.1333333333296</v>
      </c>
      <c r="L28" s="12">
        <v>0.63682000000000005</v>
      </c>
      <c r="M28" s="14">
        <v>4.333333333333334E-3</v>
      </c>
      <c r="N28" s="19">
        <f t="shared" ca="1" si="4"/>
        <v>-8.7832537047472385</v>
      </c>
      <c r="O28" s="12">
        <f t="shared" ca="1" si="6"/>
        <v>53.008925727945581</v>
      </c>
      <c r="P28" s="18">
        <f t="shared" ca="1" si="5"/>
        <v>0</v>
      </c>
      <c r="Q28" s="19">
        <f t="shared" ca="1" si="7"/>
        <v>0</v>
      </c>
      <c r="R28" s="12">
        <f t="shared" ca="1" si="7"/>
        <v>0</v>
      </c>
      <c r="S28" s="12">
        <f t="shared" ca="1" si="8"/>
        <v>5.3008925727945586</v>
      </c>
      <c r="T28" s="83">
        <f t="shared" ca="1" si="9"/>
        <v>5.3008925727945586</v>
      </c>
      <c r="W28" s="1"/>
      <c r="Z28" s="6"/>
    </row>
    <row r="29" spans="1:26" x14ac:dyDescent="0.3">
      <c r="A29" s="11">
        <v>33178</v>
      </c>
      <c r="B29" s="94">
        <v>4858.63</v>
      </c>
      <c r="C29" s="97">
        <v>4541.04</v>
      </c>
      <c r="D29" s="109">
        <v>317.58999999999997</v>
      </c>
      <c r="E29" s="109">
        <v>0</v>
      </c>
      <c r="F29" s="16">
        <f t="shared" ca="1" si="0"/>
        <v>83.960274965412196</v>
      </c>
      <c r="G29" s="12">
        <f t="shared" si="1"/>
        <v>1.0453333333333332</v>
      </c>
      <c r="H29" s="12">
        <f t="shared" si="2"/>
        <v>78.247166666666672</v>
      </c>
      <c r="I29" s="17" cm="1">
        <f t="array" ref="I29">IF(MONTH(A29) = LOOKUP(YEAR(A29), YEAR('CNY Dates'!A$2:A$34), 'CNY Dates'!B$2:B$34), LOOKUP(YEAR(A29), YEAR('Hongbao demand'!B$4:B$35), 'Hongbao demand'!F$4:F$35)  - O28, 0)</f>
        <v>0</v>
      </c>
      <c r="J29" s="18">
        <f t="shared" si="3"/>
        <v>4.6677749654121916</v>
      </c>
      <c r="K29" s="19">
        <v>8391.1333333333296</v>
      </c>
      <c r="L29" s="12">
        <v>0.63666</v>
      </c>
      <c r="M29" s="14">
        <v>4.2833333333333326E-3</v>
      </c>
      <c r="N29" s="19">
        <f t="shared" ca="1" si="4"/>
        <v>-83.960274965412196</v>
      </c>
      <c r="O29" s="12">
        <f t="shared" ca="1" si="6"/>
        <v>52.567184680212698</v>
      </c>
      <c r="P29" s="18">
        <f t="shared" ca="1" si="5"/>
        <v>0</v>
      </c>
      <c r="Q29" s="19">
        <f t="shared" ca="1" si="7"/>
        <v>0</v>
      </c>
      <c r="R29" s="12">
        <f t="shared" ca="1" si="7"/>
        <v>0</v>
      </c>
      <c r="S29" s="12">
        <f t="shared" ca="1" si="8"/>
        <v>5.25671846802127</v>
      </c>
      <c r="T29" s="83">
        <f t="shared" ca="1" si="9"/>
        <v>5.25671846802127</v>
      </c>
      <c r="W29" s="1"/>
      <c r="Z29" s="6"/>
    </row>
    <row r="30" spans="1:26" x14ac:dyDescent="0.3">
      <c r="A30" s="11">
        <v>33208</v>
      </c>
      <c r="B30" s="94">
        <v>5055.6099999999997</v>
      </c>
      <c r="C30" s="97">
        <v>4975.95</v>
      </c>
      <c r="D30" s="109">
        <v>79.66</v>
      </c>
      <c r="E30" s="109">
        <v>510.59</v>
      </c>
      <c r="F30" s="16">
        <f t="shared" ca="1" si="0"/>
        <v>83.471636499574913</v>
      </c>
      <c r="G30" s="12">
        <f t="shared" si="1"/>
        <v>2.6465833333333331</v>
      </c>
      <c r="H30" s="12">
        <f t="shared" si="2"/>
        <v>75.683999999999997</v>
      </c>
      <c r="I30" s="17" cm="1">
        <f t="array" ref="I30">IF(MONTH(A30) = LOOKUP(YEAR(A30), YEAR('CNY Dates'!A$2:A$34), 'CNY Dates'!B$2:B$34), LOOKUP(YEAR(A30), YEAR('Hongbao demand'!B$4:B$35), 'Hongbao demand'!F$4:F$35)  - O29, 0)</f>
        <v>0</v>
      </c>
      <c r="J30" s="18">
        <f t="shared" si="3"/>
        <v>5.1410531662415835</v>
      </c>
      <c r="K30" s="19">
        <v>8391.1333333333296</v>
      </c>
      <c r="L30" s="12">
        <v>0.63968999999999998</v>
      </c>
      <c r="M30" s="14">
        <v>4.208333333333333E-3</v>
      </c>
      <c r="N30" s="19">
        <f t="shared" ca="1" si="4"/>
        <v>427.11836350042506</v>
      </c>
      <c r="O30" s="12">
        <f t="shared" ca="1" si="6"/>
        <v>52.129124807877595</v>
      </c>
      <c r="P30" s="18">
        <f t="shared" ca="1" si="5"/>
        <v>9.1833635004250027</v>
      </c>
      <c r="Q30" s="19">
        <f t="shared" ca="1" si="7"/>
        <v>1.3775045250637503</v>
      </c>
      <c r="R30" s="12">
        <f t="shared" ca="1" si="7"/>
        <v>1.8366727000850007</v>
      </c>
      <c r="S30" s="12">
        <f t="shared" ca="1" si="8"/>
        <v>5.21291248078776</v>
      </c>
      <c r="T30" s="83">
        <f t="shared" ca="1" si="9"/>
        <v>8.4270897059365115</v>
      </c>
      <c r="W30" s="1"/>
      <c r="Z30" s="6"/>
    </row>
    <row r="31" spans="1:26" x14ac:dyDescent="0.3">
      <c r="A31" s="11">
        <v>33239</v>
      </c>
      <c r="B31" s="94">
        <v>5273.17</v>
      </c>
      <c r="C31" s="97">
        <v>5027.47</v>
      </c>
      <c r="D31" s="109">
        <v>245.7</v>
      </c>
      <c r="E31" s="109">
        <v>134.44999999999999</v>
      </c>
      <c r="F31" s="16">
        <f t="shared" ca="1" si="0"/>
        <v>123.57655304321139</v>
      </c>
      <c r="G31" s="12">
        <f t="shared" si="1"/>
        <v>0.66383333333333328</v>
      </c>
      <c r="H31" s="12">
        <f t="shared" si="2"/>
        <v>82.93249999999999</v>
      </c>
      <c r="I31" s="17" cm="1">
        <f t="array" ref="I31">IF(MONTH(A31) = LOOKUP(YEAR(A31), YEAR('CNY Dates'!A$2:A$34), 'CNY Dates'!B$2:B$34), LOOKUP(YEAR(A31), YEAR('Hongbao demand'!B$4:B$35), 'Hongbao demand'!F$4:F$35)  - O30, 0)</f>
        <v>0</v>
      </c>
      <c r="J31" s="18">
        <f t="shared" si="3"/>
        <v>39.980219709878078</v>
      </c>
      <c r="K31" s="19">
        <v>8344.1666666666697</v>
      </c>
      <c r="L31" s="12">
        <v>0.64036000000000004</v>
      </c>
      <c r="M31" s="14">
        <v>3.7916666666666667E-3</v>
      </c>
      <c r="N31" s="19">
        <f t="shared" ca="1" si="4"/>
        <v>10.873446956788598</v>
      </c>
      <c r="O31" s="12">
        <f t="shared" ca="1" si="6"/>
        <v>51.694715434478617</v>
      </c>
      <c r="P31" s="18">
        <f t="shared" ca="1" si="5"/>
        <v>0</v>
      </c>
      <c r="Q31" s="19">
        <f t="shared" ca="1" si="7"/>
        <v>0</v>
      </c>
      <c r="R31" s="12">
        <f t="shared" ca="1" si="7"/>
        <v>0</v>
      </c>
      <c r="S31" s="12">
        <f t="shared" ca="1" si="8"/>
        <v>5.1694715434478624</v>
      </c>
      <c r="T31" s="83">
        <f t="shared" ca="1" si="9"/>
        <v>5.1694715434478624</v>
      </c>
      <c r="W31" s="1"/>
      <c r="Z31" s="6"/>
    </row>
    <row r="32" spans="1:26" x14ac:dyDescent="0.3">
      <c r="A32" s="11">
        <v>33270</v>
      </c>
      <c r="B32" s="94">
        <v>5250.49</v>
      </c>
      <c r="C32" s="97">
        <v>5090.3999999999996</v>
      </c>
      <c r="D32" s="109">
        <v>160.09</v>
      </c>
      <c r="E32" s="109">
        <v>146.72</v>
      </c>
      <c r="F32" s="16">
        <f t="shared" ca="1" si="0"/>
        <v>37.038898079636141</v>
      </c>
      <c r="G32" s="12">
        <f t="shared" si="1"/>
        <v>2.0474999999999999</v>
      </c>
      <c r="H32" s="12">
        <f t="shared" si="2"/>
        <v>83.791166666666669</v>
      </c>
      <c r="I32" s="17" cm="1">
        <f t="array" aca="1" ref="I32" ca="1">IF(MONTH(A32) = LOOKUP(YEAR(A32), YEAR('CNY Dates'!A$2:A$34), 'CNY Dates'!B$2:B$34), LOOKUP(YEAR(A32), YEAR('Hongbao demand'!B$4:B$35), 'Hongbao demand'!F$4:F$35)  - O31, 0)</f>
        <v>-45.364954314161025</v>
      </c>
      <c r="J32" s="18">
        <f t="shared" si="3"/>
        <v>-3.4348142728695006</v>
      </c>
      <c r="K32" s="19">
        <v>8344.1666666666697</v>
      </c>
      <c r="L32" s="12">
        <v>0.64559</v>
      </c>
      <c r="M32" s="14">
        <v>3.7916666666666667E-3</v>
      </c>
      <c r="N32" s="19">
        <f t="shared" ca="1" si="4"/>
        <v>109.68110192036386</v>
      </c>
      <c r="O32" s="12">
        <f t="shared" ca="1" si="6"/>
        <v>21.936220384072772</v>
      </c>
      <c r="P32" s="18">
        <f t="shared" ca="1" si="5"/>
        <v>0</v>
      </c>
      <c r="Q32" s="19">
        <f t="shared" ca="1" si="7"/>
        <v>0</v>
      </c>
      <c r="R32" s="12">
        <f t="shared" ca="1" si="7"/>
        <v>0</v>
      </c>
      <c r="S32" s="12">
        <f t="shared" ca="1" si="8"/>
        <v>2.1936220384072773</v>
      </c>
      <c r="T32" s="83">
        <f t="shared" ca="1" si="9"/>
        <v>2.1936220384072773</v>
      </c>
      <c r="W32" s="1"/>
      <c r="Z32" s="6"/>
    </row>
    <row r="33" spans="1:26" x14ac:dyDescent="0.3">
      <c r="A33" s="11">
        <v>33298</v>
      </c>
      <c r="B33" s="94">
        <v>5165.3</v>
      </c>
      <c r="C33" s="97">
        <v>5027.12</v>
      </c>
      <c r="D33" s="109">
        <v>138.18</v>
      </c>
      <c r="E33" s="109">
        <v>21.56</v>
      </c>
      <c r="F33" s="16">
        <f t="shared" ca="1" si="0"/>
        <v>90.980864983682778</v>
      </c>
      <c r="G33" s="12">
        <f t="shared" si="1"/>
        <v>1.3340833333333333</v>
      </c>
      <c r="H33" s="12">
        <f t="shared" si="2"/>
        <v>84.839999999999989</v>
      </c>
      <c r="I33" s="17" cm="1">
        <f t="array" ref="I33">IF(MONTH(A33) = LOOKUP(YEAR(A33), YEAR('CNY Dates'!A$2:A$34), 'CNY Dates'!B$2:B$34), LOOKUP(YEAR(A33), YEAR('Hongbao demand'!B$4:B$35), 'Hongbao demand'!F$4:F$35)  - O32, 0)</f>
        <v>0</v>
      </c>
      <c r="J33" s="18">
        <f t="shared" si="3"/>
        <v>4.8067816503494463</v>
      </c>
      <c r="K33" s="19">
        <v>8344.1666666666697</v>
      </c>
      <c r="L33" s="12">
        <v>0.64249000000000001</v>
      </c>
      <c r="M33" s="14">
        <v>3.7666666666666664E-3</v>
      </c>
      <c r="N33" s="19">
        <f t="shared" ca="1" si="4"/>
        <v>-69.420864983682776</v>
      </c>
      <c r="O33" s="12">
        <f t="shared" ca="1" si="6"/>
        <v>21.753418547538832</v>
      </c>
      <c r="P33" s="18">
        <f t="shared" ca="1" si="5"/>
        <v>0</v>
      </c>
      <c r="Q33" s="19">
        <f t="shared" ca="1" si="7"/>
        <v>0</v>
      </c>
      <c r="R33" s="12">
        <f t="shared" ca="1" si="7"/>
        <v>0</v>
      </c>
      <c r="S33" s="12">
        <f t="shared" ca="1" si="8"/>
        <v>2.1753418547538832</v>
      </c>
      <c r="T33" s="83">
        <f t="shared" ca="1" si="9"/>
        <v>2.1753418547538832</v>
      </c>
      <c r="W33" s="1"/>
      <c r="Z33" s="6"/>
    </row>
    <row r="34" spans="1:26" x14ac:dyDescent="0.3">
      <c r="A34" s="11">
        <v>33329</v>
      </c>
      <c r="B34" s="94">
        <v>5119.38</v>
      </c>
      <c r="C34" s="97">
        <v>4991.21</v>
      </c>
      <c r="D34" s="109">
        <v>128.16999999999999</v>
      </c>
      <c r="E34" s="109">
        <v>47.88</v>
      </c>
      <c r="F34" s="16">
        <f t="shared" ca="1" si="0"/>
        <v>92.67551660278184</v>
      </c>
      <c r="G34" s="12">
        <f t="shared" si="1"/>
        <v>1.1515</v>
      </c>
      <c r="H34" s="12">
        <f t="shared" si="2"/>
        <v>83.785333333333327</v>
      </c>
      <c r="I34" s="17" cm="1">
        <f t="array" ref="I34">IF(MONTH(A34) = LOOKUP(YEAR(A34), YEAR('CNY Dates'!A$2:A$34), 'CNY Dates'!B$2:B$34), LOOKUP(YEAR(A34), YEAR('Hongbao demand'!B$4:B$35), 'Hongbao demand'!F$4:F$35)  - O33, 0)</f>
        <v>0</v>
      </c>
      <c r="J34" s="18">
        <f t="shared" si="3"/>
        <v>7.7386832694485079</v>
      </c>
      <c r="K34" s="19">
        <v>8541.3333333333303</v>
      </c>
      <c r="L34" s="12">
        <v>0.64583000000000002</v>
      </c>
      <c r="M34" s="14">
        <v>3.7666666666666664E-3</v>
      </c>
      <c r="N34" s="19">
        <f t="shared" ca="1" si="4"/>
        <v>-44.795516602781838</v>
      </c>
      <c r="O34" s="12">
        <f t="shared" ca="1" si="6"/>
        <v>21.572140059642674</v>
      </c>
      <c r="P34" s="18">
        <f t="shared" ca="1" si="5"/>
        <v>0</v>
      </c>
      <c r="Q34" s="19">
        <f t="shared" ca="1" si="7"/>
        <v>0</v>
      </c>
      <c r="R34" s="12">
        <f t="shared" ca="1" si="7"/>
        <v>0</v>
      </c>
      <c r="S34" s="12">
        <f t="shared" ca="1" si="8"/>
        <v>2.1572140059642675</v>
      </c>
      <c r="T34" s="83">
        <f t="shared" ca="1" si="9"/>
        <v>2.1572140059642675</v>
      </c>
      <c r="W34" s="1"/>
      <c r="Z34" s="6"/>
    </row>
    <row r="35" spans="1:26" x14ac:dyDescent="0.3">
      <c r="A35" s="11">
        <v>33359</v>
      </c>
      <c r="B35" s="94">
        <v>5118.54</v>
      </c>
      <c r="C35" s="97">
        <v>4999.3999999999996</v>
      </c>
      <c r="D35" s="109">
        <v>119.14</v>
      </c>
      <c r="E35" s="109">
        <v>91.38</v>
      </c>
      <c r="F35" s="16">
        <f t="shared" ca="1" si="0"/>
        <v>81.92264582724674</v>
      </c>
      <c r="G35" s="12">
        <f t="shared" si="1"/>
        <v>1.0680833333333333</v>
      </c>
      <c r="H35" s="12">
        <f t="shared" si="2"/>
        <v>83.18683333333334</v>
      </c>
      <c r="I35" s="17" cm="1">
        <f t="array" ref="I35">IF(MONTH(A35) = LOOKUP(YEAR(A35), YEAR('CNY Dates'!A$2:A$34), 'CNY Dates'!B$2:B$34), LOOKUP(YEAR(A35), YEAR('Hongbao demand'!B$4:B$35), 'Hongbao demand'!F$4:F$35)  - O34, 0)</f>
        <v>0</v>
      </c>
      <c r="J35" s="18">
        <f t="shared" si="3"/>
        <v>-2.3322708394199276</v>
      </c>
      <c r="K35" s="19">
        <v>8541.3333333333303</v>
      </c>
      <c r="L35" s="12">
        <v>0.64792000000000005</v>
      </c>
      <c r="M35" s="14">
        <v>3.7750000000000001E-3</v>
      </c>
      <c r="N35" s="19">
        <f t="shared" ca="1" si="4"/>
        <v>9.4573541727532557</v>
      </c>
      <c r="O35" s="12">
        <f t="shared" ca="1" si="6"/>
        <v>21.39237222581232</v>
      </c>
      <c r="P35" s="18">
        <f t="shared" ca="1" si="5"/>
        <v>0</v>
      </c>
      <c r="Q35" s="19">
        <f t="shared" ca="1" si="7"/>
        <v>0</v>
      </c>
      <c r="R35" s="12">
        <f t="shared" ca="1" si="7"/>
        <v>0</v>
      </c>
      <c r="S35" s="12">
        <f t="shared" ca="1" si="8"/>
        <v>2.1392372225812322</v>
      </c>
      <c r="T35" s="83">
        <f t="shared" ca="1" si="9"/>
        <v>2.1392372225812322</v>
      </c>
      <c r="W35" s="1"/>
      <c r="Z35" s="6"/>
    </row>
    <row r="36" spans="1:26" x14ac:dyDescent="0.3">
      <c r="A36" s="11">
        <v>33390</v>
      </c>
      <c r="B36" s="94">
        <v>5111.96</v>
      </c>
      <c r="C36" s="97">
        <v>4981.4799999999996</v>
      </c>
      <c r="D36" s="109">
        <v>130.47999999999999</v>
      </c>
      <c r="E36" s="109">
        <v>65.400000000000006</v>
      </c>
      <c r="F36" s="16">
        <f t="shared" ca="1" si="0"/>
        <v>51.163388431723952</v>
      </c>
      <c r="G36" s="12">
        <f t="shared" si="1"/>
        <v>0.99283333333333335</v>
      </c>
      <c r="H36" s="12">
        <f t="shared" si="2"/>
        <v>83.323333333333323</v>
      </c>
      <c r="I36" s="17" cm="1">
        <f t="array" ref="I36">IF(MONTH(A36) = LOOKUP(YEAR(A36), YEAR('CNY Dates'!A$2:A$34), 'CNY Dates'!B$2:B$34), LOOKUP(YEAR(A36), YEAR('Hongbao demand'!B$4:B$35), 'Hongbao demand'!F$4:F$35)  - O35, 0)</f>
        <v>0</v>
      </c>
      <c r="J36" s="18">
        <f t="shared" si="3"/>
        <v>-33.152778234942708</v>
      </c>
      <c r="K36" s="19">
        <v>8541.3333333333303</v>
      </c>
      <c r="L36" s="12">
        <v>0.64942999999999995</v>
      </c>
      <c r="M36" s="14">
        <v>4.0749999999999996E-3</v>
      </c>
      <c r="N36" s="19">
        <f t="shared" ca="1" si="4"/>
        <v>14.236611568276054</v>
      </c>
      <c r="O36" s="12">
        <f t="shared" ca="1" si="6"/>
        <v>21.214102457263884</v>
      </c>
      <c r="P36" s="18">
        <f t="shared" ca="1" si="5"/>
        <v>0</v>
      </c>
      <c r="Q36" s="19">
        <f t="shared" ca="1" si="7"/>
        <v>0</v>
      </c>
      <c r="R36" s="12">
        <f t="shared" ca="1" si="7"/>
        <v>0</v>
      </c>
      <c r="S36" s="12">
        <f t="shared" ca="1" si="8"/>
        <v>2.1214102457263886</v>
      </c>
      <c r="T36" s="83">
        <f t="shared" ca="1" si="9"/>
        <v>2.1214102457263886</v>
      </c>
      <c r="W36" s="1"/>
      <c r="Z36" s="6"/>
    </row>
    <row r="37" spans="1:26" x14ac:dyDescent="0.3">
      <c r="A37" s="11">
        <v>33420</v>
      </c>
      <c r="B37" s="94">
        <v>5035.7299999999996</v>
      </c>
      <c r="C37" s="97">
        <v>4894.68</v>
      </c>
      <c r="D37" s="109">
        <v>141.05000000000001</v>
      </c>
      <c r="E37" s="109">
        <v>0</v>
      </c>
      <c r="F37" s="16">
        <f t="shared" ca="1" si="0"/>
        <v>92.328371090289679</v>
      </c>
      <c r="G37" s="12">
        <f t="shared" si="1"/>
        <v>1.0873333333333333</v>
      </c>
      <c r="H37" s="12">
        <f t="shared" si="2"/>
        <v>83.024666666666661</v>
      </c>
      <c r="I37" s="17" cm="1">
        <f t="array" ref="I37">IF(MONTH(A37) = LOOKUP(YEAR(A37), YEAR('CNY Dates'!A$2:A$34), 'CNY Dates'!B$2:B$34), LOOKUP(YEAR(A37), YEAR('Hongbao demand'!B$4:B$35), 'Hongbao demand'!F$4:F$35)  - O36, 0)</f>
        <v>0</v>
      </c>
      <c r="J37" s="18">
        <f t="shared" si="3"/>
        <v>8.2163710902896785</v>
      </c>
      <c r="K37" s="19">
        <v>8848.5</v>
      </c>
      <c r="L37" s="12">
        <v>0.65028999999999992</v>
      </c>
      <c r="M37" s="14">
        <v>4.1333333333333335E-3</v>
      </c>
      <c r="N37" s="19">
        <f t="shared" ca="1" si="4"/>
        <v>-92.328371090289679</v>
      </c>
      <c r="O37" s="12">
        <f t="shared" ca="1" si="6"/>
        <v>21.037318270120018</v>
      </c>
      <c r="P37" s="18">
        <f t="shared" ca="1" si="5"/>
        <v>-0.22517109028967042</v>
      </c>
      <c r="Q37" s="19">
        <f t="shared" ca="1" si="7"/>
        <v>0</v>
      </c>
      <c r="R37" s="12">
        <f t="shared" ca="1" si="7"/>
        <v>0</v>
      </c>
      <c r="S37" s="12">
        <f t="shared" ca="1" si="8"/>
        <v>2.1037318270120018</v>
      </c>
      <c r="T37" s="83">
        <f t="shared" ca="1" si="9"/>
        <v>2.1037318270120018</v>
      </c>
      <c r="W37" s="1"/>
      <c r="Z37" s="6"/>
    </row>
    <row r="38" spans="1:26" x14ac:dyDescent="0.3">
      <c r="A38" s="11">
        <v>33451</v>
      </c>
      <c r="B38" s="94">
        <v>5048.96</v>
      </c>
      <c r="C38" s="97">
        <v>4945.99</v>
      </c>
      <c r="D38" s="109">
        <v>102.97</v>
      </c>
      <c r="E38" s="109">
        <v>132.88999999999999</v>
      </c>
      <c r="F38" s="16">
        <f t="shared" ca="1" si="0"/>
        <v>84.482888534949836</v>
      </c>
      <c r="G38" s="12">
        <f t="shared" si="1"/>
        <v>1.1754166666666668</v>
      </c>
      <c r="H38" s="12">
        <f t="shared" si="2"/>
        <v>81.578000000000003</v>
      </c>
      <c r="I38" s="17" cm="1">
        <f t="array" ref="I38">IF(MONTH(A38) = LOOKUP(YEAR(A38), YEAR('CNY Dates'!A$2:A$34), 'CNY Dates'!B$2:B$34), LOOKUP(YEAR(A38), YEAR('Hongbao demand'!B$4:B$35), 'Hongbao demand'!F$4:F$35)  - O37, 0)</f>
        <v>0</v>
      </c>
      <c r="J38" s="18">
        <f t="shared" si="3"/>
        <v>1.5043007779934998</v>
      </c>
      <c r="K38" s="19">
        <v>8848.5</v>
      </c>
      <c r="L38" s="12">
        <v>0.65189999999999992</v>
      </c>
      <c r="M38" s="14">
        <v>4.1083333333333328E-3</v>
      </c>
      <c r="N38" s="19">
        <f t="shared" ca="1" si="4"/>
        <v>48.40711146505015</v>
      </c>
      <c r="O38" s="12">
        <f t="shared" ca="1" si="6"/>
        <v>20.862007284535686</v>
      </c>
      <c r="P38" s="18">
        <f t="shared" ca="1" si="5"/>
        <v>0</v>
      </c>
      <c r="Q38" s="19">
        <f t="shared" ca="1" si="7"/>
        <v>0</v>
      </c>
      <c r="R38" s="12">
        <f t="shared" ca="1" si="7"/>
        <v>0</v>
      </c>
      <c r="S38" s="12">
        <f t="shared" ca="1" si="8"/>
        <v>2.0862007284535689</v>
      </c>
      <c r="T38" s="83">
        <f t="shared" ca="1" si="9"/>
        <v>2.0862007284535689</v>
      </c>
      <c r="W38" s="1"/>
      <c r="Z38" s="6"/>
    </row>
    <row r="39" spans="1:26" x14ac:dyDescent="0.3">
      <c r="A39" s="11">
        <v>33482</v>
      </c>
      <c r="B39" s="94">
        <v>5025.6499999999996</v>
      </c>
      <c r="C39" s="97">
        <v>4918.62</v>
      </c>
      <c r="D39" s="109">
        <v>107.03</v>
      </c>
      <c r="E39" s="109">
        <v>55.06</v>
      </c>
      <c r="F39" s="16">
        <f t="shared" ca="1" si="0"/>
        <v>87.809213474302567</v>
      </c>
      <c r="G39" s="12">
        <f t="shared" si="1"/>
        <v>0.85808333333333331</v>
      </c>
      <c r="H39" s="12">
        <f t="shared" si="2"/>
        <v>82.433166666666665</v>
      </c>
      <c r="I39" s="17" cm="1">
        <f t="array" ref="I39">IF(MONTH(A39) = LOOKUP(YEAR(A39), YEAR('CNY Dates'!A$2:A$34), 'CNY Dates'!B$2:B$34), LOOKUP(YEAR(A39), YEAR('Hongbao demand'!B$4:B$35), 'Hongbao demand'!F$4:F$35)  - O38, 0)</f>
        <v>0</v>
      </c>
      <c r="J39" s="18">
        <f t="shared" si="3"/>
        <v>4.517963474302567</v>
      </c>
      <c r="K39" s="19">
        <v>8848.5</v>
      </c>
      <c r="L39" s="12">
        <v>0.65153000000000005</v>
      </c>
      <c r="M39" s="14">
        <v>4.0666666666666663E-3</v>
      </c>
      <c r="N39" s="19">
        <f t="shared" ca="1" si="4"/>
        <v>-32.749213474302564</v>
      </c>
      <c r="O39" s="12">
        <f t="shared" ca="1" si="6"/>
        <v>20.688157223831222</v>
      </c>
      <c r="P39" s="18">
        <f t="shared" ca="1" si="5"/>
        <v>0</v>
      </c>
      <c r="Q39" s="19">
        <f t="shared" ca="1" si="7"/>
        <v>0</v>
      </c>
      <c r="R39" s="12">
        <f t="shared" ca="1" si="7"/>
        <v>0</v>
      </c>
      <c r="S39" s="12">
        <f t="shared" ca="1" si="8"/>
        <v>2.0688157223831225</v>
      </c>
      <c r="T39" s="83">
        <f t="shared" ca="1" si="9"/>
        <v>2.0688157223831225</v>
      </c>
      <c r="W39" s="1"/>
      <c r="Z39" s="6"/>
    </row>
    <row r="40" spans="1:26" x14ac:dyDescent="0.3">
      <c r="A40" s="11">
        <v>33512</v>
      </c>
      <c r="B40" s="94">
        <v>5045.95</v>
      </c>
      <c r="C40" s="97">
        <v>4931.92</v>
      </c>
      <c r="D40" s="109">
        <v>114.03</v>
      </c>
      <c r="E40" s="109">
        <v>95.28</v>
      </c>
      <c r="F40" s="16">
        <f t="shared" ca="1" si="0"/>
        <v>102.07768800715895</v>
      </c>
      <c r="G40" s="12">
        <f t="shared" si="1"/>
        <v>0.89191666666666669</v>
      </c>
      <c r="H40" s="12">
        <f t="shared" si="2"/>
        <v>81.977000000000004</v>
      </c>
      <c r="I40" s="17" cm="1">
        <f t="array" ref="I40">IF(MONTH(A40) = LOOKUP(YEAR(A40), YEAR('CNY Dates'!A$2:A$34), 'CNY Dates'!B$2:B$34), LOOKUP(YEAR(A40), YEAR('Hongbao demand'!B$4:B$35), 'Hongbao demand'!F$4:F$35)  - O39, 0)</f>
        <v>0</v>
      </c>
      <c r="J40" s="18">
        <f t="shared" si="3"/>
        <v>19.208771340492294</v>
      </c>
      <c r="K40" s="19">
        <v>8938.2000000000007</v>
      </c>
      <c r="L40" s="12">
        <v>0.65182000000000007</v>
      </c>
      <c r="M40" s="14">
        <v>3.9250000000000005E-3</v>
      </c>
      <c r="N40" s="19">
        <f t="shared" ca="1" si="4"/>
        <v>-6.7976880071589534</v>
      </c>
      <c r="O40" s="12">
        <f t="shared" ca="1" si="6"/>
        <v>20.515755913632628</v>
      </c>
      <c r="P40" s="18">
        <f t="shared" ca="1" si="5"/>
        <v>0</v>
      </c>
      <c r="Q40" s="19">
        <f t="shared" ca="1" si="7"/>
        <v>0</v>
      </c>
      <c r="R40" s="12">
        <f t="shared" ca="1" si="7"/>
        <v>0</v>
      </c>
      <c r="S40" s="12">
        <f t="shared" ca="1" si="8"/>
        <v>2.051575591363263</v>
      </c>
      <c r="T40" s="83">
        <f t="shared" ca="1" si="9"/>
        <v>2.051575591363263</v>
      </c>
      <c r="W40" s="1"/>
      <c r="Z40" s="6"/>
    </row>
    <row r="41" spans="1:26" x14ac:dyDescent="0.3">
      <c r="A41" s="11">
        <v>33543</v>
      </c>
      <c r="B41" s="94">
        <v>5140.66</v>
      </c>
      <c r="C41" s="97">
        <v>5016.83</v>
      </c>
      <c r="D41" s="109">
        <v>123.83</v>
      </c>
      <c r="E41" s="109">
        <v>167.11</v>
      </c>
      <c r="F41" s="16">
        <f t="shared" ca="1" si="0"/>
        <v>85.220366680365544</v>
      </c>
      <c r="G41" s="12">
        <f t="shared" si="1"/>
        <v>0.95025000000000004</v>
      </c>
      <c r="H41" s="12">
        <f t="shared" si="2"/>
        <v>82.198666666666668</v>
      </c>
      <c r="I41" s="17" cm="1">
        <f t="array" ref="I41">IF(MONTH(A41) = LOOKUP(YEAR(A41), YEAR('CNY Dates'!A$2:A$34), 'CNY Dates'!B$2:B$34), LOOKUP(YEAR(A41), YEAR('Hongbao demand'!B$4:B$35), 'Hongbao demand'!F$4:F$35)  - O40, 0)</f>
        <v>0</v>
      </c>
      <c r="J41" s="18">
        <f t="shared" si="3"/>
        <v>2.0714500136988856</v>
      </c>
      <c r="K41" s="19">
        <v>8938.2000000000007</v>
      </c>
      <c r="L41" s="12">
        <v>0.65286</v>
      </c>
      <c r="M41" s="14">
        <v>3.8999999999999994E-3</v>
      </c>
      <c r="N41" s="19">
        <f t="shared" ca="1" si="4"/>
        <v>81.88963331963447</v>
      </c>
      <c r="O41" s="12">
        <f t="shared" ca="1" si="6"/>
        <v>20.34479128101902</v>
      </c>
      <c r="P41" s="18">
        <f t="shared" ca="1" si="5"/>
        <v>0</v>
      </c>
      <c r="Q41" s="19">
        <f t="shared" ca="1" si="7"/>
        <v>0</v>
      </c>
      <c r="R41" s="12">
        <f t="shared" ca="1" si="7"/>
        <v>0</v>
      </c>
      <c r="S41" s="12">
        <f t="shared" ca="1" si="8"/>
        <v>2.0344791281019021</v>
      </c>
      <c r="T41" s="83">
        <f t="shared" ca="1" si="9"/>
        <v>2.0344791281019021</v>
      </c>
      <c r="W41" s="1"/>
      <c r="Z41" s="6"/>
    </row>
    <row r="42" spans="1:26" x14ac:dyDescent="0.3">
      <c r="A42" s="11">
        <v>33573</v>
      </c>
      <c r="B42" s="94">
        <v>5351.99</v>
      </c>
      <c r="C42" s="97">
        <v>5247.97</v>
      </c>
      <c r="D42" s="109">
        <v>104.02</v>
      </c>
      <c r="E42" s="109">
        <v>314.75</v>
      </c>
      <c r="F42" s="16">
        <f t="shared" ca="1" si="0"/>
        <v>171.46807242220723</v>
      </c>
      <c r="G42" s="12">
        <f t="shared" si="1"/>
        <v>1.0319166666666666</v>
      </c>
      <c r="H42" s="12">
        <f t="shared" si="2"/>
        <v>83.613833333333332</v>
      </c>
      <c r="I42" s="17" cm="1">
        <f t="array" ref="I42">IF(MONTH(A42) = LOOKUP(YEAR(A42), YEAR('CNY Dates'!A$2:A$34), 'CNY Dates'!B$2:B$34), LOOKUP(YEAR(A42), YEAR('Hongbao demand'!B$4:B$35), 'Hongbao demand'!F$4:F$35)  - O41, 0)</f>
        <v>0</v>
      </c>
      <c r="J42" s="18">
        <f t="shared" si="3"/>
        <v>86.822322422207222</v>
      </c>
      <c r="K42" s="19">
        <v>8938.2000000000007</v>
      </c>
      <c r="L42" s="12">
        <v>0.65808000000000011</v>
      </c>
      <c r="M42" s="14">
        <v>3.1999999999999997E-3</v>
      </c>
      <c r="N42" s="19">
        <f t="shared" ca="1" si="4"/>
        <v>143.28192757779277</v>
      </c>
      <c r="O42" s="12">
        <f t="shared" ca="1" si="6"/>
        <v>20.175251353677194</v>
      </c>
      <c r="P42" s="18">
        <f t="shared" ca="1" si="5"/>
        <v>0</v>
      </c>
      <c r="Q42" s="19">
        <f t="shared" ca="1" si="7"/>
        <v>0</v>
      </c>
      <c r="R42" s="12">
        <f t="shared" ca="1" si="7"/>
        <v>0</v>
      </c>
      <c r="S42" s="12">
        <f t="shared" ca="1" si="8"/>
        <v>2.0175251353677193</v>
      </c>
      <c r="T42" s="83">
        <f t="shared" ca="1" si="9"/>
        <v>2.0175251353677193</v>
      </c>
      <c r="W42" s="1"/>
      <c r="Z42" s="6"/>
    </row>
    <row r="43" spans="1:26" x14ac:dyDescent="0.3">
      <c r="A43" s="11">
        <v>33604</v>
      </c>
      <c r="B43" s="94">
        <v>5804.19</v>
      </c>
      <c r="C43" s="97">
        <v>5669.51</v>
      </c>
      <c r="D43" s="109">
        <v>134.68</v>
      </c>
      <c r="E43" s="109">
        <v>509.01</v>
      </c>
      <c r="F43" s="16">
        <f t="shared" ca="1" si="0"/>
        <v>132.79047382224999</v>
      </c>
      <c r="G43" s="12">
        <f t="shared" si="1"/>
        <v>0.86683333333333334</v>
      </c>
      <c r="H43" s="12">
        <f t="shared" si="2"/>
        <v>87.466166666666666</v>
      </c>
      <c r="I43" s="17" cm="1">
        <f t="array" ref="I43">IF(MONTH(A43) = LOOKUP(YEAR(A43), YEAR('CNY Dates'!A$2:A$34), 'CNY Dates'!B$2:B$34), LOOKUP(YEAR(A43), YEAR('Hongbao demand'!B$4:B$35), 'Hongbao demand'!F$4:F$35)  - O42, 0)</f>
        <v>0</v>
      </c>
      <c r="J43" s="18">
        <f t="shared" si="3"/>
        <v>44.457473822249995</v>
      </c>
      <c r="K43" s="19">
        <v>8817.9666666666708</v>
      </c>
      <c r="L43" s="12">
        <v>0.65808000000000011</v>
      </c>
      <c r="M43" s="14">
        <v>2.8833333333333332E-3</v>
      </c>
      <c r="N43" s="19">
        <f t="shared" ca="1" si="4"/>
        <v>376.21952617775003</v>
      </c>
      <c r="O43" s="12">
        <f t="shared" ca="1" si="6"/>
        <v>20.007124259063218</v>
      </c>
      <c r="P43" s="18">
        <f t="shared" ca="1" si="5"/>
        <v>0</v>
      </c>
      <c r="Q43" s="19">
        <f t="shared" ca="1" si="7"/>
        <v>0</v>
      </c>
      <c r="R43" s="12">
        <f t="shared" ca="1" si="7"/>
        <v>0</v>
      </c>
      <c r="S43" s="12">
        <f t="shared" ca="1" si="8"/>
        <v>2.0007124259063218</v>
      </c>
      <c r="T43" s="83">
        <f t="shared" ca="1" si="9"/>
        <v>2.0007124259063218</v>
      </c>
      <c r="W43" s="1"/>
      <c r="Z43" s="6"/>
    </row>
    <row r="44" spans="1:26" x14ac:dyDescent="0.3">
      <c r="A44" s="11">
        <v>33635</v>
      </c>
      <c r="B44" s="94">
        <v>5520.9</v>
      </c>
      <c r="C44" s="97">
        <v>5397.7</v>
      </c>
      <c r="D44" s="109">
        <v>123.2</v>
      </c>
      <c r="E44" s="109">
        <v>0</v>
      </c>
      <c r="F44" s="16">
        <f t="shared" ca="1" si="0"/>
        <v>139.43825420857991</v>
      </c>
      <c r="G44" s="12">
        <f t="shared" si="1"/>
        <v>1.1223333333333334</v>
      </c>
      <c r="H44" s="12">
        <f t="shared" si="2"/>
        <v>94.491833333333332</v>
      </c>
      <c r="I44" s="17" cm="1">
        <f t="array" aca="1" ref="I44" ca="1">IF(MONTH(A44) = LOOKUP(YEAR(A44), YEAR('CNY Dates'!A$2:A$34), 'CNY Dates'!B$2:B$34), LOOKUP(YEAR(A44), YEAR('Hongbao demand'!B$4:B$35), 'Hongbao demand'!F$4:F$35)  - O43, 0)</f>
        <v>-13.463041765663201</v>
      </c>
      <c r="J44" s="18">
        <f t="shared" si="3"/>
        <v>57.28712930757645</v>
      </c>
      <c r="K44" s="19">
        <v>8817.9666666666708</v>
      </c>
      <c r="L44" s="12">
        <v>0.65718999999999994</v>
      </c>
      <c r="M44" s="14">
        <v>2.5833333333333333E-3</v>
      </c>
      <c r="N44" s="19">
        <f t="shared" ca="1" si="4"/>
        <v>-139.43825420857991</v>
      </c>
      <c r="O44" s="12">
        <f t="shared" ca="1" si="6"/>
        <v>0</v>
      </c>
      <c r="P44" s="18">
        <f t="shared" ca="1" si="5"/>
        <v>-70.215254208579893</v>
      </c>
      <c r="Q44" s="19">
        <f t="shared" ca="1" si="7"/>
        <v>0</v>
      </c>
      <c r="R44" s="12">
        <f t="shared" ca="1" si="7"/>
        <v>0</v>
      </c>
      <c r="S44" s="12">
        <f t="shared" ca="1" si="8"/>
        <v>0</v>
      </c>
      <c r="T44" s="83">
        <f t="shared" ca="1" si="9"/>
        <v>0</v>
      </c>
      <c r="W44" s="1"/>
      <c r="Z44" s="6"/>
    </row>
    <row r="45" spans="1:26" x14ac:dyDescent="0.3">
      <c r="A45" s="11">
        <v>33664</v>
      </c>
      <c r="B45" s="94">
        <v>5502.63</v>
      </c>
      <c r="C45" s="97">
        <v>5323.57</v>
      </c>
      <c r="D45" s="109">
        <v>179.06</v>
      </c>
      <c r="E45" s="109">
        <v>15.83</v>
      </c>
      <c r="F45" s="16">
        <f t="shared" ca="1" si="0"/>
        <v>162.13785166350064</v>
      </c>
      <c r="G45" s="12">
        <f t="shared" si="1"/>
        <v>1.0266666666666666</v>
      </c>
      <c r="H45" s="12">
        <f t="shared" si="2"/>
        <v>89.961666666666659</v>
      </c>
      <c r="I45" s="17" cm="1">
        <f t="array" ref="I45">IF(MONTH(A45) = LOOKUP(YEAR(A45), YEAR('CNY Dates'!A$2:A$34), 'CNY Dates'!B$2:B$34), LOOKUP(YEAR(A45), YEAR('Hongbao demand'!B$4:B$35), 'Hongbao demand'!F$4:F$35)  - O44, 0)</f>
        <v>0</v>
      </c>
      <c r="J45" s="18">
        <f t="shared" si="3"/>
        <v>0.934264121587422</v>
      </c>
      <c r="K45" s="19">
        <v>8817.9666666666708</v>
      </c>
      <c r="L45" s="12">
        <v>0.65602999999999989</v>
      </c>
      <c r="M45" s="14">
        <v>2.5833333333333333E-3</v>
      </c>
      <c r="N45" s="19">
        <f t="shared" ca="1" si="4"/>
        <v>-146.30785166350063</v>
      </c>
      <c r="O45" s="12">
        <f t="shared" ca="1" si="6"/>
        <v>0</v>
      </c>
      <c r="P45" s="18">
        <f t="shared" ca="1" si="5"/>
        <v>-20.483551663500627</v>
      </c>
      <c r="Q45" s="19">
        <f t="shared" ca="1" si="7"/>
        <v>0</v>
      </c>
      <c r="R45" s="12">
        <f t="shared" ca="1" si="7"/>
        <v>0</v>
      </c>
      <c r="S45" s="12">
        <f t="shared" ca="1" si="8"/>
        <v>0</v>
      </c>
      <c r="T45" s="83">
        <f t="shared" ca="1" si="9"/>
        <v>0</v>
      </c>
      <c r="W45" s="1"/>
      <c r="Z45" s="6"/>
    </row>
    <row r="46" spans="1:26" x14ac:dyDescent="0.3">
      <c r="A46" s="11">
        <v>33695</v>
      </c>
      <c r="B46" s="94">
        <v>5520.41</v>
      </c>
      <c r="C46" s="97">
        <v>5414.92</v>
      </c>
      <c r="D46" s="109">
        <v>105.49</v>
      </c>
      <c r="E46" s="109">
        <v>180.08</v>
      </c>
      <c r="F46" s="16">
        <f t="shared" ca="1" si="0"/>
        <v>118.35351985773303</v>
      </c>
      <c r="G46" s="12">
        <f t="shared" si="1"/>
        <v>1.4921666666666666</v>
      </c>
      <c r="H46" s="12">
        <f t="shared" si="2"/>
        <v>88.726166666666657</v>
      </c>
      <c r="I46" s="17" cm="1">
        <f t="array" ref="I46">IF(MONTH(A46) = LOOKUP(YEAR(A46), YEAR('CNY Dates'!A$2:A$34), 'CNY Dates'!B$2:B$34), LOOKUP(YEAR(A46), YEAR('Hongbao demand'!B$4:B$35), 'Hongbao demand'!F$4:F$35)  - O45, 0)</f>
        <v>0</v>
      </c>
      <c r="J46" s="18">
        <f t="shared" si="3"/>
        <v>7.6516348608990912</v>
      </c>
      <c r="K46" s="19">
        <v>9001.3333333333303</v>
      </c>
      <c r="L46" s="12">
        <v>0.66015000000000001</v>
      </c>
      <c r="M46" s="14">
        <v>2.5833333333333333E-3</v>
      </c>
      <c r="N46" s="19">
        <f t="shared" ca="1" si="4"/>
        <v>61.726480142266979</v>
      </c>
      <c r="O46" s="12">
        <f t="shared" ca="1" si="6"/>
        <v>0</v>
      </c>
      <c r="P46" s="18">
        <f t="shared" ca="1" si="5"/>
        <v>0</v>
      </c>
      <c r="Q46" s="19">
        <f t="shared" ca="1" si="7"/>
        <v>0</v>
      </c>
      <c r="R46" s="12">
        <f t="shared" ca="1" si="7"/>
        <v>0</v>
      </c>
      <c r="S46" s="12">
        <f t="shared" ca="1" si="8"/>
        <v>0</v>
      </c>
      <c r="T46" s="83">
        <f t="shared" ca="1" si="9"/>
        <v>0</v>
      </c>
      <c r="W46" s="1"/>
      <c r="Z46" s="6"/>
    </row>
    <row r="47" spans="1:26" x14ac:dyDescent="0.3">
      <c r="A47" s="11">
        <v>33725</v>
      </c>
      <c r="B47" s="94">
        <v>5511.73</v>
      </c>
      <c r="C47" s="97">
        <v>5399.52</v>
      </c>
      <c r="D47" s="109">
        <v>112.21</v>
      </c>
      <c r="E47" s="109">
        <v>74.849999999999994</v>
      </c>
      <c r="F47" s="16">
        <f t="shared" ca="1" si="0"/>
        <v>88.346220542104049</v>
      </c>
      <c r="G47" s="12">
        <f t="shared" si="1"/>
        <v>0.87908333333333333</v>
      </c>
      <c r="H47" s="12">
        <f t="shared" si="2"/>
        <v>90.248666666666665</v>
      </c>
      <c r="I47" s="17" cm="1">
        <f t="array" ref="I47">IF(MONTH(A47) = LOOKUP(YEAR(A47), YEAR('CNY Dates'!A$2:A$34), 'CNY Dates'!B$2:B$34), LOOKUP(YEAR(A47), YEAR('Hongbao demand'!B$4:B$35), 'Hongbao demand'!F$4:F$35)  - O46, 0)</f>
        <v>0</v>
      </c>
      <c r="J47" s="18">
        <f t="shared" si="3"/>
        <v>-2.7815294578959464</v>
      </c>
      <c r="K47" s="19">
        <v>9001.3333333333303</v>
      </c>
      <c r="L47" s="12">
        <v>0.66356999999999999</v>
      </c>
      <c r="M47" s="14">
        <v>2.5833333333333333E-3</v>
      </c>
      <c r="N47" s="19">
        <f t="shared" ca="1" si="4"/>
        <v>-13.496220542104055</v>
      </c>
      <c r="O47" s="12">
        <f t="shared" ca="1" si="6"/>
        <v>0</v>
      </c>
      <c r="P47" s="18">
        <f t="shared" ca="1" si="5"/>
        <v>0</v>
      </c>
      <c r="Q47" s="19">
        <f t="shared" ca="1" si="7"/>
        <v>0</v>
      </c>
      <c r="R47" s="12">
        <f t="shared" ca="1" si="7"/>
        <v>0</v>
      </c>
      <c r="S47" s="12">
        <f t="shared" ca="1" si="8"/>
        <v>0</v>
      </c>
      <c r="T47" s="83">
        <f t="shared" ca="1" si="9"/>
        <v>0</v>
      </c>
      <c r="W47" s="1"/>
      <c r="Z47" s="6"/>
    </row>
    <row r="48" spans="1:26" x14ac:dyDescent="0.3">
      <c r="A48" s="11">
        <v>33756</v>
      </c>
      <c r="B48" s="94">
        <v>5513.76</v>
      </c>
      <c r="C48" s="97">
        <v>5380.41</v>
      </c>
      <c r="D48" s="109">
        <v>133.35</v>
      </c>
      <c r="E48" s="109">
        <v>70.88</v>
      </c>
      <c r="F48" s="16">
        <f t="shared" ca="1" si="0"/>
        <v>99.640132370129379</v>
      </c>
      <c r="G48" s="12">
        <f t="shared" si="1"/>
        <v>0.93508333333333327</v>
      </c>
      <c r="H48" s="12">
        <f t="shared" si="2"/>
        <v>89.992000000000004</v>
      </c>
      <c r="I48" s="17" cm="1">
        <f t="array" ref="I48">IF(MONTH(A48) = LOOKUP(YEAR(A48), YEAR('CNY Dates'!A$2:A$34), 'CNY Dates'!B$2:B$34), LOOKUP(YEAR(A48), YEAR('Hongbao demand'!B$4:B$35), 'Hongbao demand'!F$4:F$35)  - O47, 0)</f>
        <v>0</v>
      </c>
      <c r="J48" s="18">
        <f t="shared" si="3"/>
        <v>8.7130490367960309</v>
      </c>
      <c r="K48" s="19">
        <v>9001.3333333333303</v>
      </c>
      <c r="L48" s="12">
        <v>0.66364999999999996</v>
      </c>
      <c r="M48" s="14">
        <v>2.5416666666666665E-3</v>
      </c>
      <c r="N48" s="19">
        <f t="shared" ca="1" si="4"/>
        <v>-28.760132370129384</v>
      </c>
      <c r="O48" s="12">
        <f t="shared" ca="1" si="6"/>
        <v>0</v>
      </c>
      <c r="P48" s="18">
        <f t="shared" ca="1" si="5"/>
        <v>0</v>
      </c>
      <c r="Q48" s="19">
        <f t="shared" ca="1" si="7"/>
        <v>0</v>
      </c>
      <c r="R48" s="12">
        <f t="shared" ca="1" si="7"/>
        <v>0</v>
      </c>
      <c r="S48" s="12">
        <f t="shared" ca="1" si="8"/>
        <v>0</v>
      </c>
      <c r="T48" s="83">
        <f t="shared" ca="1" si="9"/>
        <v>0</v>
      </c>
      <c r="W48" s="1"/>
      <c r="Z48" s="6"/>
    </row>
    <row r="49" spans="1:26" x14ac:dyDescent="0.3">
      <c r="A49" s="11">
        <v>33786</v>
      </c>
      <c r="B49" s="94">
        <v>5560.59</v>
      </c>
      <c r="C49" s="97">
        <v>5403.65</v>
      </c>
      <c r="D49" s="109">
        <v>156.94</v>
      </c>
      <c r="E49" s="109">
        <v>112.91</v>
      </c>
      <c r="F49" s="16">
        <f t="shared" ca="1" si="0"/>
        <v>161.19707347155233</v>
      </c>
      <c r="G49" s="12">
        <f t="shared" si="1"/>
        <v>1.1112499999999998</v>
      </c>
      <c r="H49" s="12">
        <f t="shared" si="2"/>
        <v>89.673500000000004</v>
      </c>
      <c r="I49" s="17" cm="1">
        <f t="array" ref="I49">IF(MONTH(A49) = LOOKUP(YEAR(A49), YEAR('CNY Dates'!A$2:A$34), 'CNY Dates'!B$2:B$34), LOOKUP(YEAR(A49), YEAR('Hongbao demand'!B$4:B$35), 'Hongbao demand'!F$4:F$35)  - O48, 0)</f>
        <v>0</v>
      </c>
      <c r="J49" s="18">
        <f t="shared" si="3"/>
        <v>70.412323471552327</v>
      </c>
      <c r="K49" s="19">
        <v>9440.7999999999993</v>
      </c>
      <c r="L49" s="12">
        <v>0.66650000000000009</v>
      </c>
      <c r="M49" s="14">
        <v>2.3416666666666668E-3</v>
      </c>
      <c r="N49" s="19">
        <f t="shared" ca="1" si="4"/>
        <v>-48.287073471552333</v>
      </c>
      <c r="O49" s="12">
        <f t="shared" ca="1" si="6"/>
        <v>0</v>
      </c>
      <c r="P49" s="18">
        <f t="shared" ca="1" si="5"/>
        <v>0</v>
      </c>
      <c r="Q49" s="19">
        <f t="shared" ca="1" si="7"/>
        <v>0</v>
      </c>
      <c r="R49" s="12">
        <f t="shared" ca="1" si="7"/>
        <v>0</v>
      </c>
      <c r="S49" s="12">
        <f t="shared" ca="1" si="8"/>
        <v>0</v>
      </c>
      <c r="T49" s="83">
        <f t="shared" ca="1" si="9"/>
        <v>0</v>
      </c>
      <c r="W49" s="1"/>
      <c r="Z49" s="6"/>
    </row>
    <row r="50" spans="1:26" x14ac:dyDescent="0.3">
      <c r="A50" s="11">
        <v>33817</v>
      </c>
      <c r="B50" s="94">
        <v>5576.55</v>
      </c>
      <c r="C50" s="97">
        <v>5412.68</v>
      </c>
      <c r="D50" s="109">
        <v>163.87</v>
      </c>
      <c r="E50" s="109">
        <v>99.09</v>
      </c>
      <c r="F50" s="16">
        <f t="shared" ca="1" si="0"/>
        <v>100.72597350608473</v>
      </c>
      <c r="G50" s="12">
        <f t="shared" si="1"/>
        <v>1.3078333333333334</v>
      </c>
      <c r="H50" s="12">
        <f t="shared" si="2"/>
        <v>90.060833333333321</v>
      </c>
      <c r="I50" s="17" cm="1">
        <f t="array" ref="I50">IF(MONTH(A50) = LOOKUP(YEAR(A50), YEAR('CNY Dates'!A$2:A$34), 'CNY Dates'!B$2:B$34), LOOKUP(YEAR(A50), YEAR('Hongbao demand'!B$4:B$35), 'Hongbao demand'!F$4:F$35)  - O49, 0)</f>
        <v>0</v>
      </c>
      <c r="J50" s="18">
        <f t="shared" si="3"/>
        <v>9.3573068394180723</v>
      </c>
      <c r="K50" s="19">
        <v>9440.7999999999993</v>
      </c>
      <c r="L50" s="12">
        <v>0.66531999999999991</v>
      </c>
      <c r="M50" s="14">
        <v>2.3083333333333332E-3</v>
      </c>
      <c r="N50" s="19">
        <f t="shared" ca="1" si="4"/>
        <v>-1.6359735060847242</v>
      </c>
      <c r="O50" s="12">
        <f t="shared" ca="1" si="6"/>
        <v>0</v>
      </c>
      <c r="P50" s="18">
        <f t="shared" ca="1" si="5"/>
        <v>0</v>
      </c>
      <c r="Q50" s="19">
        <f t="shared" ca="1" si="7"/>
        <v>0</v>
      </c>
      <c r="R50" s="12">
        <f t="shared" ca="1" si="7"/>
        <v>0</v>
      </c>
      <c r="S50" s="12">
        <f t="shared" ca="1" si="8"/>
        <v>0</v>
      </c>
      <c r="T50" s="83">
        <f t="shared" ca="1" si="9"/>
        <v>0</v>
      </c>
      <c r="W50" s="1"/>
      <c r="Z50" s="6"/>
    </row>
    <row r="51" spans="1:26" x14ac:dyDescent="0.3">
      <c r="A51" s="11">
        <v>33848</v>
      </c>
      <c r="B51" s="94">
        <v>5604.06</v>
      </c>
      <c r="C51" s="97">
        <v>5423.81</v>
      </c>
      <c r="D51" s="109">
        <v>180.25</v>
      </c>
      <c r="E51" s="109">
        <v>101.34</v>
      </c>
      <c r="F51" s="16">
        <f t="shared" ca="1" si="0"/>
        <v>138.09690629960207</v>
      </c>
      <c r="G51" s="12">
        <f t="shared" si="1"/>
        <v>1.3655833333333334</v>
      </c>
      <c r="H51" s="12">
        <f t="shared" si="2"/>
        <v>90.211333333333343</v>
      </c>
      <c r="I51" s="17" cm="1">
        <f t="array" ref="I51">IF(MONTH(A51) = LOOKUP(YEAR(A51), YEAR('CNY Dates'!A$2:A$34), 'CNY Dates'!B$2:B$34), LOOKUP(YEAR(A51), YEAR('Hongbao demand'!B$4:B$35), 'Hongbao demand'!F$4:F$35)  - O50, 0)</f>
        <v>0</v>
      </c>
      <c r="J51" s="18">
        <f t="shared" si="3"/>
        <v>46.519989632935399</v>
      </c>
      <c r="K51" s="19">
        <v>9440.7999999999993</v>
      </c>
      <c r="L51" s="12">
        <v>0.66576999999999997</v>
      </c>
      <c r="M51" s="14">
        <v>2.1333333333333334E-3</v>
      </c>
      <c r="N51" s="19">
        <f t="shared" ca="1" si="4"/>
        <v>-36.756906299602065</v>
      </c>
      <c r="O51" s="12">
        <f t="shared" ca="1" si="6"/>
        <v>0</v>
      </c>
      <c r="P51" s="18">
        <f t="shared" ca="1" si="5"/>
        <v>0</v>
      </c>
      <c r="Q51" s="19">
        <f t="shared" ca="1" si="7"/>
        <v>0</v>
      </c>
      <c r="R51" s="12">
        <f t="shared" ca="1" si="7"/>
        <v>0</v>
      </c>
      <c r="S51" s="12">
        <f t="shared" ca="1" si="8"/>
        <v>0</v>
      </c>
      <c r="T51" s="83">
        <f t="shared" ca="1" si="9"/>
        <v>0</v>
      </c>
      <c r="W51" s="1"/>
      <c r="Z51" s="6"/>
    </row>
    <row r="52" spans="1:26" x14ac:dyDescent="0.3">
      <c r="A52" s="11">
        <v>33878</v>
      </c>
      <c r="B52" s="94">
        <v>5629.47</v>
      </c>
      <c r="C52" s="97">
        <v>5525.1</v>
      </c>
      <c r="D52" s="109">
        <v>104.37</v>
      </c>
      <c r="E52" s="109">
        <v>191.69</v>
      </c>
      <c r="F52" s="16">
        <f t="shared" ca="1" si="0"/>
        <v>132.66549562937988</v>
      </c>
      <c r="G52" s="12">
        <f t="shared" si="1"/>
        <v>1.5020833333333334</v>
      </c>
      <c r="H52" s="12">
        <f t="shared" si="2"/>
        <v>90.396833333333333</v>
      </c>
      <c r="I52" s="17" cm="1">
        <f t="array" ref="I52">IF(MONTH(A52) = LOOKUP(YEAR(A52), YEAR('CNY Dates'!A$2:A$34), 'CNY Dates'!B$2:B$34), LOOKUP(YEAR(A52), YEAR('Hongbao demand'!B$4:B$35), 'Hongbao demand'!F$4:F$35)  - O51, 0)</f>
        <v>0</v>
      </c>
      <c r="J52" s="18">
        <f t="shared" si="3"/>
        <v>40.766578962713218</v>
      </c>
      <c r="K52" s="19">
        <v>9714.2666666666701</v>
      </c>
      <c r="L52" s="12">
        <v>0.66742999999999997</v>
      </c>
      <c r="M52" s="14">
        <v>2.0500000000000002E-3</v>
      </c>
      <c r="N52" s="19">
        <f t="shared" ca="1" si="4"/>
        <v>59.024504370620122</v>
      </c>
      <c r="O52" s="12">
        <f t="shared" ca="1" si="6"/>
        <v>0</v>
      </c>
      <c r="P52" s="18">
        <f t="shared" ca="1" si="5"/>
        <v>0</v>
      </c>
      <c r="Q52" s="19">
        <f t="shared" ca="1" si="7"/>
        <v>0</v>
      </c>
      <c r="R52" s="12">
        <f t="shared" ca="1" si="7"/>
        <v>0</v>
      </c>
      <c r="S52" s="12">
        <f t="shared" ca="1" si="8"/>
        <v>0</v>
      </c>
      <c r="T52" s="83">
        <f t="shared" ca="1" si="9"/>
        <v>0</v>
      </c>
      <c r="W52" s="1"/>
      <c r="Z52" s="6"/>
    </row>
    <row r="53" spans="1:26" x14ac:dyDescent="0.3">
      <c r="A53" s="11">
        <v>33909</v>
      </c>
      <c r="B53" s="94">
        <v>5659.22</v>
      </c>
      <c r="C53" s="97">
        <v>5546.38</v>
      </c>
      <c r="D53" s="109">
        <v>112.84</v>
      </c>
      <c r="E53" s="109">
        <v>113.37</v>
      </c>
      <c r="F53" s="16">
        <f t="shared" ca="1" si="0"/>
        <v>91.182424997798023</v>
      </c>
      <c r="G53" s="12">
        <f t="shared" si="1"/>
        <v>0.86975000000000002</v>
      </c>
      <c r="H53" s="12">
        <f t="shared" si="2"/>
        <v>92.085000000000008</v>
      </c>
      <c r="I53" s="17" cm="1">
        <f t="array" ref="I53">IF(MONTH(A53) = LOOKUP(YEAR(A53), YEAR('CNY Dates'!A$2:A$34), 'CNY Dates'!B$2:B$34), LOOKUP(YEAR(A53), YEAR('Hongbao demand'!B$4:B$35), 'Hongbao demand'!F$4:F$35)  - O52, 0)</f>
        <v>0</v>
      </c>
      <c r="J53" s="18">
        <f t="shared" si="3"/>
        <v>-1.7723250022019792</v>
      </c>
      <c r="K53" s="19">
        <v>9714.2666666666701</v>
      </c>
      <c r="L53" s="12">
        <v>0.66930999999999996</v>
      </c>
      <c r="M53" s="14">
        <v>2.0500000000000002E-3</v>
      </c>
      <c r="N53" s="19">
        <f t="shared" ca="1" si="4"/>
        <v>22.187575002201982</v>
      </c>
      <c r="O53" s="12">
        <f t="shared" ca="1" si="6"/>
        <v>0</v>
      </c>
      <c r="P53" s="18">
        <f t="shared" ca="1" si="5"/>
        <v>0</v>
      </c>
      <c r="Q53" s="19">
        <f t="shared" ca="1" si="7"/>
        <v>0</v>
      </c>
      <c r="R53" s="12">
        <f t="shared" ca="1" si="7"/>
        <v>0</v>
      </c>
      <c r="S53" s="12">
        <f t="shared" ca="1" si="8"/>
        <v>0</v>
      </c>
      <c r="T53" s="83">
        <f t="shared" ca="1" si="9"/>
        <v>0</v>
      </c>
      <c r="W53" s="1"/>
      <c r="Z53" s="6"/>
    </row>
    <row r="54" spans="1:26" x14ac:dyDescent="0.3">
      <c r="A54" s="11">
        <v>33939</v>
      </c>
      <c r="B54" s="94">
        <v>5887.84</v>
      </c>
      <c r="C54" s="97">
        <v>5795.44</v>
      </c>
      <c r="D54" s="109">
        <v>92.4</v>
      </c>
      <c r="E54" s="109">
        <v>341.5</v>
      </c>
      <c r="F54" s="16">
        <f t="shared" ca="1" si="0"/>
        <v>92.862486965385344</v>
      </c>
      <c r="G54" s="12">
        <f t="shared" si="1"/>
        <v>0.94033333333333335</v>
      </c>
      <c r="H54" s="12">
        <f t="shared" si="2"/>
        <v>92.439666666666668</v>
      </c>
      <c r="I54" s="17" cm="1">
        <f t="array" ref="I54">IF(MONTH(A54) = LOOKUP(YEAR(A54), YEAR('CNY Dates'!A$2:A$34), 'CNY Dates'!B$2:B$34), LOOKUP(YEAR(A54), YEAR('Hongbao demand'!B$4:B$35), 'Hongbao demand'!F$4:F$35)  - O53, 0)</f>
        <v>0</v>
      </c>
      <c r="J54" s="18">
        <f t="shared" si="3"/>
        <v>-0.51751303461464726</v>
      </c>
      <c r="K54" s="19">
        <v>9714.2666666666701</v>
      </c>
      <c r="L54" s="12">
        <v>0.66986000000000001</v>
      </c>
      <c r="M54" s="14">
        <v>2.0500000000000002E-3</v>
      </c>
      <c r="N54" s="19">
        <f t="shared" ca="1" si="4"/>
        <v>248.63751303461464</v>
      </c>
      <c r="O54" s="12">
        <f t="shared" ca="1" si="6"/>
        <v>0</v>
      </c>
      <c r="P54" s="18">
        <f t="shared" ca="1" si="5"/>
        <v>0</v>
      </c>
      <c r="Q54" s="19">
        <f t="shared" ca="1" si="7"/>
        <v>0</v>
      </c>
      <c r="R54" s="12">
        <f t="shared" ca="1" si="7"/>
        <v>0</v>
      </c>
      <c r="S54" s="12">
        <f t="shared" ca="1" si="8"/>
        <v>0</v>
      </c>
      <c r="T54" s="83">
        <f t="shared" ca="1" si="9"/>
        <v>0</v>
      </c>
      <c r="W54" s="1"/>
      <c r="Z54" s="6"/>
    </row>
    <row r="55" spans="1:26" x14ac:dyDescent="0.3">
      <c r="A55" s="11">
        <v>33970</v>
      </c>
      <c r="B55" s="94">
        <v>6223.49</v>
      </c>
      <c r="C55" s="97">
        <v>6036.87</v>
      </c>
      <c r="D55" s="109">
        <v>186.62</v>
      </c>
      <c r="E55" s="109">
        <v>338.02</v>
      </c>
      <c r="F55" s="16">
        <f t="shared" ca="1" si="0"/>
        <v>92.469461037553685</v>
      </c>
      <c r="G55" s="12">
        <f t="shared" si="1"/>
        <v>0.77</v>
      </c>
      <c r="H55" s="12">
        <f t="shared" si="2"/>
        <v>96.590666666666664</v>
      </c>
      <c r="I55" s="17" cm="1">
        <f t="array" aca="1" ref="I55" ca="1">IF(MONTH(A55) = LOOKUP(YEAR(A55), YEAR('CNY Dates'!A$2:A$34), 'CNY Dates'!B$2:B$34), LOOKUP(YEAR(A55), YEAR('Hongbao demand'!B$4:B$35), 'Hongbao demand'!F$4:F$35)  - O54, 0)</f>
        <v>6.8744454804351509</v>
      </c>
      <c r="J55" s="18">
        <f t="shared" si="3"/>
        <v>-11.765651109548129</v>
      </c>
      <c r="K55" s="19">
        <v>9608.2000000000007</v>
      </c>
      <c r="L55" s="12">
        <v>0.67500000000000004</v>
      </c>
      <c r="M55" s="14">
        <v>2.0500000000000002E-3</v>
      </c>
      <c r="N55" s="19">
        <f t="shared" ca="1" si="4"/>
        <v>245.5505389624463</v>
      </c>
      <c r="O55" s="12">
        <f t="shared" ca="1" si="6"/>
        <v>49.110107792489259</v>
      </c>
      <c r="P55" s="18">
        <f t="shared" ca="1" si="5"/>
        <v>0</v>
      </c>
      <c r="Q55" s="19">
        <f t="shared" ca="1" si="7"/>
        <v>0</v>
      </c>
      <c r="R55" s="12">
        <f t="shared" ca="1" si="7"/>
        <v>0</v>
      </c>
      <c r="S55" s="12">
        <f t="shared" ca="1" si="8"/>
        <v>4.9110107792489259</v>
      </c>
      <c r="T55" s="83">
        <f t="shared" ca="1" si="9"/>
        <v>4.9110107792489259</v>
      </c>
      <c r="W55" s="1"/>
      <c r="Z55" s="6"/>
    </row>
    <row r="56" spans="1:26" x14ac:dyDescent="0.3">
      <c r="A56" s="11">
        <v>34001</v>
      </c>
      <c r="B56" s="94">
        <v>5928.37</v>
      </c>
      <c r="C56" s="97">
        <v>5803.21</v>
      </c>
      <c r="D56" s="109">
        <v>125.16</v>
      </c>
      <c r="E56" s="109">
        <v>0</v>
      </c>
      <c r="F56" s="16">
        <f t="shared" ca="1" si="0"/>
        <v>105.11018919982523</v>
      </c>
      <c r="G56" s="12">
        <f t="shared" si="1"/>
        <v>1.5551666666666668</v>
      </c>
      <c r="H56" s="12">
        <f t="shared" si="2"/>
        <v>100.61449999999999</v>
      </c>
      <c r="I56" s="17" cm="1">
        <f t="array" ref="I56">IF(MONTH(A56) = LOOKUP(YEAR(A56), YEAR('CNY Dates'!A$2:A$34), 'CNY Dates'!B$2:B$34), LOOKUP(YEAR(A56), YEAR('Hongbao demand'!B$4:B$35), 'Hongbao demand'!F$4:F$35)  - O55, 0)</f>
        <v>0</v>
      </c>
      <c r="J56" s="18">
        <f t="shared" si="3"/>
        <v>2.9405225331585649</v>
      </c>
      <c r="K56" s="19">
        <v>9608.2000000000007</v>
      </c>
      <c r="L56" s="12">
        <v>0.67183999999999999</v>
      </c>
      <c r="M56" s="14">
        <v>2.0500000000000002E-3</v>
      </c>
      <c r="N56" s="19">
        <f t="shared" ca="1" si="4"/>
        <v>-105.11018919982523</v>
      </c>
      <c r="O56" s="12">
        <f t="shared" ca="1" si="6"/>
        <v>48.700856894218518</v>
      </c>
      <c r="P56" s="18">
        <f t="shared" ca="1" si="5"/>
        <v>-37.982289199825232</v>
      </c>
      <c r="Q56" s="19">
        <f t="shared" ca="1" si="7"/>
        <v>0</v>
      </c>
      <c r="R56" s="12">
        <f t="shared" ca="1" si="7"/>
        <v>0</v>
      </c>
      <c r="S56" s="12">
        <f t="shared" ca="1" si="8"/>
        <v>4.8700856894218525</v>
      </c>
      <c r="T56" s="83">
        <f t="shared" ca="1" si="9"/>
        <v>4.8700856894218525</v>
      </c>
      <c r="W56" s="1"/>
      <c r="Z56" s="6"/>
    </row>
    <row r="57" spans="1:26" x14ac:dyDescent="0.3">
      <c r="A57" s="11">
        <v>34029</v>
      </c>
      <c r="B57" s="94">
        <v>6004.53</v>
      </c>
      <c r="C57" s="97">
        <v>5811.75</v>
      </c>
      <c r="D57" s="109">
        <v>192.78</v>
      </c>
      <c r="E57" s="109">
        <v>105.26</v>
      </c>
      <c r="F57" s="16">
        <f t="shared" ca="1" si="0"/>
        <v>182.86168455225084</v>
      </c>
      <c r="G57" s="12">
        <f t="shared" si="1"/>
        <v>1.0429999999999999</v>
      </c>
      <c r="H57" s="12">
        <f t="shared" si="2"/>
        <v>96.720166666666671</v>
      </c>
      <c r="I57" s="17" cm="1">
        <f t="array" ref="I57">IF(MONTH(A57) = LOOKUP(YEAR(A57), YEAR('CNY Dates'!A$2:A$34), 'CNY Dates'!B$2:B$34), LOOKUP(YEAR(A57), YEAR('Hongbao demand'!B$4:B$35), 'Hongbao demand'!F$4:F$35)  - O56, 0)</f>
        <v>0</v>
      </c>
      <c r="J57" s="18">
        <f t="shared" si="3"/>
        <v>47.116228685758919</v>
      </c>
      <c r="K57" s="19">
        <v>9608.2000000000007</v>
      </c>
      <c r="L57" s="12">
        <v>0.67347999999999997</v>
      </c>
      <c r="M57" s="14">
        <v>1.8999999999999998E-3</v>
      </c>
      <c r="N57" s="19">
        <f t="shared" ca="1" si="4"/>
        <v>-77.601684552250831</v>
      </c>
      <c r="O57" s="12">
        <f t="shared" ca="1" si="6"/>
        <v>48.295016420100033</v>
      </c>
      <c r="P57" s="18">
        <f t="shared" ca="1" si="5"/>
        <v>0</v>
      </c>
      <c r="Q57" s="19">
        <f t="shared" ca="1" si="7"/>
        <v>0</v>
      </c>
      <c r="R57" s="12">
        <f t="shared" ca="1" si="7"/>
        <v>0</v>
      </c>
      <c r="S57" s="12">
        <f t="shared" ca="1" si="8"/>
        <v>4.8295016420100039</v>
      </c>
      <c r="T57" s="83">
        <f t="shared" ca="1" si="9"/>
        <v>4.8295016420100039</v>
      </c>
      <c r="W57" s="1"/>
      <c r="Z57" s="6"/>
    </row>
    <row r="58" spans="1:26" x14ac:dyDescent="0.3">
      <c r="A58" s="11">
        <v>34060</v>
      </c>
      <c r="B58" s="94">
        <v>5992.42</v>
      </c>
      <c r="C58" s="97">
        <v>5878.25</v>
      </c>
      <c r="D58" s="109">
        <v>114.17</v>
      </c>
      <c r="E58" s="109">
        <v>163.36000000000001</v>
      </c>
      <c r="F58" s="16">
        <f t="shared" ca="1" si="0"/>
        <v>133.25718844319792</v>
      </c>
      <c r="G58" s="12">
        <f t="shared" si="1"/>
        <v>1.6065</v>
      </c>
      <c r="H58" s="12">
        <f t="shared" si="2"/>
        <v>96.862499999999997</v>
      </c>
      <c r="I58" s="17" cm="1">
        <f t="array" ref="I58">IF(MONTH(A58) = LOOKUP(YEAR(A58), YEAR('CNY Dates'!A$2:A$34), 'CNY Dates'!B$2:B$34), LOOKUP(YEAR(A58), YEAR('Hongbao demand'!B$4:B$35), 'Hongbao demand'!F$4:F$35)  - O57, 0)</f>
        <v>0</v>
      </c>
      <c r="J58" s="18">
        <f t="shared" si="3"/>
        <v>34.788188443197924</v>
      </c>
      <c r="K58" s="19">
        <v>10111</v>
      </c>
      <c r="L58" s="12">
        <v>0.67546000000000006</v>
      </c>
      <c r="M58" s="14">
        <v>1.8916666666666667E-3</v>
      </c>
      <c r="N58" s="19">
        <f t="shared" ca="1" si="4"/>
        <v>30.102811556802095</v>
      </c>
      <c r="O58" s="12">
        <f t="shared" ca="1" si="6"/>
        <v>47.892557949932531</v>
      </c>
      <c r="P58" s="18">
        <f t="shared" ca="1" si="5"/>
        <v>0</v>
      </c>
      <c r="Q58" s="19">
        <f t="shared" ca="1" si="7"/>
        <v>0</v>
      </c>
      <c r="R58" s="12">
        <f t="shared" ca="1" si="7"/>
        <v>0</v>
      </c>
      <c r="S58" s="12">
        <f t="shared" ca="1" si="8"/>
        <v>4.7892557949932533</v>
      </c>
      <c r="T58" s="83">
        <f t="shared" ca="1" si="9"/>
        <v>4.7892557949932533</v>
      </c>
      <c r="W58" s="1"/>
      <c r="Z58" s="6"/>
    </row>
    <row r="59" spans="1:26" x14ac:dyDescent="0.3">
      <c r="A59" s="11">
        <v>34090</v>
      </c>
      <c r="B59" s="94">
        <v>6034.28</v>
      </c>
      <c r="C59" s="97">
        <v>5890.85</v>
      </c>
      <c r="D59" s="109">
        <v>143.43</v>
      </c>
      <c r="E59" s="109">
        <v>110.57</v>
      </c>
      <c r="F59" s="16">
        <f t="shared" ca="1" si="0"/>
        <v>97.06114185375786</v>
      </c>
      <c r="G59" s="12">
        <f t="shared" si="1"/>
        <v>0.95141666666666669</v>
      </c>
      <c r="H59" s="12">
        <f t="shared" si="2"/>
        <v>97.970833333333331</v>
      </c>
      <c r="I59" s="17" cm="1">
        <f t="array" ref="I59">IF(MONTH(A59) = LOOKUP(YEAR(A59), YEAR('CNY Dates'!A$2:A$34), 'CNY Dates'!B$2:B$34), LOOKUP(YEAR(A59), YEAR('Hongbao demand'!B$4:B$35), 'Hongbao demand'!F$4:F$35)  - O58, 0)</f>
        <v>0</v>
      </c>
      <c r="J59" s="18">
        <f t="shared" si="3"/>
        <v>-1.8611081462421273</v>
      </c>
      <c r="K59" s="19">
        <v>10111</v>
      </c>
      <c r="L59" s="12">
        <v>0.67732999999999999</v>
      </c>
      <c r="M59" s="14">
        <v>1.8916666666666667E-3</v>
      </c>
      <c r="N59" s="19">
        <f t="shared" ca="1" si="4"/>
        <v>13.508858146242133</v>
      </c>
      <c r="O59" s="12">
        <f t="shared" ca="1" si="6"/>
        <v>47.493453300349756</v>
      </c>
      <c r="P59" s="18">
        <f t="shared" ca="1" si="5"/>
        <v>0</v>
      </c>
      <c r="Q59" s="19">
        <f t="shared" ca="1" si="7"/>
        <v>0</v>
      </c>
      <c r="R59" s="12">
        <f t="shared" ca="1" si="7"/>
        <v>0</v>
      </c>
      <c r="S59" s="12">
        <f t="shared" ca="1" si="8"/>
        <v>4.7493453300349762</v>
      </c>
      <c r="T59" s="83">
        <f t="shared" ca="1" si="9"/>
        <v>4.7493453300349762</v>
      </c>
      <c r="W59" s="1"/>
      <c r="Z59" s="6"/>
    </row>
    <row r="60" spans="1:26" x14ac:dyDescent="0.3">
      <c r="A60" s="11">
        <v>34121</v>
      </c>
      <c r="B60" s="94">
        <v>6075.23</v>
      </c>
      <c r="C60" s="97">
        <v>5853.26</v>
      </c>
      <c r="D60" s="109">
        <v>221.97</v>
      </c>
      <c r="E60" s="109">
        <v>60.59</v>
      </c>
      <c r="F60" s="16">
        <f t="shared" ca="1" si="0"/>
        <v>99.14763168459713</v>
      </c>
      <c r="G60" s="12">
        <f t="shared" si="1"/>
        <v>1.1952500000000001</v>
      </c>
      <c r="H60" s="12">
        <f t="shared" si="2"/>
        <v>98.180833333333339</v>
      </c>
      <c r="I60" s="17" cm="1">
        <f t="array" ref="I60">IF(MONTH(A60) = LOOKUP(YEAR(A60), YEAR('CNY Dates'!A$2:A$34), 'CNY Dates'!B$2:B$34), LOOKUP(YEAR(A60), YEAR('Hongbao demand'!B$4:B$35), 'Hongbao demand'!F$4:F$35)  - O59, 0)</f>
        <v>0</v>
      </c>
      <c r="J60" s="18">
        <f t="shared" si="3"/>
        <v>-0.22845164873620458</v>
      </c>
      <c r="K60" s="19">
        <v>10111</v>
      </c>
      <c r="L60" s="12">
        <v>0.67756000000000005</v>
      </c>
      <c r="M60" s="14">
        <v>1.8916666666666667E-3</v>
      </c>
      <c r="N60" s="19">
        <f t="shared" ca="1" si="4"/>
        <v>-38.557631684597126</v>
      </c>
      <c r="O60" s="12">
        <f t="shared" ca="1" si="6"/>
        <v>47.097674522846845</v>
      </c>
      <c r="P60" s="18">
        <f t="shared" ca="1" si="5"/>
        <v>0</v>
      </c>
      <c r="Q60" s="19">
        <f t="shared" ca="1" si="7"/>
        <v>0</v>
      </c>
      <c r="R60" s="12">
        <f t="shared" ca="1" si="7"/>
        <v>0</v>
      </c>
      <c r="S60" s="12">
        <f t="shared" ca="1" si="8"/>
        <v>4.7097674522846846</v>
      </c>
      <c r="T60" s="83">
        <f t="shared" ca="1" si="9"/>
        <v>4.7097674522846846</v>
      </c>
      <c r="W60" s="1"/>
      <c r="Z60" s="6"/>
    </row>
    <row r="61" spans="1:26" x14ac:dyDescent="0.3">
      <c r="A61" s="11">
        <v>34151</v>
      </c>
      <c r="B61" s="94">
        <v>6072.01</v>
      </c>
      <c r="C61" s="97">
        <v>5912.41</v>
      </c>
      <c r="D61" s="109">
        <v>159.6</v>
      </c>
      <c r="E61" s="109">
        <v>156.69999999999999</v>
      </c>
      <c r="F61" s="16">
        <f t="shared" ca="1" si="0"/>
        <v>123.66242527753136</v>
      </c>
      <c r="G61" s="12">
        <f t="shared" si="1"/>
        <v>1.84975</v>
      </c>
      <c r="H61" s="12">
        <f t="shared" si="2"/>
        <v>97.554333333333332</v>
      </c>
      <c r="I61" s="17" cm="1">
        <f t="array" ref="I61">IF(MONTH(A61) = LOOKUP(YEAR(A61), YEAR('CNY Dates'!A$2:A$34), 'CNY Dates'!B$2:B$34), LOOKUP(YEAR(A61), YEAR('Hongbao demand'!B$4:B$35), 'Hongbao demand'!F$4:F$35)  - O60, 0)</f>
        <v>0</v>
      </c>
      <c r="J61" s="18">
        <f t="shared" si="3"/>
        <v>24.25834194419803</v>
      </c>
      <c r="K61" s="19">
        <v>10526.8666666667</v>
      </c>
      <c r="L61" s="12">
        <v>0.68078000000000005</v>
      </c>
      <c r="M61" s="14">
        <v>1.8916666666666667E-3</v>
      </c>
      <c r="N61" s="19">
        <f t="shared" ca="1" si="4"/>
        <v>33.037574722468634</v>
      </c>
      <c r="O61" s="12">
        <f t="shared" ca="1" si="6"/>
        <v>46.705193901823122</v>
      </c>
      <c r="P61" s="18">
        <f t="shared" ca="1" si="5"/>
        <v>0</v>
      </c>
      <c r="Q61" s="19">
        <f t="shared" ca="1" si="7"/>
        <v>0</v>
      </c>
      <c r="R61" s="12">
        <f t="shared" ca="1" si="7"/>
        <v>0</v>
      </c>
      <c r="S61" s="12">
        <f t="shared" ca="1" si="8"/>
        <v>4.6705193901823128</v>
      </c>
      <c r="T61" s="83">
        <f t="shared" ca="1" si="9"/>
        <v>4.6705193901823128</v>
      </c>
      <c r="W61" s="1"/>
      <c r="Z61" s="6"/>
    </row>
    <row r="62" spans="1:26" x14ac:dyDescent="0.3">
      <c r="A62" s="11">
        <v>34182</v>
      </c>
      <c r="B62" s="94">
        <v>6120.66</v>
      </c>
      <c r="C62" s="97">
        <v>5898.34</v>
      </c>
      <c r="D62" s="109">
        <v>222.32</v>
      </c>
      <c r="E62" s="109">
        <v>84.47</v>
      </c>
      <c r="F62" s="16">
        <f t="shared" ca="1" si="0"/>
        <v>100.95133129702505</v>
      </c>
      <c r="G62" s="12">
        <f t="shared" si="1"/>
        <v>1.3299999999999998</v>
      </c>
      <c r="H62" s="12">
        <f t="shared" si="2"/>
        <v>98.540166666666664</v>
      </c>
      <c r="I62" s="17" cm="1">
        <f t="array" ref="I62">IF(MONTH(A62) = LOOKUP(YEAR(A62), YEAR('CNY Dates'!A$2:A$34), 'CNY Dates'!B$2:B$34), LOOKUP(YEAR(A62), YEAR('Hongbao demand'!B$4:B$35), 'Hongbao demand'!F$4:F$35)  - O61, 0)</f>
        <v>0</v>
      </c>
      <c r="J62" s="18">
        <f t="shared" si="3"/>
        <v>1.0811646303583857</v>
      </c>
      <c r="K62" s="19">
        <v>10526.8666666667</v>
      </c>
      <c r="L62" s="12">
        <v>0.67971000000000004</v>
      </c>
      <c r="M62" s="14">
        <v>1.8916666666666667E-3</v>
      </c>
      <c r="N62" s="19">
        <f t="shared" ca="1" si="4"/>
        <v>-16.481331297025051</v>
      </c>
      <c r="O62" s="12">
        <f t="shared" ca="1" si="6"/>
        <v>46.315983952641268</v>
      </c>
      <c r="P62" s="18">
        <f t="shared" ca="1" si="5"/>
        <v>0</v>
      </c>
      <c r="Q62" s="19">
        <f t="shared" ca="1" si="7"/>
        <v>0</v>
      </c>
      <c r="R62" s="12">
        <f t="shared" ca="1" si="7"/>
        <v>0</v>
      </c>
      <c r="S62" s="12">
        <f t="shared" ca="1" si="8"/>
        <v>4.6315983952641266</v>
      </c>
      <c r="T62" s="83">
        <f t="shared" ca="1" si="9"/>
        <v>4.6315983952641266</v>
      </c>
      <c r="W62" s="1"/>
      <c r="Z62" s="6"/>
    </row>
    <row r="63" spans="1:26" x14ac:dyDescent="0.3">
      <c r="A63" s="11">
        <v>34213</v>
      </c>
      <c r="B63" s="94">
        <v>6140.12</v>
      </c>
      <c r="C63" s="97">
        <v>5877.41</v>
      </c>
      <c r="D63" s="109">
        <v>262.70999999999998</v>
      </c>
      <c r="E63" s="109">
        <v>77.38</v>
      </c>
      <c r="F63" s="16">
        <f t="shared" ca="1" si="0"/>
        <v>96.763998072248242</v>
      </c>
      <c r="G63" s="12">
        <f t="shared" si="1"/>
        <v>1.8526666666666667</v>
      </c>
      <c r="H63" s="12">
        <f t="shared" si="2"/>
        <v>98.305666666666667</v>
      </c>
      <c r="I63" s="17" cm="1">
        <f t="array" ref="I63">IF(MONTH(A63) = LOOKUP(YEAR(A63), YEAR('CNY Dates'!A$2:A$34), 'CNY Dates'!B$2:B$34), LOOKUP(YEAR(A63), YEAR('Hongbao demand'!B$4:B$35), 'Hongbao demand'!F$4:F$35)  - O62, 0)</f>
        <v>0</v>
      </c>
      <c r="J63" s="18">
        <f t="shared" si="3"/>
        <v>-3.3943352610850894</v>
      </c>
      <c r="K63" s="19">
        <v>10526.8666666667</v>
      </c>
      <c r="L63" s="12">
        <v>0.68007999999999991</v>
      </c>
      <c r="M63" s="14">
        <v>1.8999999999999998E-3</v>
      </c>
      <c r="N63" s="19">
        <f t="shared" ca="1" si="4"/>
        <v>-19.383998072248247</v>
      </c>
      <c r="O63" s="12">
        <f t="shared" ca="1" si="6"/>
        <v>45.930017419702594</v>
      </c>
      <c r="P63" s="18">
        <f t="shared" ca="1" si="5"/>
        <v>0</v>
      </c>
      <c r="Q63" s="19">
        <f t="shared" ca="1" si="7"/>
        <v>0</v>
      </c>
      <c r="R63" s="12">
        <f t="shared" ca="1" si="7"/>
        <v>0</v>
      </c>
      <c r="S63" s="12">
        <f t="shared" ca="1" si="8"/>
        <v>4.5930017419702596</v>
      </c>
      <c r="T63" s="83">
        <f t="shared" ca="1" si="9"/>
        <v>4.5930017419702596</v>
      </c>
      <c r="W63" s="1"/>
      <c r="Z63" s="6"/>
    </row>
    <row r="64" spans="1:26" x14ac:dyDescent="0.3">
      <c r="A64" s="11">
        <v>34243</v>
      </c>
      <c r="B64" s="94">
        <v>6168.68</v>
      </c>
      <c r="C64" s="97">
        <v>5915.42</v>
      </c>
      <c r="D64" s="109">
        <v>253.26</v>
      </c>
      <c r="E64" s="109">
        <v>135.97</v>
      </c>
      <c r="F64" s="16">
        <f t="shared" ca="1" si="0"/>
        <v>132.25813868062571</v>
      </c>
      <c r="G64" s="12">
        <f t="shared" si="1"/>
        <v>2.1892499999999999</v>
      </c>
      <c r="H64" s="12">
        <f t="shared" si="2"/>
        <v>97.956833333333336</v>
      </c>
      <c r="I64" s="17" cm="1">
        <f t="array" ref="I64">IF(MONTH(A64) = LOOKUP(YEAR(A64), YEAR('CNY Dates'!A$2:A$34), 'CNY Dates'!B$2:B$34), LOOKUP(YEAR(A64), YEAR('Hongbao demand'!B$4:B$35), 'Hongbao demand'!F$4:F$35)  - O63, 0)</f>
        <v>0</v>
      </c>
      <c r="J64" s="18">
        <f t="shared" si="3"/>
        <v>32.112055347292369</v>
      </c>
      <c r="K64" s="19">
        <v>10965.4333333333</v>
      </c>
      <c r="L64" s="12">
        <v>0.68248999999999993</v>
      </c>
      <c r="M64" s="14">
        <v>1.8833333333333332E-3</v>
      </c>
      <c r="N64" s="19">
        <f t="shared" ca="1" si="4"/>
        <v>3.7118613193742931</v>
      </c>
      <c r="O64" s="12">
        <f t="shared" ca="1" si="6"/>
        <v>45.547267274538406</v>
      </c>
      <c r="P64" s="18">
        <f t="shared" ca="1" si="5"/>
        <v>0</v>
      </c>
      <c r="Q64" s="19">
        <f t="shared" ca="1" si="7"/>
        <v>0</v>
      </c>
      <c r="R64" s="12">
        <f t="shared" ca="1" si="7"/>
        <v>0</v>
      </c>
      <c r="S64" s="12">
        <f t="shared" ca="1" si="8"/>
        <v>4.5547267274538408</v>
      </c>
      <c r="T64" s="83">
        <f t="shared" ca="1" si="9"/>
        <v>4.5547267274538408</v>
      </c>
      <c r="W64" s="1"/>
      <c r="Z64" s="6"/>
    </row>
    <row r="65" spans="1:26" x14ac:dyDescent="0.3">
      <c r="A65" s="11">
        <v>34274</v>
      </c>
      <c r="B65" s="94">
        <v>6192.55</v>
      </c>
      <c r="C65" s="97">
        <v>5966.73</v>
      </c>
      <c r="D65" s="109">
        <v>225.82</v>
      </c>
      <c r="E65" s="109">
        <v>149.9</v>
      </c>
      <c r="F65" s="16">
        <f t="shared" ca="1" si="0"/>
        <v>98.489217391082263</v>
      </c>
      <c r="G65" s="12">
        <f t="shared" si="1"/>
        <v>2.1105</v>
      </c>
      <c r="H65" s="12">
        <f t="shared" si="2"/>
        <v>98.590333333333334</v>
      </c>
      <c r="I65" s="17" cm="1">
        <f t="array" ref="I65">IF(MONTH(A65) = LOOKUP(YEAR(A65), YEAR('CNY Dates'!A$2:A$34), 'CNY Dates'!B$2:B$34), LOOKUP(YEAR(A65), YEAR('Hongbao demand'!B$4:B$35), 'Hongbao demand'!F$4:F$35)  - O64, 0)</f>
        <v>0</v>
      </c>
      <c r="J65" s="18">
        <f t="shared" si="3"/>
        <v>-2.2116159422510706</v>
      </c>
      <c r="K65" s="19">
        <v>10965.4333333333</v>
      </c>
      <c r="L65" s="12">
        <v>0.68462999999999996</v>
      </c>
      <c r="M65" s="14">
        <v>1.8833333333333332E-3</v>
      </c>
      <c r="N65" s="19">
        <f t="shared" ca="1" si="4"/>
        <v>51.410782608917742</v>
      </c>
      <c r="O65" s="12">
        <f t="shared" ca="1" si="6"/>
        <v>45.167706713917255</v>
      </c>
      <c r="P65" s="18">
        <f t="shared" ca="1" si="5"/>
        <v>0</v>
      </c>
      <c r="Q65" s="19">
        <f t="shared" ca="1" si="7"/>
        <v>0</v>
      </c>
      <c r="R65" s="12">
        <f t="shared" ca="1" si="7"/>
        <v>0</v>
      </c>
      <c r="S65" s="12">
        <f t="shared" ca="1" si="8"/>
        <v>4.5167706713917255</v>
      </c>
      <c r="T65" s="83">
        <f t="shared" ca="1" si="9"/>
        <v>4.5167706713917255</v>
      </c>
      <c r="W65" s="1"/>
      <c r="Z65" s="6"/>
    </row>
    <row r="66" spans="1:26" x14ac:dyDescent="0.3">
      <c r="A66" s="11">
        <v>34304</v>
      </c>
      <c r="B66" s="94">
        <v>6351.31</v>
      </c>
      <c r="C66" s="97">
        <v>6259.47</v>
      </c>
      <c r="D66" s="109">
        <v>91.84</v>
      </c>
      <c r="E66" s="109">
        <v>392.19</v>
      </c>
      <c r="F66" s="16">
        <f t="shared" ca="1" si="0"/>
        <v>98.912637084365855</v>
      </c>
      <c r="G66" s="12">
        <f t="shared" si="1"/>
        <v>1.8818333333333332</v>
      </c>
      <c r="H66" s="12">
        <f t="shared" si="2"/>
        <v>99.445499999999996</v>
      </c>
      <c r="I66" s="17" cm="1">
        <f t="array" ref="I66">IF(MONTH(A66) = LOOKUP(YEAR(A66), YEAR('CNY Dates'!A$2:A$34), 'CNY Dates'!B$2:B$34), LOOKUP(YEAR(A66), YEAR('Hongbao demand'!B$4:B$35), 'Hongbao demand'!F$4:F$35)  - O65, 0)</f>
        <v>0</v>
      </c>
      <c r="J66" s="18">
        <f t="shared" si="3"/>
        <v>-2.4146962489674664</v>
      </c>
      <c r="K66" s="19">
        <v>10965.4333333333</v>
      </c>
      <c r="L66" s="12">
        <v>0.68697000000000008</v>
      </c>
      <c r="M66" s="14">
        <v>1.8833333333333332E-3</v>
      </c>
      <c r="N66" s="19">
        <f t="shared" ca="1" si="4"/>
        <v>293.27736291563417</v>
      </c>
      <c r="O66" s="12">
        <f t="shared" ca="1" si="6"/>
        <v>44.791309157967945</v>
      </c>
      <c r="P66" s="18">
        <f t="shared" ca="1" si="5"/>
        <v>0</v>
      </c>
      <c r="Q66" s="19">
        <f t="shared" ca="1" si="7"/>
        <v>0</v>
      </c>
      <c r="R66" s="12">
        <f t="shared" ca="1" si="7"/>
        <v>0</v>
      </c>
      <c r="S66" s="12">
        <f t="shared" ca="1" si="8"/>
        <v>4.4791309157967945</v>
      </c>
      <c r="T66" s="83">
        <f t="shared" ca="1" si="9"/>
        <v>4.4791309157967945</v>
      </c>
      <c r="W66" s="1"/>
      <c r="Z66" s="6"/>
    </row>
    <row r="67" spans="1:26" x14ac:dyDescent="0.3">
      <c r="A67" s="11">
        <v>34335</v>
      </c>
      <c r="B67" s="94">
        <v>6600.3</v>
      </c>
      <c r="C67" s="97">
        <v>6309.8</v>
      </c>
      <c r="D67" s="109">
        <v>290.5</v>
      </c>
      <c r="E67" s="109">
        <v>154.65</v>
      </c>
      <c r="F67" s="16">
        <f t="shared" ca="1" si="0"/>
        <v>27.961493757396696</v>
      </c>
      <c r="G67" s="12">
        <f t="shared" si="1"/>
        <v>0.76533333333333331</v>
      </c>
      <c r="H67" s="12">
        <f t="shared" si="2"/>
        <v>104.3245</v>
      </c>
      <c r="I67" s="17" cm="1">
        <f t="array" ref="I67">IF(MONTH(A67) = LOOKUP(YEAR(A67), YEAR('CNY Dates'!A$2:A$34), 'CNY Dates'!B$2:B$34), LOOKUP(YEAR(A67), YEAR('Hongbao demand'!B$4:B$35), 'Hongbao demand'!F$4:F$35)  - O66, 0)</f>
        <v>0</v>
      </c>
      <c r="J67" s="18">
        <f t="shared" si="3"/>
        <v>-77.128339575936636</v>
      </c>
      <c r="K67" s="19">
        <v>10904.1333333333</v>
      </c>
      <c r="L67" s="12">
        <v>0.69045000000000001</v>
      </c>
      <c r="M67" s="14">
        <v>2.0833333333333333E-3</v>
      </c>
      <c r="N67" s="19">
        <f t="shared" ca="1" si="4"/>
        <v>126.68850624260331</v>
      </c>
      <c r="O67" s="12">
        <f t="shared" ca="1" si="6"/>
        <v>44.418048248318208</v>
      </c>
      <c r="P67" s="18">
        <f t="shared" ca="1" si="5"/>
        <v>0</v>
      </c>
      <c r="Q67" s="19">
        <f t="shared" ca="1" si="7"/>
        <v>0</v>
      </c>
      <c r="R67" s="12">
        <f t="shared" ca="1" si="7"/>
        <v>0</v>
      </c>
      <c r="S67" s="12">
        <f t="shared" ca="1" si="8"/>
        <v>4.4418048248318209</v>
      </c>
      <c r="T67" s="83">
        <f t="shared" ca="1" si="9"/>
        <v>4.4418048248318209</v>
      </c>
      <c r="W67" s="1"/>
      <c r="Z67" s="6"/>
    </row>
    <row r="68" spans="1:26" x14ac:dyDescent="0.3">
      <c r="A68" s="11">
        <v>34366</v>
      </c>
      <c r="B68" s="94">
        <v>6563.34</v>
      </c>
      <c r="C68" s="97">
        <v>6338.57</v>
      </c>
      <c r="D68" s="109">
        <v>224.77</v>
      </c>
      <c r="E68" s="109">
        <v>133.93</v>
      </c>
      <c r="F68" s="16">
        <f t="shared" ca="1" si="0"/>
        <v>24.628262864952646</v>
      </c>
      <c r="G68" s="12">
        <f t="shared" si="1"/>
        <v>2.4208333333333334</v>
      </c>
      <c r="H68" s="12">
        <f t="shared" si="2"/>
        <v>105.16333333333334</v>
      </c>
      <c r="I68" s="17" cm="1">
        <f t="array" aca="1" ref="I68" ca="1">IF(MONTH(A68) = LOOKUP(YEAR(A68), YEAR('CNY Dates'!A$2:A$34), 'CNY Dates'!B$2:B$34), LOOKUP(YEAR(A68), YEAR('Hongbao demand'!B$4:B$35), 'Hongbao demand'!F$4:F$35)  - O67, 0)</f>
        <v>-37.206177414487875</v>
      </c>
      <c r="J68" s="18">
        <f t="shared" si="3"/>
        <v>-45.749726387226147</v>
      </c>
      <c r="K68" s="19">
        <v>10904.1333333333</v>
      </c>
      <c r="L68" s="12">
        <v>0.69269000000000003</v>
      </c>
      <c r="M68" s="14">
        <v>2.225E-3</v>
      </c>
      <c r="N68" s="19">
        <f t="shared" ca="1" si="4"/>
        <v>109.30173713504736</v>
      </c>
      <c r="O68" s="12">
        <f t="shared" ca="1" si="6"/>
        <v>21.860347427009472</v>
      </c>
      <c r="P68" s="18">
        <f t="shared" ca="1" si="5"/>
        <v>0</v>
      </c>
      <c r="Q68" s="19">
        <f t="shared" ca="1" si="7"/>
        <v>0</v>
      </c>
      <c r="R68" s="12">
        <f t="shared" ca="1" si="7"/>
        <v>0</v>
      </c>
      <c r="S68" s="12">
        <f t="shared" ca="1" si="8"/>
        <v>2.1860347427009472</v>
      </c>
      <c r="T68" s="83">
        <f t="shared" ca="1" si="9"/>
        <v>2.1860347427009472</v>
      </c>
      <c r="W68" s="1"/>
      <c r="Z68" s="6"/>
    </row>
    <row r="69" spans="1:26" x14ac:dyDescent="0.3">
      <c r="A69" s="11">
        <v>34394</v>
      </c>
      <c r="B69" s="94">
        <v>6466.25</v>
      </c>
      <c r="C69" s="97">
        <v>6302.94</v>
      </c>
      <c r="D69" s="109">
        <v>163.31</v>
      </c>
      <c r="E69" s="109">
        <v>70.010000000000005</v>
      </c>
      <c r="F69" s="16">
        <f t="shared" ca="1" si="0"/>
        <v>110.77503393498237</v>
      </c>
      <c r="G69" s="12">
        <f t="shared" si="1"/>
        <v>1.8730833333333334</v>
      </c>
      <c r="H69" s="12">
        <f t="shared" si="2"/>
        <v>105.64283333333333</v>
      </c>
      <c r="I69" s="17" cm="1">
        <f t="array" ref="I69">IF(MONTH(A69) = LOOKUP(YEAR(A69), YEAR('CNY Dates'!A$2:A$34), 'CNY Dates'!B$2:B$34), LOOKUP(YEAR(A69), YEAR('Hongbao demand'!B$4:B$35), 'Hongbao demand'!F$4:F$35)  - O68, 0)</f>
        <v>0</v>
      </c>
      <c r="J69" s="18">
        <f t="shared" si="3"/>
        <v>3.2591172683157255</v>
      </c>
      <c r="K69" s="19">
        <v>10904.1333333333</v>
      </c>
      <c r="L69" s="12">
        <v>0.68921999999999994</v>
      </c>
      <c r="M69" s="14">
        <v>2.225E-3</v>
      </c>
      <c r="N69" s="19">
        <f t="shared" ca="1" si="4"/>
        <v>-40.76503393498237</v>
      </c>
      <c r="O69" s="12">
        <f t="shared" ca="1" si="6"/>
        <v>21.678177865117728</v>
      </c>
      <c r="P69" s="18">
        <f t="shared" ca="1" si="5"/>
        <v>0</v>
      </c>
      <c r="Q69" s="19">
        <f t="shared" ca="1" si="7"/>
        <v>0</v>
      </c>
      <c r="R69" s="12">
        <f t="shared" ca="1" si="7"/>
        <v>0</v>
      </c>
      <c r="S69" s="12">
        <f t="shared" ca="1" si="8"/>
        <v>2.1678177865117729</v>
      </c>
      <c r="T69" s="83">
        <f t="shared" ca="1" si="9"/>
        <v>2.1678177865117729</v>
      </c>
      <c r="W69" s="1"/>
      <c r="Z69" s="6"/>
    </row>
    <row r="70" spans="1:26" x14ac:dyDescent="0.3">
      <c r="A70" s="11">
        <v>34425</v>
      </c>
      <c r="B70" s="94">
        <v>6473.04</v>
      </c>
      <c r="C70" s="97">
        <v>6313.79</v>
      </c>
      <c r="D70" s="109">
        <v>159.25</v>
      </c>
      <c r="E70" s="109">
        <v>115.9</v>
      </c>
      <c r="F70" s="16">
        <f t="shared" ca="1" si="0"/>
        <v>80.912708513852891</v>
      </c>
      <c r="G70" s="12">
        <f t="shared" si="1"/>
        <v>1.3609166666666668</v>
      </c>
      <c r="H70" s="12">
        <f t="shared" si="2"/>
        <v>105.04899999999999</v>
      </c>
      <c r="I70" s="17" cm="1">
        <f t="array" ref="I70">IF(MONTH(A70) = LOOKUP(YEAR(A70), YEAR('CNY Dates'!A$2:A$34), 'CNY Dates'!B$2:B$34), LOOKUP(YEAR(A70), YEAR('Hongbao demand'!B$4:B$35), 'Hongbao demand'!F$4:F$35)  - O69, 0)</f>
        <v>0</v>
      </c>
      <c r="J70" s="18">
        <f t="shared" si="3"/>
        <v>-25.497208152813776</v>
      </c>
      <c r="K70" s="19">
        <v>11155.766666666699</v>
      </c>
      <c r="L70" s="12">
        <v>0.69440000000000002</v>
      </c>
      <c r="M70" s="14">
        <v>2.3500000000000001E-3</v>
      </c>
      <c r="N70" s="19">
        <f t="shared" ca="1" si="4"/>
        <v>34.987291486147114</v>
      </c>
      <c r="O70" s="12">
        <f t="shared" ca="1" si="6"/>
        <v>21.497526382908415</v>
      </c>
      <c r="P70" s="18">
        <f t="shared" ca="1" si="5"/>
        <v>0</v>
      </c>
      <c r="Q70" s="19">
        <f t="shared" ca="1" si="7"/>
        <v>0</v>
      </c>
      <c r="R70" s="12">
        <f t="shared" ca="1" si="7"/>
        <v>0</v>
      </c>
      <c r="S70" s="12">
        <f t="shared" ca="1" si="8"/>
        <v>2.1497526382908414</v>
      </c>
      <c r="T70" s="83">
        <f t="shared" ca="1" si="9"/>
        <v>2.1497526382908414</v>
      </c>
      <c r="W70" s="1"/>
      <c r="Z70" s="6"/>
    </row>
    <row r="71" spans="1:26" x14ac:dyDescent="0.3">
      <c r="A71" s="11">
        <v>34455</v>
      </c>
      <c r="B71" s="94">
        <v>6503.56</v>
      </c>
      <c r="C71" s="97">
        <v>6270.11</v>
      </c>
      <c r="D71" s="109">
        <v>233.45</v>
      </c>
      <c r="E71" s="109">
        <v>61.55</v>
      </c>
      <c r="F71" s="16">
        <f t="shared" ca="1" si="0"/>
        <v>85.431366503635289</v>
      </c>
      <c r="G71" s="12">
        <f t="shared" si="1"/>
        <v>1.3270833333333334</v>
      </c>
      <c r="H71" s="12">
        <f t="shared" si="2"/>
        <v>105.22983333333333</v>
      </c>
      <c r="I71" s="17" cm="1">
        <f t="array" ref="I71">IF(MONTH(A71) = LOOKUP(YEAR(A71), YEAR('CNY Dates'!A$2:A$34), 'CNY Dates'!B$2:B$34), LOOKUP(YEAR(A71), YEAR('Hongbao demand'!B$4:B$35), 'Hongbao demand'!F$4:F$35)  - O70, 0)</f>
        <v>0</v>
      </c>
      <c r="J71" s="18">
        <f t="shared" si="3"/>
        <v>-21.125550163031374</v>
      </c>
      <c r="K71" s="19">
        <v>11155.766666666699</v>
      </c>
      <c r="L71" s="12">
        <v>0.69790999999999992</v>
      </c>
      <c r="M71" s="14">
        <v>2.4166666666666664E-3</v>
      </c>
      <c r="N71" s="19">
        <f t="shared" ca="1" si="4"/>
        <v>-23.881366503635292</v>
      </c>
      <c r="O71" s="12">
        <f t="shared" ca="1" si="6"/>
        <v>21.318380329717513</v>
      </c>
      <c r="P71" s="18">
        <f t="shared" ca="1" si="5"/>
        <v>0</v>
      </c>
      <c r="Q71" s="19">
        <f t="shared" ca="1" si="7"/>
        <v>0</v>
      </c>
      <c r="R71" s="12">
        <f t="shared" ca="1" si="7"/>
        <v>0</v>
      </c>
      <c r="S71" s="12">
        <f t="shared" ca="1" si="8"/>
        <v>2.1318380329717512</v>
      </c>
      <c r="T71" s="83">
        <f t="shared" ca="1" si="9"/>
        <v>2.1318380329717512</v>
      </c>
      <c r="W71" s="1"/>
      <c r="Z71" s="6"/>
    </row>
    <row r="72" spans="1:26" x14ac:dyDescent="0.3">
      <c r="A72" s="11">
        <v>34486</v>
      </c>
      <c r="B72" s="94">
        <v>6490.33</v>
      </c>
      <c r="C72" s="97">
        <v>6268.64</v>
      </c>
      <c r="D72" s="109">
        <v>221.69</v>
      </c>
      <c r="E72" s="109">
        <v>103.03</v>
      </c>
      <c r="F72" s="16">
        <f t="shared" ref="F72:F135" ca="1" si="10">SUM(G72:J72)-MIN(0, P71)</f>
        <v>103.41575140015662</v>
      </c>
      <c r="G72" s="12">
        <f t="shared" ref="G72:G135" si="11">D71/($I$1*12)</f>
        <v>1.9454166666666666</v>
      </c>
      <c r="H72" s="12">
        <f t="shared" ref="H72:H135" si="12">C71/($I$2*12)</f>
        <v>104.50183333333332</v>
      </c>
      <c r="I72" s="17" cm="1">
        <f t="array" ref="I72">IF(MONTH(A72) = LOOKUP(YEAR(A72), YEAR('CNY Dates'!A$2:A$34), 'CNY Dates'!B$2:B$34), LOOKUP(YEAR(A72), YEAR('Hongbao demand'!B$4:B$35), 'Hongbao demand'!F$4:F$35)  - O71, 0)</f>
        <v>0</v>
      </c>
      <c r="J72" s="18">
        <f t="shared" ref="J72:J135" si="13">(SQRT(K72/(2*L72*M72))-SQRT(K71/(2*L71*M71)))*L72</f>
        <v>-3.0314985998433714</v>
      </c>
      <c r="K72" s="19">
        <v>11155.766666666699</v>
      </c>
      <c r="L72" s="12">
        <v>0.70123999999999997</v>
      </c>
      <c r="M72" s="14">
        <v>2.4166666666666664E-3</v>
      </c>
      <c r="N72" s="19">
        <f t="shared" ref="N72:N135" ca="1" si="14">E72-F72</f>
        <v>-0.38575140015662157</v>
      </c>
      <c r="O72" s="12">
        <f t="shared" ca="1" si="6"/>
        <v>21.1407271603032</v>
      </c>
      <c r="P72" s="18">
        <f t="shared" ref="P72:P135" ca="1" si="15">MAX(MIN(D72+N72 - D$1*C72, 0), D72+N72 - D$2*C72)</f>
        <v>0</v>
      </c>
      <c r="Q72" s="19">
        <f t="shared" ca="1" si="7"/>
        <v>0</v>
      </c>
      <c r="R72" s="12">
        <f t="shared" ca="1" si="7"/>
        <v>0</v>
      </c>
      <c r="S72" s="12">
        <f t="shared" ca="1" si="8"/>
        <v>2.1140727160303201</v>
      </c>
      <c r="T72" s="83">
        <f t="shared" ca="1" si="9"/>
        <v>2.1140727160303201</v>
      </c>
      <c r="W72" s="1"/>
      <c r="Z72" s="6"/>
    </row>
    <row r="73" spans="1:26" x14ac:dyDescent="0.3">
      <c r="A73" s="11">
        <v>34516</v>
      </c>
      <c r="B73" s="94">
        <v>6468.07</v>
      </c>
      <c r="C73" s="97">
        <v>6309.52</v>
      </c>
      <c r="D73" s="109">
        <v>158.55000000000001</v>
      </c>
      <c r="E73" s="109">
        <v>145.36000000000001</v>
      </c>
      <c r="F73" s="16">
        <f t="shared" ca="1" si="10"/>
        <v>139.61882862020875</v>
      </c>
      <c r="G73" s="12">
        <f t="shared" si="11"/>
        <v>1.8474166666666667</v>
      </c>
      <c r="H73" s="12">
        <f t="shared" si="12"/>
        <v>104.47733333333333</v>
      </c>
      <c r="I73" s="17" cm="1">
        <f t="array" ref="I73">IF(MONTH(A73) = LOOKUP(YEAR(A73), YEAR('CNY Dates'!A$2:A$34), 'CNY Dates'!B$2:B$34), LOOKUP(YEAR(A73), YEAR('Hongbao demand'!B$4:B$35), 'Hongbao demand'!F$4:F$35)  - O72, 0)</f>
        <v>0</v>
      </c>
      <c r="J73" s="18">
        <f t="shared" si="13"/>
        <v>33.294078620208751</v>
      </c>
      <c r="K73" s="19">
        <v>11768.766666666699</v>
      </c>
      <c r="L73" s="12">
        <v>0.70259000000000005</v>
      </c>
      <c r="M73" s="14">
        <v>2.4166666666666664E-3</v>
      </c>
      <c r="N73" s="19">
        <f t="shared" ca="1" si="14"/>
        <v>5.7411713797912682</v>
      </c>
      <c r="O73" s="12">
        <f t="shared" ref="O73:O136" ca="1" si="16">MIN(IF(I73=0, O72*(I$1*12-1)/(I$1*12), MAX(O$5*N73, 0)), D$2*O$5*C72)</f>
        <v>20.96455443396734</v>
      </c>
      <c r="P73" s="18">
        <f t="shared" ca="1" si="15"/>
        <v>0</v>
      </c>
      <c r="Q73" s="19">
        <f t="shared" ref="Q73:R136" ca="1" si="17">MAX(0,$P73)*Q$5</f>
        <v>0</v>
      </c>
      <c r="R73" s="12">
        <f t="shared" ca="1" si="17"/>
        <v>0</v>
      </c>
      <c r="S73" s="12">
        <f t="shared" ref="S73:S136" ca="1" si="18">O73*$S$5</f>
        <v>2.0964554433967342</v>
      </c>
      <c r="T73" s="83">
        <f t="shared" ref="T73:T136" ca="1" si="19">SUM(Q73:S73)</f>
        <v>2.0964554433967342</v>
      </c>
      <c r="W73" s="1"/>
      <c r="Z73" s="6"/>
    </row>
    <row r="74" spans="1:26" x14ac:dyDescent="0.3">
      <c r="A74" s="11">
        <v>34547</v>
      </c>
      <c r="B74" s="94">
        <v>6459.11</v>
      </c>
      <c r="C74" s="97">
        <v>6279.42</v>
      </c>
      <c r="D74" s="109">
        <v>179.69</v>
      </c>
      <c r="E74" s="109">
        <v>75.06</v>
      </c>
      <c r="F74" s="16">
        <f t="shared" ca="1" si="10"/>
        <v>54.63022136187751</v>
      </c>
      <c r="G74" s="12">
        <f t="shared" si="11"/>
        <v>1.32125</v>
      </c>
      <c r="H74" s="12">
        <f t="shared" si="12"/>
        <v>105.15866666666668</v>
      </c>
      <c r="I74" s="17" cm="1">
        <f t="array" ref="I74">IF(MONTH(A74) = LOOKUP(YEAR(A74), YEAR('CNY Dates'!A$2:A$34), 'CNY Dates'!B$2:B$34), LOOKUP(YEAR(A74), YEAR('Hongbao demand'!B$4:B$35), 'Hongbao demand'!F$4:F$35)  - O73, 0)</f>
        <v>0</v>
      </c>
      <c r="J74" s="18">
        <f t="shared" si="13"/>
        <v>-51.849695304789172</v>
      </c>
      <c r="K74" s="19">
        <v>11768.766666666699</v>
      </c>
      <c r="L74" s="12">
        <v>0.70349000000000006</v>
      </c>
      <c r="M74" s="14">
        <v>2.6166666666666669E-3</v>
      </c>
      <c r="N74" s="19">
        <f t="shared" ca="1" si="14"/>
        <v>20.429778638122492</v>
      </c>
      <c r="O74" s="12">
        <f t="shared" ca="1" si="16"/>
        <v>20.789849813684278</v>
      </c>
      <c r="P74" s="18">
        <f t="shared" ca="1" si="15"/>
        <v>0</v>
      </c>
      <c r="Q74" s="19">
        <f t="shared" ca="1" si="17"/>
        <v>0</v>
      </c>
      <c r="R74" s="12">
        <f t="shared" ca="1" si="17"/>
        <v>0</v>
      </c>
      <c r="S74" s="12">
        <f t="shared" ca="1" si="18"/>
        <v>2.078984981368428</v>
      </c>
      <c r="T74" s="83">
        <f t="shared" ca="1" si="19"/>
        <v>2.078984981368428</v>
      </c>
      <c r="W74" s="1"/>
      <c r="Z74" s="6"/>
    </row>
    <row r="75" spans="1:26" x14ac:dyDescent="0.3">
      <c r="A75" s="11">
        <v>34578</v>
      </c>
      <c r="B75" s="94">
        <v>6489</v>
      </c>
      <c r="C75" s="97">
        <v>6345.15</v>
      </c>
      <c r="D75" s="109">
        <v>143.85</v>
      </c>
      <c r="E75" s="109">
        <v>170.39</v>
      </c>
      <c r="F75" s="16">
        <f t="shared" ca="1" si="10"/>
        <v>105.91302473930995</v>
      </c>
      <c r="G75" s="12">
        <f t="shared" si="11"/>
        <v>1.4974166666666666</v>
      </c>
      <c r="H75" s="12">
        <f t="shared" si="12"/>
        <v>104.657</v>
      </c>
      <c r="I75" s="17" cm="1">
        <f t="array" ref="I75">IF(MONTH(A75) = LOOKUP(YEAR(A75), YEAR('CNY Dates'!A$2:A$34), 'CNY Dates'!B$2:B$34), LOOKUP(YEAR(A75), YEAR('Hongbao demand'!B$4:B$35), 'Hongbao demand'!F$4:F$35)  - O74, 0)</f>
        <v>0</v>
      </c>
      <c r="J75" s="18">
        <f t="shared" si="13"/>
        <v>-0.24139192735671677</v>
      </c>
      <c r="K75" s="19">
        <v>11768.766666666699</v>
      </c>
      <c r="L75" s="12">
        <v>0.70376000000000005</v>
      </c>
      <c r="M75" s="14">
        <v>2.6166666666666669E-3</v>
      </c>
      <c r="N75" s="19">
        <f t="shared" ca="1" si="14"/>
        <v>64.47697526069004</v>
      </c>
      <c r="O75" s="12">
        <f t="shared" ca="1" si="16"/>
        <v>20.61660106523691</v>
      </c>
      <c r="P75" s="18">
        <f t="shared" ca="1" si="15"/>
        <v>0</v>
      </c>
      <c r="Q75" s="19">
        <f t="shared" ca="1" si="17"/>
        <v>0</v>
      </c>
      <c r="R75" s="12">
        <f t="shared" ca="1" si="17"/>
        <v>0</v>
      </c>
      <c r="S75" s="12">
        <f t="shared" ca="1" si="18"/>
        <v>2.061660106523691</v>
      </c>
      <c r="T75" s="83">
        <f t="shared" ca="1" si="19"/>
        <v>2.061660106523691</v>
      </c>
      <c r="W75" s="1"/>
      <c r="Z75" s="6"/>
    </row>
    <row r="76" spans="1:26" x14ac:dyDescent="0.3">
      <c r="A76" s="11">
        <v>34608</v>
      </c>
      <c r="B76" s="94">
        <v>6516.23</v>
      </c>
      <c r="C76" s="97">
        <v>6374.41</v>
      </c>
      <c r="D76" s="109">
        <v>141.82</v>
      </c>
      <c r="E76" s="109">
        <v>135.01</v>
      </c>
      <c r="F76" s="16">
        <f t="shared" ca="1" si="10"/>
        <v>114.76419924485238</v>
      </c>
      <c r="G76" s="12">
        <f t="shared" si="11"/>
        <v>1.19875</v>
      </c>
      <c r="H76" s="12">
        <f t="shared" si="12"/>
        <v>105.7525</v>
      </c>
      <c r="I76" s="17" cm="1">
        <f t="array" ref="I76">IF(MONTH(A76) = LOOKUP(YEAR(A76), YEAR('CNY Dates'!A$2:A$34), 'CNY Dates'!B$2:B$34), LOOKUP(YEAR(A76), YEAR('Hongbao demand'!B$4:B$35), 'Hongbao demand'!F$4:F$35)  - O75, 0)</f>
        <v>0</v>
      </c>
      <c r="J76" s="18">
        <f t="shared" si="13"/>
        <v>7.8129492448523772</v>
      </c>
      <c r="K76" s="19">
        <v>11955.5333333333</v>
      </c>
      <c r="L76" s="12">
        <v>0.70616000000000001</v>
      </c>
      <c r="M76" s="14">
        <v>2.6166666666666669E-3</v>
      </c>
      <c r="N76" s="19">
        <f t="shared" ca="1" si="14"/>
        <v>20.245800755147613</v>
      </c>
      <c r="O76" s="12">
        <f t="shared" ca="1" si="16"/>
        <v>20.444796056359937</v>
      </c>
      <c r="P76" s="18">
        <f t="shared" ca="1" si="15"/>
        <v>0</v>
      </c>
      <c r="Q76" s="19">
        <f t="shared" ca="1" si="17"/>
        <v>0</v>
      </c>
      <c r="R76" s="12">
        <f t="shared" ca="1" si="17"/>
        <v>0</v>
      </c>
      <c r="S76" s="12">
        <f t="shared" ca="1" si="18"/>
        <v>2.0444796056359937</v>
      </c>
      <c r="T76" s="83">
        <f t="shared" ca="1" si="19"/>
        <v>2.0444796056359937</v>
      </c>
      <c r="W76" s="1"/>
      <c r="Z76" s="6"/>
    </row>
    <row r="77" spans="1:26" x14ac:dyDescent="0.3">
      <c r="A77" s="11">
        <v>34639</v>
      </c>
      <c r="B77" s="94">
        <v>6544.44</v>
      </c>
      <c r="C77" s="97">
        <v>6335.56</v>
      </c>
      <c r="D77" s="109">
        <v>208.88</v>
      </c>
      <c r="E77" s="109">
        <v>67.39</v>
      </c>
      <c r="F77" s="16">
        <f t="shared" ca="1" si="10"/>
        <v>17.710973909026634</v>
      </c>
      <c r="G77" s="12">
        <f t="shared" si="11"/>
        <v>1.1818333333333333</v>
      </c>
      <c r="H77" s="12">
        <f t="shared" si="12"/>
        <v>106.24016666666667</v>
      </c>
      <c r="I77" s="17" cm="1">
        <f t="array" ref="I77">IF(MONTH(A77) = LOOKUP(YEAR(A77), YEAR('CNY Dates'!A$2:A$34), 'CNY Dates'!B$2:B$34), LOOKUP(YEAR(A77), YEAR('Hongbao demand'!B$4:B$35), 'Hongbao demand'!F$4:F$35)  - O76, 0)</f>
        <v>0</v>
      </c>
      <c r="J77" s="18">
        <f t="shared" si="13"/>
        <v>-89.711026090973363</v>
      </c>
      <c r="K77" s="19">
        <v>11955.5333333333</v>
      </c>
      <c r="L77" s="12">
        <v>0.7087699999999999</v>
      </c>
      <c r="M77" s="14">
        <v>3.0166666666666671E-3</v>
      </c>
      <c r="N77" s="19">
        <f t="shared" ca="1" si="14"/>
        <v>49.679026090973366</v>
      </c>
      <c r="O77" s="12">
        <f t="shared" ca="1" si="16"/>
        <v>20.274422755890271</v>
      </c>
      <c r="P77" s="18">
        <f t="shared" ca="1" si="15"/>
        <v>0</v>
      </c>
      <c r="Q77" s="19">
        <f t="shared" ca="1" si="17"/>
        <v>0</v>
      </c>
      <c r="R77" s="12">
        <f t="shared" ca="1" si="17"/>
        <v>0</v>
      </c>
      <c r="S77" s="12">
        <f t="shared" ca="1" si="18"/>
        <v>2.0274422755890273</v>
      </c>
      <c r="T77" s="83">
        <f t="shared" ca="1" si="19"/>
        <v>2.0274422755890273</v>
      </c>
      <c r="W77" s="1"/>
      <c r="Z77" s="6"/>
    </row>
    <row r="78" spans="1:26" x14ac:dyDescent="0.3">
      <c r="A78" s="11">
        <v>34669</v>
      </c>
      <c r="B78" s="94">
        <v>6664.14</v>
      </c>
      <c r="C78" s="97">
        <v>6594.21</v>
      </c>
      <c r="D78" s="109">
        <v>69.930000000000007</v>
      </c>
      <c r="E78" s="109">
        <v>364.24</v>
      </c>
      <c r="F78" s="16">
        <f t="shared" ca="1" si="10"/>
        <v>109.04595888426805</v>
      </c>
      <c r="G78" s="12">
        <f t="shared" si="11"/>
        <v>1.7406666666666666</v>
      </c>
      <c r="H78" s="12">
        <f t="shared" si="12"/>
        <v>105.59266666666667</v>
      </c>
      <c r="I78" s="17" cm="1">
        <f t="array" ref="I78">IF(MONTH(A78) = LOOKUP(YEAR(A78), YEAR('CNY Dates'!A$2:A$34), 'CNY Dates'!B$2:B$34), LOOKUP(YEAR(A78), YEAR('Hongbao demand'!B$4:B$35), 'Hongbao demand'!F$4:F$35)  - O77, 0)</f>
        <v>0</v>
      </c>
      <c r="J78" s="18">
        <f t="shared" si="13"/>
        <v>1.7126255509347081</v>
      </c>
      <c r="K78" s="19">
        <v>11955.5333333333</v>
      </c>
      <c r="L78" s="12">
        <v>0.70672000000000001</v>
      </c>
      <c r="M78" s="14">
        <v>3.0166666666666671E-3</v>
      </c>
      <c r="N78" s="19">
        <f t="shared" ca="1" si="14"/>
        <v>255.19404111573198</v>
      </c>
      <c r="O78" s="12">
        <f t="shared" ca="1" si="16"/>
        <v>20.10546923292452</v>
      </c>
      <c r="P78" s="18">
        <f t="shared" ca="1" si="15"/>
        <v>0</v>
      </c>
      <c r="Q78" s="19">
        <f t="shared" ca="1" si="17"/>
        <v>0</v>
      </c>
      <c r="R78" s="12">
        <f t="shared" ca="1" si="17"/>
        <v>0</v>
      </c>
      <c r="S78" s="12">
        <f t="shared" ca="1" si="18"/>
        <v>2.010546923292452</v>
      </c>
      <c r="T78" s="83">
        <f t="shared" ca="1" si="19"/>
        <v>2.010546923292452</v>
      </c>
      <c r="W78" s="1"/>
      <c r="Z78" s="6"/>
    </row>
    <row r="79" spans="1:26" x14ac:dyDescent="0.3">
      <c r="A79" s="11">
        <v>34700</v>
      </c>
      <c r="B79" s="94">
        <v>7471.38</v>
      </c>
      <c r="C79" s="97">
        <v>7219.24</v>
      </c>
      <c r="D79" s="109">
        <v>252.14</v>
      </c>
      <c r="E79" s="109">
        <v>734.93</v>
      </c>
      <c r="F79" s="16">
        <f t="shared" ca="1" si="10"/>
        <v>72.730572416138074</v>
      </c>
      <c r="G79" s="12">
        <f t="shared" si="11"/>
        <v>0.5827500000000001</v>
      </c>
      <c r="H79" s="12">
        <f t="shared" si="12"/>
        <v>109.90349999999999</v>
      </c>
      <c r="I79" s="17" cm="1">
        <f t="array" aca="1" ref="I79" ca="1">IF(MONTH(A79) = LOOKUP(YEAR(A79), YEAR('CNY Dates'!A$2:A$34), 'CNY Dates'!B$2:B$34), LOOKUP(YEAR(A79), YEAR('Hongbao demand'!B$4:B$35), 'Hongbao demand'!F$4:F$35)  - O78, 0)</f>
        <v>-12.529554891922256</v>
      </c>
      <c r="J79" s="18">
        <f t="shared" si="13"/>
        <v>-25.226122691939665</v>
      </c>
      <c r="K79" s="19">
        <v>11477.3</v>
      </c>
      <c r="L79" s="12">
        <v>0.70825999999999989</v>
      </c>
      <c r="M79" s="14">
        <v>3.0166666666666671E-3</v>
      </c>
      <c r="N79" s="19">
        <f t="shared" ca="1" si="14"/>
        <v>662.19942758386185</v>
      </c>
      <c r="O79" s="12">
        <f t="shared" ca="1" si="16"/>
        <v>131.88420000000002</v>
      </c>
      <c r="P79" s="18">
        <f t="shared" ca="1" si="15"/>
        <v>192.41542758386186</v>
      </c>
      <c r="Q79" s="19">
        <f t="shared" ca="1" si="17"/>
        <v>28.862314137579276</v>
      </c>
      <c r="R79" s="12">
        <f t="shared" ca="1" si="17"/>
        <v>38.483085516772377</v>
      </c>
      <c r="S79" s="12">
        <f t="shared" ca="1" si="18"/>
        <v>13.188420000000002</v>
      </c>
      <c r="T79" s="83">
        <f t="shared" ca="1" si="19"/>
        <v>80.53381965435166</v>
      </c>
      <c r="W79" s="1"/>
      <c r="Z79" s="6"/>
    </row>
    <row r="80" spans="1:26" x14ac:dyDescent="0.3">
      <c r="A80" s="11">
        <v>34731</v>
      </c>
      <c r="B80" s="94">
        <v>6926.15</v>
      </c>
      <c r="C80" s="97">
        <v>6699.14</v>
      </c>
      <c r="D80" s="109">
        <v>227.01</v>
      </c>
      <c r="E80" s="109">
        <v>0</v>
      </c>
      <c r="F80" s="16">
        <f t="shared" ca="1" si="10"/>
        <v>121.82349125186852</v>
      </c>
      <c r="G80" s="12">
        <f t="shared" si="11"/>
        <v>2.1011666666666664</v>
      </c>
      <c r="H80" s="12">
        <f t="shared" si="12"/>
        <v>120.32066666666667</v>
      </c>
      <c r="I80" s="17" cm="1">
        <f t="array" ref="I80">IF(MONTH(A80) = LOOKUP(YEAR(A80), YEAR('CNY Dates'!A$2:A$34), 'CNY Dates'!B$2:B$34), LOOKUP(YEAR(A80), YEAR('Hongbao demand'!B$4:B$35), 'Hongbao demand'!F$4:F$35)  - O79, 0)</f>
        <v>0</v>
      </c>
      <c r="J80" s="18">
        <f t="shared" si="13"/>
        <v>-0.59834208146481915</v>
      </c>
      <c r="K80" s="19">
        <v>11477.3</v>
      </c>
      <c r="L80" s="12">
        <v>0.70899000000000001</v>
      </c>
      <c r="M80" s="14">
        <v>3.0166666666666671E-3</v>
      </c>
      <c r="N80" s="19">
        <f t="shared" ca="1" si="14"/>
        <v>-121.82349125186852</v>
      </c>
      <c r="O80" s="12">
        <f t="shared" ca="1" si="16"/>
        <v>130.78516500000003</v>
      </c>
      <c r="P80" s="18">
        <f t="shared" ca="1" si="15"/>
        <v>0</v>
      </c>
      <c r="Q80" s="19">
        <f t="shared" ca="1" si="17"/>
        <v>0</v>
      </c>
      <c r="R80" s="12">
        <f t="shared" ca="1" si="17"/>
        <v>0</v>
      </c>
      <c r="S80" s="12">
        <f t="shared" ca="1" si="18"/>
        <v>13.078516500000005</v>
      </c>
      <c r="T80" s="83">
        <f t="shared" ca="1" si="19"/>
        <v>13.078516500000005</v>
      </c>
      <c r="W80" s="1"/>
      <c r="Z80" s="6"/>
    </row>
    <row r="81" spans="1:26" x14ac:dyDescent="0.3">
      <c r="A81" s="11">
        <v>34759</v>
      </c>
      <c r="B81" s="94">
        <v>6799.24</v>
      </c>
      <c r="C81" s="97">
        <v>6615.21</v>
      </c>
      <c r="D81" s="109">
        <v>184.03</v>
      </c>
      <c r="E81" s="109">
        <v>27.72</v>
      </c>
      <c r="F81" s="16">
        <f t="shared" ca="1" si="10"/>
        <v>115.32815856944303</v>
      </c>
      <c r="G81" s="12">
        <f t="shared" si="11"/>
        <v>1.8917499999999998</v>
      </c>
      <c r="H81" s="12">
        <f t="shared" si="12"/>
        <v>111.65233333333335</v>
      </c>
      <c r="I81" s="17" cm="1">
        <f t="array" ref="I81">IF(MONTH(A81) = LOOKUP(YEAR(A81), YEAR('CNY Dates'!A$2:A$34), 'CNY Dates'!B$2:B$34), LOOKUP(YEAR(A81), YEAR('Hongbao demand'!B$4:B$35), 'Hongbao demand'!F$4:F$35)  - O80, 0)</f>
        <v>0</v>
      </c>
      <c r="J81" s="18">
        <f t="shared" si="13"/>
        <v>1.784075236109691</v>
      </c>
      <c r="K81" s="19">
        <v>11477.3</v>
      </c>
      <c r="L81" s="12">
        <v>0.70680999999999994</v>
      </c>
      <c r="M81" s="14">
        <v>3.0166666666666671E-3</v>
      </c>
      <c r="N81" s="19">
        <f t="shared" ca="1" si="14"/>
        <v>-87.608158569443034</v>
      </c>
      <c r="O81" s="12">
        <f t="shared" ca="1" si="16"/>
        <v>129.69528862500002</v>
      </c>
      <c r="P81" s="18">
        <f t="shared" ca="1" si="15"/>
        <v>0</v>
      </c>
      <c r="Q81" s="19">
        <f t="shared" ca="1" si="17"/>
        <v>0</v>
      </c>
      <c r="R81" s="12">
        <f t="shared" ca="1" si="17"/>
        <v>0</v>
      </c>
      <c r="S81" s="12">
        <f t="shared" ca="1" si="18"/>
        <v>12.969528862500002</v>
      </c>
      <c r="T81" s="83">
        <f t="shared" ca="1" si="19"/>
        <v>12.969528862500002</v>
      </c>
      <c r="W81" s="1"/>
      <c r="Z81" s="6"/>
    </row>
    <row r="82" spans="1:26" x14ac:dyDescent="0.3">
      <c r="A82" s="11">
        <v>34790</v>
      </c>
      <c r="B82" s="94">
        <v>6828.64</v>
      </c>
      <c r="C82" s="97">
        <v>6716.22</v>
      </c>
      <c r="D82" s="109">
        <v>112.42</v>
      </c>
      <c r="E82" s="109">
        <v>211.26</v>
      </c>
      <c r="F82" s="16">
        <f t="shared" ca="1" si="10"/>
        <v>134.3110781923524</v>
      </c>
      <c r="G82" s="12">
        <f t="shared" si="11"/>
        <v>1.5335833333333333</v>
      </c>
      <c r="H82" s="12">
        <f t="shared" si="12"/>
        <v>110.2535</v>
      </c>
      <c r="I82" s="17" cm="1">
        <f t="array" ref="I82">IF(MONTH(A82) = LOOKUP(YEAR(A82), YEAR('CNY Dates'!A$2:A$34), 'CNY Dates'!B$2:B$34), LOOKUP(YEAR(A82), YEAR('Hongbao demand'!B$4:B$35), 'Hongbao demand'!F$4:F$35)  - O81, 0)</f>
        <v>0</v>
      </c>
      <c r="J82" s="18">
        <f t="shared" si="13"/>
        <v>22.523994859019055</v>
      </c>
      <c r="K82" s="19">
        <v>11982.8666666667</v>
      </c>
      <c r="L82" s="12">
        <v>0.71022000000000007</v>
      </c>
      <c r="M82" s="14">
        <v>3.0166666666666671E-3</v>
      </c>
      <c r="N82" s="19">
        <f t="shared" ca="1" si="14"/>
        <v>76.948921807647594</v>
      </c>
      <c r="O82" s="12">
        <f t="shared" ca="1" si="16"/>
        <v>128.61449455312501</v>
      </c>
      <c r="P82" s="18">
        <f t="shared" ca="1" si="15"/>
        <v>0</v>
      </c>
      <c r="Q82" s="19">
        <f t="shared" ca="1" si="17"/>
        <v>0</v>
      </c>
      <c r="R82" s="12">
        <f t="shared" ca="1" si="17"/>
        <v>0</v>
      </c>
      <c r="S82" s="12">
        <f t="shared" ca="1" si="18"/>
        <v>12.861449455312503</v>
      </c>
      <c r="T82" s="83">
        <f t="shared" ca="1" si="19"/>
        <v>12.861449455312503</v>
      </c>
      <c r="W82" s="1"/>
      <c r="Z82" s="6"/>
    </row>
    <row r="83" spans="1:26" x14ac:dyDescent="0.3">
      <c r="A83" s="11">
        <v>34820</v>
      </c>
      <c r="B83" s="94">
        <v>6836.55</v>
      </c>
      <c r="C83" s="97">
        <v>6623.96</v>
      </c>
      <c r="D83" s="109">
        <v>212.59</v>
      </c>
      <c r="E83" s="109">
        <v>19.68</v>
      </c>
      <c r="F83" s="16">
        <f t="shared" ca="1" si="10"/>
        <v>110.58062407200539</v>
      </c>
      <c r="G83" s="12">
        <f t="shared" si="11"/>
        <v>0.9368333333333333</v>
      </c>
      <c r="H83" s="12">
        <f t="shared" si="12"/>
        <v>111.937</v>
      </c>
      <c r="I83" s="17" cm="1">
        <f t="array" ref="I83">IF(MONTH(A83) = LOOKUP(YEAR(A83), YEAR('CNY Dates'!A$2:A$34), 'CNY Dates'!B$2:B$34), LOOKUP(YEAR(A83), YEAR('Hongbao demand'!B$4:B$35), 'Hongbao demand'!F$4:F$35)  - O82, 0)</f>
        <v>0</v>
      </c>
      <c r="J83" s="18">
        <f t="shared" si="13"/>
        <v>-2.2932092613279473</v>
      </c>
      <c r="K83" s="19">
        <v>11982.8666666667</v>
      </c>
      <c r="L83" s="12">
        <v>0.71296000000000004</v>
      </c>
      <c r="M83" s="14">
        <v>3.0166666666666671E-3</v>
      </c>
      <c r="N83" s="19">
        <f t="shared" ca="1" si="14"/>
        <v>-90.9006240720054</v>
      </c>
      <c r="O83" s="12">
        <f t="shared" ca="1" si="16"/>
        <v>127.54270709851563</v>
      </c>
      <c r="P83" s="18">
        <f t="shared" ca="1" si="15"/>
        <v>0</v>
      </c>
      <c r="Q83" s="19">
        <f t="shared" ca="1" si="17"/>
        <v>0</v>
      </c>
      <c r="R83" s="12">
        <f t="shared" ca="1" si="17"/>
        <v>0</v>
      </c>
      <c r="S83" s="12">
        <f t="shared" ca="1" si="18"/>
        <v>12.754270709851564</v>
      </c>
      <c r="T83" s="83">
        <f t="shared" ca="1" si="19"/>
        <v>12.754270709851564</v>
      </c>
      <c r="W83" s="1"/>
      <c r="Z83" s="6"/>
    </row>
    <row r="84" spans="1:26" x14ac:dyDescent="0.3">
      <c r="A84" s="11">
        <v>34851</v>
      </c>
      <c r="B84" s="94">
        <v>6793.01</v>
      </c>
      <c r="C84" s="97">
        <v>6664.98</v>
      </c>
      <c r="D84" s="109">
        <v>128.03</v>
      </c>
      <c r="E84" s="109">
        <v>151.41999999999999</v>
      </c>
      <c r="F84" s="16">
        <f t="shared" ca="1" si="10"/>
        <v>140.28111944056903</v>
      </c>
      <c r="G84" s="12">
        <f t="shared" si="11"/>
        <v>1.7715833333333333</v>
      </c>
      <c r="H84" s="12">
        <f t="shared" si="12"/>
        <v>110.39933333333333</v>
      </c>
      <c r="I84" s="17" cm="1">
        <f t="array" ref="I84">IF(MONTH(A84) = LOOKUP(YEAR(A84), YEAR('CNY Dates'!A$2:A$34), 'CNY Dates'!B$2:B$34), LOOKUP(YEAR(A84), YEAR('Hongbao demand'!B$4:B$35), 'Hongbao demand'!F$4:F$35)  - O83, 0)</f>
        <v>0</v>
      </c>
      <c r="J84" s="18">
        <f t="shared" si="13"/>
        <v>28.110202773902365</v>
      </c>
      <c r="K84" s="19">
        <v>11982.8666666667</v>
      </c>
      <c r="L84" s="12">
        <v>0.71400999999999992</v>
      </c>
      <c r="M84" s="14">
        <v>2.8750000000000004E-3</v>
      </c>
      <c r="N84" s="19">
        <f t="shared" ca="1" si="14"/>
        <v>11.138880559430959</v>
      </c>
      <c r="O84" s="12">
        <f t="shared" ca="1" si="16"/>
        <v>126.47985120602802</v>
      </c>
      <c r="P84" s="18">
        <f t="shared" ca="1" si="15"/>
        <v>0</v>
      </c>
      <c r="Q84" s="19">
        <f t="shared" ca="1" si="17"/>
        <v>0</v>
      </c>
      <c r="R84" s="12">
        <f t="shared" ca="1" si="17"/>
        <v>0</v>
      </c>
      <c r="S84" s="12">
        <f t="shared" ca="1" si="18"/>
        <v>12.647985120602803</v>
      </c>
      <c r="T84" s="83">
        <f t="shared" ca="1" si="19"/>
        <v>12.647985120602803</v>
      </c>
      <c r="W84" s="1"/>
      <c r="Z84" s="6"/>
    </row>
    <row r="85" spans="1:26" x14ac:dyDescent="0.3">
      <c r="A85" s="11">
        <v>34881</v>
      </c>
      <c r="B85" s="94">
        <v>6786.22</v>
      </c>
      <c r="C85" s="97">
        <v>6647.27</v>
      </c>
      <c r="D85" s="109">
        <v>138.94999999999999</v>
      </c>
      <c r="E85" s="109">
        <v>93.37</v>
      </c>
      <c r="F85" s="16">
        <f t="shared" ca="1" si="10"/>
        <v>150.98568549569944</v>
      </c>
      <c r="G85" s="12">
        <f t="shared" si="11"/>
        <v>1.0669166666666667</v>
      </c>
      <c r="H85" s="12">
        <f t="shared" si="12"/>
        <v>111.083</v>
      </c>
      <c r="I85" s="17" cm="1">
        <f t="array" ref="I85">IF(MONTH(A85) = LOOKUP(YEAR(A85), YEAR('CNY Dates'!A$2:A$34), 'CNY Dates'!B$2:B$34), LOOKUP(YEAR(A85), YEAR('Hongbao demand'!B$4:B$35), 'Hongbao demand'!F$4:F$35)  - O84, 0)</f>
        <v>0</v>
      </c>
      <c r="J85" s="18">
        <f t="shared" si="13"/>
        <v>38.835768829032787</v>
      </c>
      <c r="K85" s="19">
        <v>12739.0666666667</v>
      </c>
      <c r="L85" s="12">
        <v>0.71287999999999996</v>
      </c>
      <c r="M85" s="14">
        <v>2.8750000000000004E-3</v>
      </c>
      <c r="N85" s="19">
        <f t="shared" ca="1" si="14"/>
        <v>-57.615685495699438</v>
      </c>
      <c r="O85" s="12">
        <f t="shared" ca="1" si="16"/>
        <v>125.42585244597778</v>
      </c>
      <c r="P85" s="18">
        <f t="shared" ca="1" si="15"/>
        <v>0</v>
      </c>
      <c r="Q85" s="19">
        <f t="shared" ca="1" si="17"/>
        <v>0</v>
      </c>
      <c r="R85" s="12">
        <f t="shared" ca="1" si="17"/>
        <v>0</v>
      </c>
      <c r="S85" s="12">
        <f t="shared" ca="1" si="18"/>
        <v>12.542585244597779</v>
      </c>
      <c r="T85" s="83">
        <f t="shared" ca="1" si="19"/>
        <v>12.542585244597779</v>
      </c>
      <c r="W85" s="1"/>
      <c r="Z85" s="6"/>
    </row>
    <row r="86" spans="1:26" x14ac:dyDescent="0.3">
      <c r="A86" s="11">
        <v>34912</v>
      </c>
      <c r="B86" s="94">
        <v>6823.46</v>
      </c>
      <c r="C86" s="97">
        <v>6660.36</v>
      </c>
      <c r="D86" s="109">
        <v>163.1</v>
      </c>
      <c r="E86" s="109">
        <v>123.88</v>
      </c>
      <c r="F86" s="16">
        <f t="shared" ca="1" si="10"/>
        <v>119.11985869521801</v>
      </c>
      <c r="G86" s="12">
        <f t="shared" si="11"/>
        <v>1.1579166666666665</v>
      </c>
      <c r="H86" s="12">
        <f t="shared" si="12"/>
        <v>110.78783333333334</v>
      </c>
      <c r="I86" s="17" cm="1">
        <f t="array" ref="I86">IF(MONTH(A86) = LOOKUP(YEAR(A86), YEAR('CNY Dates'!A$2:A$34), 'CNY Dates'!B$2:B$34), LOOKUP(YEAR(A86), YEAR('Hongbao demand'!B$4:B$35), 'Hongbao demand'!F$4:F$35)  - O85, 0)</f>
        <v>0</v>
      </c>
      <c r="J86" s="18">
        <f t="shared" si="13"/>
        <v>7.1741086952180151</v>
      </c>
      <c r="K86" s="19">
        <v>12739.0666666667</v>
      </c>
      <c r="L86" s="12">
        <v>0.71308000000000005</v>
      </c>
      <c r="M86" s="14">
        <v>2.8416666666666664E-3</v>
      </c>
      <c r="N86" s="19">
        <f t="shared" ca="1" si="14"/>
        <v>4.7601413047819818</v>
      </c>
      <c r="O86" s="12">
        <f t="shared" ca="1" si="16"/>
        <v>124.38063700892798</v>
      </c>
      <c r="P86" s="18">
        <f t="shared" ca="1" si="15"/>
        <v>0</v>
      </c>
      <c r="Q86" s="19">
        <f t="shared" ca="1" si="17"/>
        <v>0</v>
      </c>
      <c r="R86" s="12">
        <f t="shared" ca="1" si="17"/>
        <v>0</v>
      </c>
      <c r="S86" s="12">
        <f t="shared" ca="1" si="18"/>
        <v>12.438063700892798</v>
      </c>
      <c r="T86" s="83">
        <f t="shared" ca="1" si="19"/>
        <v>12.438063700892798</v>
      </c>
      <c r="W86" s="1"/>
      <c r="Z86" s="6"/>
    </row>
    <row r="87" spans="1:26" x14ac:dyDescent="0.3">
      <c r="A87" s="11">
        <v>34943</v>
      </c>
      <c r="B87" s="94">
        <v>6851.32</v>
      </c>
      <c r="C87" s="97">
        <v>6707.89</v>
      </c>
      <c r="D87" s="109">
        <v>143.43</v>
      </c>
      <c r="E87" s="109">
        <v>158.54</v>
      </c>
      <c r="F87" s="16">
        <f t="shared" ca="1" si="10"/>
        <v>112.32970703673593</v>
      </c>
      <c r="G87" s="12">
        <f t="shared" si="11"/>
        <v>1.3591666666666666</v>
      </c>
      <c r="H87" s="12">
        <f t="shared" si="12"/>
        <v>111.006</v>
      </c>
      <c r="I87" s="17" cm="1">
        <f t="array" ref="I87">IF(MONTH(A87) = LOOKUP(YEAR(A87), YEAR('CNY Dates'!A$2:A$34), 'CNY Dates'!B$2:B$34), LOOKUP(YEAR(A87), YEAR('Hongbao demand'!B$4:B$35), 'Hongbao demand'!F$4:F$35)  - O86, 0)</f>
        <v>0</v>
      </c>
      <c r="J87" s="18">
        <f t="shared" si="13"/>
        <v>-3.5459629930742413E-2</v>
      </c>
      <c r="K87" s="19">
        <v>12739.0666666667</v>
      </c>
      <c r="L87" s="12">
        <v>0.71311999999999998</v>
      </c>
      <c r="M87" s="14">
        <v>2.8416666666666664E-3</v>
      </c>
      <c r="N87" s="19">
        <f t="shared" ca="1" si="14"/>
        <v>46.210292963264067</v>
      </c>
      <c r="O87" s="12">
        <f t="shared" ca="1" si="16"/>
        <v>123.34413170052024</v>
      </c>
      <c r="P87" s="18">
        <f t="shared" ca="1" si="15"/>
        <v>0</v>
      </c>
      <c r="Q87" s="19">
        <f t="shared" ca="1" si="17"/>
        <v>0</v>
      </c>
      <c r="R87" s="12">
        <f t="shared" ca="1" si="17"/>
        <v>0</v>
      </c>
      <c r="S87" s="12">
        <f t="shared" ca="1" si="18"/>
        <v>12.334413170052024</v>
      </c>
      <c r="T87" s="83">
        <f t="shared" ca="1" si="19"/>
        <v>12.334413170052024</v>
      </c>
      <c r="W87" s="1"/>
      <c r="Z87" s="6"/>
    </row>
    <row r="88" spans="1:26" x14ac:dyDescent="0.3">
      <c r="A88" s="11">
        <v>34973</v>
      </c>
      <c r="B88" s="94">
        <v>6880.3</v>
      </c>
      <c r="C88" s="97">
        <v>6631.1</v>
      </c>
      <c r="D88" s="109">
        <v>249.2</v>
      </c>
      <c r="E88" s="109">
        <v>35.01</v>
      </c>
      <c r="F88" s="16">
        <f t="shared" ca="1" si="10"/>
        <v>118.79423415307782</v>
      </c>
      <c r="G88" s="12">
        <f t="shared" si="11"/>
        <v>1.1952500000000001</v>
      </c>
      <c r="H88" s="12">
        <f t="shared" si="12"/>
        <v>111.79816666666667</v>
      </c>
      <c r="I88" s="17" cm="1">
        <f t="array" ref="I88">IF(MONTH(A88) = LOOKUP(YEAR(A88), YEAR('CNY Dates'!A$2:A$34), 'CNY Dates'!B$2:B$34), LOOKUP(YEAR(A88), YEAR('Hongbao demand'!B$4:B$35), 'Hongbao demand'!F$4:F$35)  - O87, 0)</f>
        <v>0</v>
      </c>
      <c r="J88" s="18">
        <f t="shared" si="13"/>
        <v>5.8008174864111508</v>
      </c>
      <c r="K88" s="19">
        <v>12870.166666666701</v>
      </c>
      <c r="L88" s="12">
        <v>0.71389999999999998</v>
      </c>
      <c r="M88" s="14">
        <v>2.8416666666666664E-3</v>
      </c>
      <c r="N88" s="19">
        <f t="shared" ca="1" si="14"/>
        <v>-83.784234153077819</v>
      </c>
      <c r="O88" s="12">
        <f t="shared" ca="1" si="16"/>
        <v>122.31626393634924</v>
      </c>
      <c r="P88" s="18">
        <f t="shared" ca="1" si="15"/>
        <v>0</v>
      </c>
      <c r="Q88" s="19">
        <f t="shared" ca="1" si="17"/>
        <v>0</v>
      </c>
      <c r="R88" s="12">
        <f t="shared" ca="1" si="17"/>
        <v>0</v>
      </c>
      <c r="S88" s="12">
        <f t="shared" ca="1" si="18"/>
        <v>12.231626393634926</v>
      </c>
      <c r="T88" s="83">
        <f t="shared" ca="1" si="19"/>
        <v>12.231626393634926</v>
      </c>
      <c r="W88" s="1"/>
      <c r="Z88" s="6"/>
    </row>
    <row r="89" spans="1:26" x14ac:dyDescent="0.3">
      <c r="A89" s="11">
        <v>35004</v>
      </c>
      <c r="B89" s="94">
        <v>6915.16</v>
      </c>
      <c r="C89" s="97">
        <v>6688.71</v>
      </c>
      <c r="D89" s="109">
        <v>226.45</v>
      </c>
      <c r="E89" s="109">
        <v>168.13</v>
      </c>
      <c r="F89" s="16">
        <f t="shared" ca="1" si="10"/>
        <v>111.30309648223799</v>
      </c>
      <c r="G89" s="12">
        <f t="shared" si="11"/>
        <v>2.0766666666666667</v>
      </c>
      <c r="H89" s="12">
        <f t="shared" si="12"/>
        <v>110.51833333333335</v>
      </c>
      <c r="I89" s="17" cm="1">
        <f t="array" ref="I89">IF(MONTH(A89) = LOOKUP(YEAR(A89), YEAR('CNY Dates'!A$2:A$34), 'CNY Dates'!B$2:B$34), LOOKUP(YEAR(A89), YEAR('Hongbao demand'!B$4:B$35), 'Hongbao demand'!F$4:F$35)  - O88, 0)</f>
        <v>0</v>
      </c>
      <c r="J89" s="18">
        <f t="shared" si="13"/>
        <v>-1.2919035177620206</v>
      </c>
      <c r="K89" s="19">
        <v>12870.166666666701</v>
      </c>
      <c r="L89" s="12">
        <v>0.71534999999999993</v>
      </c>
      <c r="M89" s="14">
        <v>2.8416666666666664E-3</v>
      </c>
      <c r="N89" s="19">
        <f t="shared" ca="1" si="14"/>
        <v>56.826903517762005</v>
      </c>
      <c r="O89" s="12">
        <f t="shared" ca="1" si="16"/>
        <v>121.29696173687967</v>
      </c>
      <c r="P89" s="18">
        <f t="shared" ca="1" si="15"/>
        <v>0</v>
      </c>
      <c r="Q89" s="19">
        <f t="shared" ca="1" si="17"/>
        <v>0</v>
      </c>
      <c r="R89" s="12">
        <f t="shared" ca="1" si="17"/>
        <v>0</v>
      </c>
      <c r="S89" s="12">
        <f t="shared" ca="1" si="18"/>
        <v>12.129696173687968</v>
      </c>
      <c r="T89" s="83">
        <f t="shared" ca="1" si="19"/>
        <v>12.129696173687968</v>
      </c>
      <c r="W89" s="1"/>
      <c r="Z89" s="6"/>
    </row>
    <row r="90" spans="1:26" x14ac:dyDescent="0.3">
      <c r="A90" s="11">
        <v>35034</v>
      </c>
      <c r="B90" s="94">
        <v>7037.73</v>
      </c>
      <c r="C90" s="97">
        <v>6934.55</v>
      </c>
      <c r="D90" s="109">
        <v>103.18</v>
      </c>
      <c r="E90" s="109">
        <v>357.32</v>
      </c>
      <c r="F90" s="16">
        <f t="shared" ca="1" si="10"/>
        <v>115.74750958889867</v>
      </c>
      <c r="G90" s="12">
        <f t="shared" si="11"/>
        <v>1.8870833333333332</v>
      </c>
      <c r="H90" s="12">
        <f t="shared" si="12"/>
        <v>111.4785</v>
      </c>
      <c r="I90" s="17" cm="1">
        <f t="array" ref="I90">IF(MONTH(A90) = LOOKUP(YEAR(A90), YEAR('CNY Dates'!A$2:A$34), 'CNY Dates'!B$2:B$34), LOOKUP(YEAR(A90), YEAR('Hongbao demand'!B$4:B$35), 'Hongbao demand'!F$4:F$35)  - O89, 0)</f>
        <v>0</v>
      </c>
      <c r="J90" s="18">
        <f t="shared" si="13"/>
        <v>2.3819262555653351</v>
      </c>
      <c r="K90" s="19">
        <v>12870.166666666701</v>
      </c>
      <c r="L90" s="12">
        <v>0.71266999999999991</v>
      </c>
      <c r="M90" s="14">
        <v>2.8416666666666664E-3</v>
      </c>
      <c r="N90" s="19">
        <f t="shared" ca="1" si="14"/>
        <v>241.57249041110134</v>
      </c>
      <c r="O90" s="12">
        <f t="shared" ca="1" si="16"/>
        <v>120.28615372240567</v>
      </c>
      <c r="P90" s="18">
        <f t="shared" ca="1" si="15"/>
        <v>0</v>
      </c>
      <c r="Q90" s="19">
        <f t="shared" ca="1" si="17"/>
        <v>0</v>
      </c>
      <c r="R90" s="12">
        <f t="shared" ca="1" si="17"/>
        <v>0</v>
      </c>
      <c r="S90" s="12">
        <f t="shared" ca="1" si="18"/>
        <v>12.028615372240568</v>
      </c>
      <c r="T90" s="83">
        <f t="shared" ca="1" si="19"/>
        <v>12.028615372240568</v>
      </c>
      <c r="W90" s="1"/>
      <c r="Z90" s="6"/>
    </row>
    <row r="91" spans="1:26" x14ac:dyDescent="0.3">
      <c r="A91" s="11">
        <v>35065</v>
      </c>
      <c r="B91" s="94">
        <v>7123.06</v>
      </c>
      <c r="C91" s="97">
        <v>6814.36</v>
      </c>
      <c r="D91" s="109">
        <v>308.7</v>
      </c>
      <c r="E91" s="109">
        <v>0</v>
      </c>
      <c r="F91" s="16">
        <f t="shared" ca="1" si="10"/>
        <v>112.20842298558038</v>
      </c>
      <c r="G91" s="12">
        <f t="shared" si="11"/>
        <v>0.85983333333333334</v>
      </c>
      <c r="H91" s="12">
        <f t="shared" si="12"/>
        <v>115.57583333333334</v>
      </c>
      <c r="I91" s="17" cm="1">
        <f t="array" ref="I91">IF(MONTH(A91) = LOOKUP(YEAR(A91), YEAR('CNY Dates'!A$2:A$34), 'CNY Dates'!B$2:B$34), LOOKUP(YEAR(A91), YEAR('Hongbao demand'!B$4:B$35), 'Hongbao demand'!F$4:F$35)  - O90, 0)</f>
        <v>0</v>
      </c>
      <c r="J91" s="18">
        <f t="shared" si="13"/>
        <v>-4.227243681086275</v>
      </c>
      <c r="K91" s="19">
        <v>12820.233333333301</v>
      </c>
      <c r="L91" s="12">
        <v>0.71463999999999994</v>
      </c>
      <c r="M91" s="14">
        <v>2.8416666666666664E-3</v>
      </c>
      <c r="N91" s="19">
        <f t="shared" ca="1" si="14"/>
        <v>-112.20842298558038</v>
      </c>
      <c r="O91" s="12">
        <f t="shared" ca="1" si="16"/>
        <v>119.28376910805228</v>
      </c>
      <c r="P91" s="18">
        <f t="shared" ca="1" si="15"/>
        <v>0</v>
      </c>
      <c r="Q91" s="19">
        <f t="shared" ca="1" si="17"/>
        <v>0</v>
      </c>
      <c r="R91" s="12">
        <f t="shared" ca="1" si="17"/>
        <v>0</v>
      </c>
      <c r="S91" s="12">
        <f t="shared" ca="1" si="18"/>
        <v>11.928376910805229</v>
      </c>
      <c r="T91" s="83">
        <f t="shared" ca="1" si="19"/>
        <v>11.928376910805229</v>
      </c>
      <c r="W91" s="1"/>
      <c r="Z91" s="6"/>
    </row>
    <row r="92" spans="1:26" x14ac:dyDescent="0.3">
      <c r="A92" s="11">
        <v>35096</v>
      </c>
      <c r="B92" s="94">
        <v>7388.43</v>
      </c>
      <c r="C92" s="97">
        <v>7187.25</v>
      </c>
      <c r="D92" s="109">
        <v>201.18</v>
      </c>
      <c r="E92" s="109">
        <v>486.46</v>
      </c>
      <c r="F92" s="16">
        <f t="shared" ca="1" si="10"/>
        <v>-0.45437586846661482</v>
      </c>
      <c r="G92" s="12">
        <f t="shared" si="11"/>
        <v>2.5724999999999998</v>
      </c>
      <c r="H92" s="12">
        <f t="shared" si="12"/>
        <v>113.57266666666666</v>
      </c>
      <c r="I92" s="17" cm="1">
        <f t="array" aca="1" ref="I92" ca="1">IF(MONTH(A92) = LOOKUP(YEAR(A92), YEAR('CNY Dates'!A$2:A$34), 'CNY Dates'!B$2:B$34), LOOKUP(YEAR(A92), YEAR('Hongbao demand'!B$4:B$35), 'Hongbao demand'!F$4:F$35)  - O91, 0)</f>
        <v>-111.38331987710541</v>
      </c>
      <c r="J92" s="18">
        <f t="shared" si="13"/>
        <v>-5.2162226580278759</v>
      </c>
      <c r="K92" s="19">
        <v>12820.233333333301</v>
      </c>
      <c r="L92" s="12">
        <v>0.72049999999999992</v>
      </c>
      <c r="M92" s="14">
        <v>2.8416666666666664E-3</v>
      </c>
      <c r="N92" s="19">
        <f t="shared" ca="1" si="14"/>
        <v>486.91437586846661</v>
      </c>
      <c r="O92" s="12">
        <f t="shared" ca="1" si="16"/>
        <v>97.382875173693321</v>
      </c>
      <c r="P92" s="18">
        <f t="shared" ca="1" si="15"/>
        <v>0</v>
      </c>
      <c r="Q92" s="19">
        <f t="shared" ca="1" si="17"/>
        <v>0</v>
      </c>
      <c r="R92" s="12">
        <f t="shared" ca="1" si="17"/>
        <v>0</v>
      </c>
      <c r="S92" s="12">
        <f t="shared" ca="1" si="18"/>
        <v>9.7382875173693328</v>
      </c>
      <c r="T92" s="83">
        <f t="shared" ca="1" si="19"/>
        <v>9.7382875173693328</v>
      </c>
      <c r="W92" s="1"/>
      <c r="Z92" s="6"/>
    </row>
    <row r="93" spans="1:26" x14ac:dyDescent="0.3">
      <c r="A93" s="11">
        <v>35125</v>
      </c>
      <c r="B93" s="94">
        <v>7117.6</v>
      </c>
      <c r="C93" s="97">
        <v>6633.13</v>
      </c>
      <c r="D93" s="109">
        <v>484.47</v>
      </c>
      <c r="E93" s="109">
        <v>0</v>
      </c>
      <c r="F93" s="16">
        <f t="shared" ca="1" si="10"/>
        <v>124.24777406783835</v>
      </c>
      <c r="G93" s="12">
        <f t="shared" si="11"/>
        <v>1.6765000000000001</v>
      </c>
      <c r="H93" s="12">
        <f t="shared" si="12"/>
        <v>119.78749999999999</v>
      </c>
      <c r="I93" s="17" cm="1">
        <f t="array" ref="I93">IF(MONTH(A93) = LOOKUP(YEAR(A93), YEAR('CNY Dates'!A$2:A$34), 'CNY Dates'!B$2:B$34), LOOKUP(YEAR(A93), YEAR('Hongbao demand'!B$4:B$35), 'Hongbao demand'!F$4:F$35)  - O92, 0)</f>
        <v>0</v>
      </c>
      <c r="J93" s="18">
        <f t="shared" si="13"/>
        <v>2.7837740678383454</v>
      </c>
      <c r="K93" s="19">
        <v>12820.233333333301</v>
      </c>
      <c r="L93" s="12">
        <v>0.71735000000000004</v>
      </c>
      <c r="M93" s="14">
        <v>2.8416666666666664E-3</v>
      </c>
      <c r="N93" s="19">
        <f t="shared" ca="1" si="14"/>
        <v>-124.24777406783835</v>
      </c>
      <c r="O93" s="12">
        <f t="shared" ca="1" si="16"/>
        <v>96.571351213912536</v>
      </c>
      <c r="P93" s="18">
        <f t="shared" ca="1" si="15"/>
        <v>0</v>
      </c>
      <c r="Q93" s="19">
        <f t="shared" ca="1" si="17"/>
        <v>0</v>
      </c>
      <c r="R93" s="12">
        <f t="shared" ca="1" si="17"/>
        <v>0</v>
      </c>
      <c r="S93" s="12">
        <f t="shared" ca="1" si="18"/>
        <v>9.6571351213912546</v>
      </c>
      <c r="T93" s="83">
        <f t="shared" ca="1" si="19"/>
        <v>9.6571351213912546</v>
      </c>
      <c r="W93" s="1"/>
      <c r="Z93" s="6"/>
    </row>
    <row r="94" spans="1:26" x14ac:dyDescent="0.3">
      <c r="A94" s="11">
        <v>35156</v>
      </c>
      <c r="B94" s="94">
        <v>7213.92</v>
      </c>
      <c r="C94" s="97">
        <v>6662.32</v>
      </c>
      <c r="D94" s="109">
        <v>551.6</v>
      </c>
      <c r="E94" s="109">
        <v>139.74</v>
      </c>
      <c r="F94" s="16">
        <f t="shared" ca="1" si="10"/>
        <v>123.56861311511715</v>
      </c>
      <c r="G94" s="12">
        <f t="shared" si="11"/>
        <v>4.0372500000000002</v>
      </c>
      <c r="H94" s="12">
        <f t="shared" si="12"/>
        <v>110.55216666666666</v>
      </c>
      <c r="I94" s="17" cm="1">
        <f t="array" ref="I94">IF(MONTH(A94) = LOOKUP(YEAR(A94), YEAR('CNY Dates'!A$2:A$34), 'CNY Dates'!B$2:B$34), LOOKUP(YEAR(A94), YEAR('Hongbao demand'!B$4:B$35), 'Hongbao demand'!F$4:F$35)  - O93, 0)</f>
        <v>0</v>
      </c>
      <c r="J94" s="18">
        <f t="shared" si="13"/>
        <v>8.9791964484504749</v>
      </c>
      <c r="K94" s="19">
        <v>13015.8</v>
      </c>
      <c r="L94" s="12">
        <v>0.71813000000000005</v>
      </c>
      <c r="M94" s="14">
        <v>2.8416666666666664E-3</v>
      </c>
      <c r="N94" s="19">
        <f t="shared" ca="1" si="14"/>
        <v>16.171386884882864</v>
      </c>
      <c r="O94" s="12">
        <f t="shared" ca="1" si="16"/>
        <v>95.766589953796611</v>
      </c>
      <c r="P94" s="18">
        <f t="shared" ca="1" si="15"/>
        <v>0</v>
      </c>
      <c r="Q94" s="19">
        <f t="shared" ca="1" si="17"/>
        <v>0</v>
      </c>
      <c r="R94" s="12">
        <f t="shared" ca="1" si="17"/>
        <v>0</v>
      </c>
      <c r="S94" s="12">
        <f t="shared" ca="1" si="18"/>
        <v>9.5766589953796615</v>
      </c>
      <c r="T94" s="83">
        <f t="shared" ca="1" si="19"/>
        <v>9.5766589953796615</v>
      </c>
      <c r="W94" s="1"/>
      <c r="Z94" s="6"/>
    </row>
    <row r="95" spans="1:26" x14ac:dyDescent="0.3">
      <c r="A95" s="11">
        <v>35186</v>
      </c>
      <c r="B95" s="94">
        <v>7213.57</v>
      </c>
      <c r="C95" s="97">
        <v>7004.27</v>
      </c>
      <c r="D95" s="109">
        <v>209.3</v>
      </c>
      <c r="E95" s="109">
        <v>452.99</v>
      </c>
      <c r="F95" s="16">
        <f t="shared" ca="1" si="10"/>
        <v>112.56904143622573</v>
      </c>
      <c r="G95" s="12">
        <f t="shared" si="11"/>
        <v>4.5966666666666667</v>
      </c>
      <c r="H95" s="12">
        <f t="shared" si="12"/>
        <v>111.03866666666666</v>
      </c>
      <c r="I95" s="17" cm="1">
        <f t="array" ref="I95">IF(MONTH(A95) = LOOKUP(YEAR(A95), YEAR('CNY Dates'!A$2:A$34), 'CNY Dates'!B$2:B$34), LOOKUP(YEAR(A95), YEAR('Hongbao demand'!B$4:B$35), 'Hongbao demand'!F$4:F$35)  - O94, 0)</f>
        <v>0</v>
      </c>
      <c r="J95" s="18">
        <f t="shared" si="13"/>
        <v>-3.0662918971075848</v>
      </c>
      <c r="K95" s="19">
        <v>13015.8</v>
      </c>
      <c r="L95" s="12">
        <v>0.72156000000000009</v>
      </c>
      <c r="M95" s="14">
        <v>2.8416666666666664E-3</v>
      </c>
      <c r="N95" s="19">
        <f t="shared" ca="1" si="14"/>
        <v>340.42095856377426</v>
      </c>
      <c r="O95" s="12">
        <f t="shared" ca="1" si="16"/>
        <v>94.968535037514982</v>
      </c>
      <c r="P95" s="18">
        <f t="shared" ca="1" si="15"/>
        <v>0</v>
      </c>
      <c r="Q95" s="19">
        <f t="shared" ca="1" si="17"/>
        <v>0</v>
      </c>
      <c r="R95" s="12">
        <f t="shared" ca="1" si="17"/>
        <v>0</v>
      </c>
      <c r="S95" s="12">
        <f t="shared" ca="1" si="18"/>
        <v>9.4968535037514989</v>
      </c>
      <c r="T95" s="83">
        <f t="shared" ca="1" si="19"/>
        <v>9.4968535037514989</v>
      </c>
      <c r="W95" s="1"/>
      <c r="Z95" s="6"/>
    </row>
    <row r="96" spans="1:26" x14ac:dyDescent="0.3">
      <c r="A96" s="11">
        <v>35217</v>
      </c>
      <c r="B96" s="94">
        <v>7098.28</v>
      </c>
      <c r="C96" s="97">
        <v>6972.14</v>
      </c>
      <c r="D96" s="109">
        <v>126.14</v>
      </c>
      <c r="E96" s="109">
        <v>84.61</v>
      </c>
      <c r="F96" s="16">
        <f t="shared" ca="1" si="10"/>
        <v>117.84048263562669</v>
      </c>
      <c r="G96" s="12">
        <f t="shared" si="11"/>
        <v>1.7441666666666669</v>
      </c>
      <c r="H96" s="12">
        <f t="shared" si="12"/>
        <v>116.73783333333334</v>
      </c>
      <c r="I96" s="17" cm="1">
        <f t="array" ref="I96">IF(MONTH(A96) = LOOKUP(YEAR(A96), YEAR('CNY Dates'!A$2:A$34), 'CNY Dates'!B$2:B$34), LOOKUP(YEAR(A96), YEAR('Hongbao demand'!B$4:B$35), 'Hongbao demand'!F$4:F$35)  - O95, 0)</f>
        <v>0</v>
      </c>
      <c r="J96" s="18">
        <f t="shared" si="13"/>
        <v>-0.64151736437332152</v>
      </c>
      <c r="K96" s="19">
        <v>13015.8</v>
      </c>
      <c r="L96" s="12">
        <v>0.72227999999999992</v>
      </c>
      <c r="M96" s="14">
        <v>2.8416666666666664E-3</v>
      </c>
      <c r="N96" s="19">
        <f t="shared" ca="1" si="14"/>
        <v>-33.230482635626686</v>
      </c>
      <c r="O96" s="12">
        <f t="shared" ca="1" si="16"/>
        <v>94.177130578869026</v>
      </c>
      <c r="P96" s="18">
        <f t="shared" ca="1" si="15"/>
        <v>0</v>
      </c>
      <c r="Q96" s="19">
        <f t="shared" ca="1" si="17"/>
        <v>0</v>
      </c>
      <c r="R96" s="12">
        <f t="shared" ca="1" si="17"/>
        <v>0</v>
      </c>
      <c r="S96" s="12">
        <f t="shared" ca="1" si="18"/>
        <v>9.4177130578869033</v>
      </c>
      <c r="T96" s="83">
        <f t="shared" ca="1" si="19"/>
        <v>9.4177130578869033</v>
      </c>
      <c r="W96" s="1"/>
      <c r="Z96" s="6"/>
    </row>
    <row r="97" spans="1:26" x14ac:dyDescent="0.3">
      <c r="A97" s="11">
        <v>35247</v>
      </c>
      <c r="B97" s="94">
        <v>7115.57</v>
      </c>
      <c r="C97" s="97">
        <v>6907.11</v>
      </c>
      <c r="D97" s="109">
        <v>208.46</v>
      </c>
      <c r="E97" s="109">
        <v>51.17</v>
      </c>
      <c r="F97" s="16">
        <f t="shared" ca="1" si="10"/>
        <v>130.11919282312948</v>
      </c>
      <c r="G97" s="12">
        <f t="shared" si="11"/>
        <v>1.0511666666666666</v>
      </c>
      <c r="H97" s="12">
        <f t="shared" si="12"/>
        <v>116.20233333333334</v>
      </c>
      <c r="I97" s="17" cm="1">
        <f t="array" ref="I97">IF(MONTH(A97) = LOOKUP(YEAR(A97), YEAR('CNY Dates'!A$2:A$34), 'CNY Dates'!B$2:B$34), LOOKUP(YEAR(A97), YEAR('Hongbao demand'!B$4:B$35), 'Hongbao demand'!F$4:F$35)  - O96, 0)</f>
        <v>0</v>
      </c>
      <c r="J97" s="18">
        <f t="shared" si="13"/>
        <v>12.86569282312948</v>
      </c>
      <c r="K97" s="19">
        <v>13277.8666666667</v>
      </c>
      <c r="L97" s="12">
        <v>0.72230000000000005</v>
      </c>
      <c r="M97" s="14">
        <v>2.8416666666666664E-3</v>
      </c>
      <c r="N97" s="19">
        <f t="shared" ca="1" si="14"/>
        <v>-78.949192823129479</v>
      </c>
      <c r="O97" s="12">
        <f t="shared" ca="1" si="16"/>
        <v>93.392321157378461</v>
      </c>
      <c r="P97" s="18">
        <f t="shared" ca="1" si="15"/>
        <v>0</v>
      </c>
      <c r="Q97" s="19">
        <f t="shared" ca="1" si="17"/>
        <v>0</v>
      </c>
      <c r="R97" s="12">
        <f t="shared" ca="1" si="17"/>
        <v>0</v>
      </c>
      <c r="S97" s="12">
        <f t="shared" ca="1" si="18"/>
        <v>9.3392321157378468</v>
      </c>
      <c r="T97" s="83">
        <f t="shared" ca="1" si="19"/>
        <v>9.3392321157378468</v>
      </c>
      <c r="W97" s="1"/>
      <c r="Z97" s="6"/>
    </row>
    <row r="98" spans="1:26" x14ac:dyDescent="0.3">
      <c r="A98" s="11">
        <v>35278</v>
      </c>
      <c r="B98" s="94">
        <v>7101.08</v>
      </c>
      <c r="C98" s="97">
        <v>6960.8</v>
      </c>
      <c r="D98" s="109">
        <v>140.28</v>
      </c>
      <c r="E98" s="109">
        <v>168.81</v>
      </c>
      <c r="F98" s="16">
        <f t="shared" ca="1" si="10"/>
        <v>115.94712082469229</v>
      </c>
      <c r="G98" s="12">
        <f t="shared" si="11"/>
        <v>1.7371666666666667</v>
      </c>
      <c r="H98" s="12">
        <f t="shared" si="12"/>
        <v>115.1185</v>
      </c>
      <c r="I98" s="17" cm="1">
        <f t="array" ref="I98">IF(MONTH(A98) = LOOKUP(YEAR(A98), YEAR('CNY Dates'!A$2:A$34), 'CNY Dates'!B$2:B$34), LOOKUP(YEAR(A98), YEAR('Hongbao demand'!B$4:B$35), 'Hongbao demand'!F$4:F$35)  - O97, 0)</f>
        <v>0</v>
      </c>
      <c r="J98" s="18">
        <f t="shared" si="13"/>
        <v>-0.90854584197437838</v>
      </c>
      <c r="K98" s="19">
        <v>13277.8666666667</v>
      </c>
      <c r="L98" s="12">
        <v>0.72331000000000001</v>
      </c>
      <c r="M98" s="14">
        <v>2.8416666666666664E-3</v>
      </c>
      <c r="N98" s="19">
        <f t="shared" ca="1" si="14"/>
        <v>52.862879175307711</v>
      </c>
      <c r="O98" s="12">
        <f t="shared" ca="1" si="16"/>
        <v>92.614051814400298</v>
      </c>
      <c r="P98" s="18">
        <f t="shared" ca="1" si="15"/>
        <v>0</v>
      </c>
      <c r="Q98" s="19">
        <f t="shared" ca="1" si="17"/>
        <v>0</v>
      </c>
      <c r="R98" s="12">
        <f t="shared" ca="1" si="17"/>
        <v>0</v>
      </c>
      <c r="S98" s="12">
        <f t="shared" ca="1" si="18"/>
        <v>9.2614051814400309</v>
      </c>
      <c r="T98" s="83">
        <f t="shared" ca="1" si="19"/>
        <v>9.2614051814400309</v>
      </c>
      <c r="W98" s="1"/>
      <c r="Z98" s="6"/>
    </row>
    <row r="99" spans="1:26" x14ac:dyDescent="0.3">
      <c r="A99" s="11">
        <v>35309</v>
      </c>
      <c r="B99" s="94">
        <v>7068.67</v>
      </c>
      <c r="C99" s="97">
        <v>6914.6</v>
      </c>
      <c r="D99" s="109">
        <v>154.07</v>
      </c>
      <c r="E99" s="109">
        <v>69.81</v>
      </c>
      <c r="F99" s="16">
        <f t="shared" ca="1" si="10"/>
        <v>116.88575882581759</v>
      </c>
      <c r="G99" s="12">
        <f t="shared" si="11"/>
        <v>1.169</v>
      </c>
      <c r="H99" s="12">
        <f t="shared" si="12"/>
        <v>116.01333333333334</v>
      </c>
      <c r="I99" s="17" cm="1">
        <f t="array" ref="I99">IF(MONTH(A99) = LOOKUP(YEAR(A99), YEAR('CNY Dates'!A$2:A$34), 'CNY Dates'!B$2:B$34), LOOKUP(YEAR(A99), YEAR('Hongbao demand'!B$4:B$35), 'Hongbao demand'!F$4:F$35)  - O98, 0)</f>
        <v>0</v>
      </c>
      <c r="J99" s="18">
        <f t="shared" si="13"/>
        <v>-0.29657450751574016</v>
      </c>
      <c r="K99" s="19">
        <v>13277.8666666667</v>
      </c>
      <c r="L99" s="12">
        <v>0.72364000000000006</v>
      </c>
      <c r="M99" s="14">
        <v>2.8416666666666664E-3</v>
      </c>
      <c r="N99" s="19">
        <f t="shared" ca="1" si="14"/>
        <v>-47.075758825817587</v>
      </c>
      <c r="O99" s="12">
        <f t="shared" ca="1" si="16"/>
        <v>91.842268049280307</v>
      </c>
      <c r="P99" s="18">
        <f t="shared" ca="1" si="15"/>
        <v>0</v>
      </c>
      <c r="Q99" s="19">
        <f t="shared" ca="1" si="17"/>
        <v>0</v>
      </c>
      <c r="R99" s="12">
        <f t="shared" ca="1" si="17"/>
        <v>0</v>
      </c>
      <c r="S99" s="12">
        <f t="shared" ca="1" si="18"/>
        <v>9.1842268049280307</v>
      </c>
      <c r="T99" s="83">
        <f t="shared" ca="1" si="19"/>
        <v>9.1842268049280307</v>
      </c>
      <c r="W99" s="1"/>
      <c r="Z99" s="6"/>
    </row>
    <row r="100" spans="1:26" x14ac:dyDescent="0.3">
      <c r="A100" s="11">
        <v>35339</v>
      </c>
      <c r="B100" s="94">
        <v>7110.88</v>
      </c>
      <c r="C100" s="97">
        <v>6900.25</v>
      </c>
      <c r="D100" s="109">
        <v>210.63</v>
      </c>
      <c r="E100" s="109">
        <v>100.89</v>
      </c>
      <c r="F100" s="16">
        <f t="shared" ca="1" si="10"/>
        <v>133.07567539494173</v>
      </c>
      <c r="G100" s="12">
        <f t="shared" si="11"/>
        <v>1.2839166666666666</v>
      </c>
      <c r="H100" s="12">
        <f t="shared" si="12"/>
        <v>115.24333333333334</v>
      </c>
      <c r="I100" s="17" cm="1">
        <f t="array" ref="I100">IF(MONTH(A100) = LOOKUP(YEAR(A100), YEAR('CNY Dates'!A$2:A$34), 'CNY Dates'!B$2:B$34), LOOKUP(YEAR(A100), YEAR('Hongbao demand'!B$4:B$35), 'Hongbao demand'!F$4:F$35)  - O99, 0)</f>
        <v>0</v>
      </c>
      <c r="J100" s="18">
        <f t="shared" si="13"/>
        <v>16.548425394941717</v>
      </c>
      <c r="K100" s="19">
        <v>13621.666666666701</v>
      </c>
      <c r="L100" s="12">
        <v>0.72384000000000004</v>
      </c>
      <c r="M100" s="14">
        <v>2.8416666666666664E-3</v>
      </c>
      <c r="N100" s="19">
        <f t="shared" ca="1" si="14"/>
        <v>-32.185675394941725</v>
      </c>
      <c r="O100" s="12">
        <f t="shared" ca="1" si="16"/>
        <v>91.076915815536296</v>
      </c>
      <c r="P100" s="18">
        <f t="shared" ca="1" si="15"/>
        <v>0</v>
      </c>
      <c r="Q100" s="19">
        <f t="shared" ca="1" si="17"/>
        <v>0</v>
      </c>
      <c r="R100" s="12">
        <f t="shared" ca="1" si="17"/>
        <v>0</v>
      </c>
      <c r="S100" s="12">
        <f t="shared" ca="1" si="18"/>
        <v>9.1076915815536292</v>
      </c>
      <c r="T100" s="83">
        <f t="shared" ca="1" si="19"/>
        <v>9.1076915815536292</v>
      </c>
      <c r="W100" s="1"/>
      <c r="Z100" s="6"/>
    </row>
    <row r="101" spans="1:26" x14ac:dyDescent="0.3">
      <c r="A101" s="11">
        <v>35370</v>
      </c>
      <c r="B101" s="94">
        <v>7188.37</v>
      </c>
      <c r="C101" s="97">
        <v>6985.37</v>
      </c>
      <c r="D101" s="109">
        <v>203</v>
      </c>
      <c r="E101" s="109">
        <v>200.12</v>
      </c>
      <c r="F101" s="16">
        <f t="shared" ca="1" si="10"/>
        <v>115.17535484846499</v>
      </c>
      <c r="G101" s="12">
        <f t="shared" si="11"/>
        <v>1.75525</v>
      </c>
      <c r="H101" s="12">
        <f t="shared" si="12"/>
        <v>115.00416666666666</v>
      </c>
      <c r="I101" s="17" cm="1">
        <f t="array" ref="I101">IF(MONTH(A101) = LOOKUP(YEAR(A101), YEAR('CNY Dates'!A$2:A$34), 'CNY Dates'!B$2:B$34), LOOKUP(YEAR(A101), YEAR('Hongbao demand'!B$4:B$35), 'Hongbao demand'!F$4:F$35)  - O100, 0)</f>
        <v>0</v>
      </c>
      <c r="J101" s="18">
        <f t="shared" si="13"/>
        <v>-1.5840618182016755</v>
      </c>
      <c r="K101" s="19">
        <v>13621.666666666701</v>
      </c>
      <c r="L101" s="12">
        <v>0.72558000000000011</v>
      </c>
      <c r="M101" s="14">
        <v>2.8416666666666664E-3</v>
      </c>
      <c r="N101" s="19">
        <f t="shared" ca="1" si="14"/>
        <v>84.944645151535013</v>
      </c>
      <c r="O101" s="12">
        <f t="shared" ca="1" si="16"/>
        <v>90.317941517073493</v>
      </c>
      <c r="P101" s="18">
        <f t="shared" ca="1" si="15"/>
        <v>0</v>
      </c>
      <c r="Q101" s="19">
        <f t="shared" ca="1" si="17"/>
        <v>0</v>
      </c>
      <c r="R101" s="12">
        <f t="shared" ca="1" si="17"/>
        <v>0</v>
      </c>
      <c r="S101" s="12">
        <f t="shared" ca="1" si="18"/>
        <v>9.0317941517073503</v>
      </c>
      <c r="T101" s="83">
        <f t="shared" ca="1" si="19"/>
        <v>9.0317941517073503</v>
      </c>
      <c r="W101" s="1"/>
      <c r="Z101" s="6"/>
    </row>
    <row r="102" spans="1:26" x14ac:dyDescent="0.3">
      <c r="A102" s="11">
        <v>35400</v>
      </c>
      <c r="B102" s="94">
        <v>7364.63</v>
      </c>
      <c r="C102" s="97">
        <v>7205.17</v>
      </c>
      <c r="D102" s="109">
        <v>159.46</v>
      </c>
      <c r="E102" s="109">
        <v>336.22</v>
      </c>
      <c r="F102" s="16">
        <f t="shared" ca="1" si="10"/>
        <v>116.89622314500394</v>
      </c>
      <c r="G102" s="12">
        <f t="shared" si="11"/>
        <v>1.6916666666666667</v>
      </c>
      <c r="H102" s="12">
        <f t="shared" si="12"/>
        <v>116.42283333333333</v>
      </c>
      <c r="I102" s="17" cm="1">
        <f t="array" ref="I102">IF(MONTH(A102) = LOOKUP(YEAR(A102), YEAR('CNY Dates'!A$2:A$34), 'CNY Dates'!B$2:B$34), LOOKUP(YEAR(A102), YEAR('Hongbao demand'!B$4:B$35), 'Hongbao demand'!F$4:F$35)  - O101, 0)</f>
        <v>0</v>
      </c>
      <c r="J102" s="18">
        <f t="shared" si="13"/>
        <v>-1.2182768549960477</v>
      </c>
      <c r="K102" s="19">
        <v>13621.666666666701</v>
      </c>
      <c r="L102" s="12">
        <v>0.7269199999999999</v>
      </c>
      <c r="M102" s="14">
        <v>2.8416666666666664E-3</v>
      </c>
      <c r="N102" s="19">
        <f t="shared" ca="1" si="14"/>
        <v>219.32377685499608</v>
      </c>
      <c r="O102" s="12">
        <f t="shared" ca="1" si="16"/>
        <v>89.565292004431214</v>
      </c>
      <c r="P102" s="18">
        <f t="shared" ca="1" si="15"/>
        <v>0</v>
      </c>
      <c r="Q102" s="19">
        <f t="shared" ca="1" si="17"/>
        <v>0</v>
      </c>
      <c r="R102" s="12">
        <f t="shared" ca="1" si="17"/>
        <v>0</v>
      </c>
      <c r="S102" s="12">
        <f t="shared" ca="1" si="18"/>
        <v>8.9565292004431214</v>
      </c>
      <c r="T102" s="83">
        <f t="shared" ca="1" si="19"/>
        <v>8.9565292004431214</v>
      </c>
      <c r="W102" s="1"/>
      <c r="Z102" s="6"/>
    </row>
    <row r="103" spans="1:26" x14ac:dyDescent="0.3">
      <c r="A103" s="11">
        <v>35431</v>
      </c>
      <c r="B103" s="94">
        <v>7918.82</v>
      </c>
      <c r="C103" s="97">
        <v>7704.9</v>
      </c>
      <c r="D103" s="109">
        <v>213.92</v>
      </c>
      <c r="E103" s="109">
        <v>619.82000000000005</v>
      </c>
      <c r="F103" s="16">
        <f t="shared" ca="1" si="10"/>
        <v>116.84350637273756</v>
      </c>
      <c r="G103" s="12">
        <f t="shared" si="11"/>
        <v>1.3288333333333333</v>
      </c>
      <c r="H103" s="12">
        <f t="shared" si="12"/>
        <v>120.08616666666667</v>
      </c>
      <c r="I103" s="17" cm="1">
        <f t="array" ref="I103">IF(MONTH(A103) = LOOKUP(YEAR(A103), YEAR('CNY Dates'!A$2:A$34), 'CNY Dates'!B$2:B$34), LOOKUP(YEAR(A103), YEAR('Hongbao demand'!B$4:B$35), 'Hongbao demand'!F$4:F$35)  - O102, 0)</f>
        <v>0</v>
      </c>
      <c r="J103" s="18">
        <f t="shared" si="13"/>
        <v>-4.5714936272624414</v>
      </c>
      <c r="K103" s="19">
        <v>13556.333333333299</v>
      </c>
      <c r="L103" s="12">
        <v>0.72846</v>
      </c>
      <c r="M103" s="14">
        <v>2.8416666666666664E-3</v>
      </c>
      <c r="N103" s="19">
        <f t="shared" ca="1" si="14"/>
        <v>502.97649362726247</v>
      </c>
      <c r="O103" s="12">
        <f t="shared" ca="1" si="16"/>
        <v>88.818914571060958</v>
      </c>
      <c r="P103" s="18">
        <f t="shared" ca="1" si="15"/>
        <v>0</v>
      </c>
      <c r="Q103" s="19">
        <f t="shared" ca="1" si="17"/>
        <v>0</v>
      </c>
      <c r="R103" s="12">
        <f t="shared" ca="1" si="17"/>
        <v>0</v>
      </c>
      <c r="S103" s="12">
        <f t="shared" ca="1" si="18"/>
        <v>8.8818914571060965</v>
      </c>
      <c r="T103" s="83">
        <f t="shared" ca="1" si="19"/>
        <v>8.8818914571060965</v>
      </c>
      <c r="W103" s="1"/>
      <c r="Z103" s="6"/>
    </row>
    <row r="104" spans="1:26" x14ac:dyDescent="0.3">
      <c r="A104" s="11">
        <v>35462</v>
      </c>
      <c r="B104" s="94">
        <v>7824.95</v>
      </c>
      <c r="C104" s="97">
        <v>7598.85</v>
      </c>
      <c r="D104" s="109">
        <v>226.1</v>
      </c>
      <c r="E104" s="109">
        <v>22.36</v>
      </c>
      <c r="F104" s="16">
        <f t="shared" ca="1" si="10"/>
        <v>46.263948994899053</v>
      </c>
      <c r="G104" s="12">
        <f t="shared" si="11"/>
        <v>1.7826666666666666</v>
      </c>
      <c r="H104" s="12">
        <f t="shared" si="12"/>
        <v>128.41499999999999</v>
      </c>
      <c r="I104" s="17" cm="1">
        <f t="array" aca="1" ref="I104" ca="1">IF(MONTH(A104) = LOOKUP(YEAR(A104), YEAR('CNY Dates'!A$2:A$34), 'CNY Dates'!B$2:B$34), LOOKUP(YEAR(A104), YEAR('Hongbao demand'!B$4:B$35), 'Hongbao demand'!F$4:F$35)  - O103, 0)</f>
        <v>-80.554628104213279</v>
      </c>
      <c r="J104" s="18">
        <f t="shared" si="13"/>
        <v>-3.3790895675543289</v>
      </c>
      <c r="K104" s="19">
        <v>13556.333333333299</v>
      </c>
      <c r="L104" s="12">
        <v>0.7321899999999999</v>
      </c>
      <c r="M104" s="14">
        <v>2.8416666666666664E-3</v>
      </c>
      <c r="N104" s="19">
        <f t="shared" ca="1" si="14"/>
        <v>-23.903948994899054</v>
      </c>
      <c r="O104" s="12">
        <f t="shared" ca="1" si="16"/>
        <v>0</v>
      </c>
      <c r="P104" s="18">
        <f t="shared" ca="1" si="15"/>
        <v>0</v>
      </c>
      <c r="Q104" s="19">
        <f t="shared" ca="1" si="17"/>
        <v>0</v>
      </c>
      <c r="R104" s="12">
        <f t="shared" ca="1" si="17"/>
        <v>0</v>
      </c>
      <c r="S104" s="12">
        <f t="shared" ca="1" si="18"/>
        <v>0</v>
      </c>
      <c r="T104" s="83">
        <f t="shared" ca="1" si="19"/>
        <v>0</v>
      </c>
      <c r="W104" s="1"/>
      <c r="Z104" s="6"/>
    </row>
    <row r="105" spans="1:26" x14ac:dyDescent="0.3">
      <c r="A105" s="11">
        <v>35490</v>
      </c>
      <c r="B105" s="94">
        <v>7676.2</v>
      </c>
      <c r="C105" s="97">
        <v>7507.85</v>
      </c>
      <c r="D105" s="109">
        <v>168.35</v>
      </c>
      <c r="E105" s="109">
        <v>35.65</v>
      </c>
      <c r="F105" s="16">
        <f t="shared" ca="1" si="10"/>
        <v>131.77651712903454</v>
      </c>
      <c r="G105" s="12">
        <f t="shared" si="11"/>
        <v>1.8841666666666665</v>
      </c>
      <c r="H105" s="12">
        <f t="shared" si="12"/>
        <v>126.64750000000001</v>
      </c>
      <c r="I105" s="17" cm="1">
        <f t="array" ref="I105">IF(MONTH(A105) = LOOKUP(YEAR(A105), YEAR('CNY Dates'!A$2:A$34), 'CNY Dates'!B$2:B$34), LOOKUP(YEAR(A105), YEAR('Hongbao demand'!B$4:B$35), 'Hongbao demand'!F$4:F$35)  - O104, 0)</f>
        <v>0</v>
      </c>
      <c r="J105" s="18">
        <f t="shared" si="13"/>
        <v>3.2448504623678773</v>
      </c>
      <c r="K105" s="19">
        <v>13556.333333333299</v>
      </c>
      <c r="L105" s="12">
        <v>0.72858999999999996</v>
      </c>
      <c r="M105" s="14">
        <v>2.8416666666666664E-3</v>
      </c>
      <c r="N105" s="19">
        <f t="shared" ca="1" si="14"/>
        <v>-96.126517129034539</v>
      </c>
      <c r="O105" s="12">
        <f t="shared" ca="1" si="16"/>
        <v>0</v>
      </c>
      <c r="P105" s="18">
        <f t="shared" ca="1" si="15"/>
        <v>-2.8550171290345503</v>
      </c>
      <c r="Q105" s="19">
        <f t="shared" ca="1" si="17"/>
        <v>0</v>
      </c>
      <c r="R105" s="12">
        <f t="shared" ca="1" si="17"/>
        <v>0</v>
      </c>
      <c r="S105" s="12">
        <f t="shared" ca="1" si="18"/>
        <v>0</v>
      </c>
      <c r="T105" s="83">
        <f t="shared" ca="1" si="19"/>
        <v>0</v>
      </c>
      <c r="W105" s="1"/>
      <c r="Z105" s="6"/>
    </row>
    <row r="106" spans="1:26" x14ac:dyDescent="0.3">
      <c r="A106" s="11">
        <v>35521</v>
      </c>
      <c r="B106" s="94">
        <v>7594.37</v>
      </c>
      <c r="C106" s="97">
        <v>7431.2</v>
      </c>
      <c r="D106" s="109">
        <v>163.16999999999999</v>
      </c>
      <c r="E106" s="109">
        <v>48.48</v>
      </c>
      <c r="F106" s="16">
        <f t="shared" ca="1" si="10"/>
        <v>159.63275662798156</v>
      </c>
      <c r="G106" s="12">
        <f t="shared" si="11"/>
        <v>1.4029166666666666</v>
      </c>
      <c r="H106" s="12">
        <f t="shared" si="12"/>
        <v>125.13083333333334</v>
      </c>
      <c r="I106" s="17" cm="1">
        <f t="array" ref="I106">IF(MONTH(A106) = LOOKUP(YEAR(A106), YEAR('CNY Dates'!A$2:A$34), 'CNY Dates'!B$2:B$34), LOOKUP(YEAR(A106), YEAR('Hongbao demand'!B$4:B$35), 'Hongbao demand'!F$4:F$35)  - O105, 0)</f>
        <v>0</v>
      </c>
      <c r="J106" s="18">
        <f t="shared" si="13"/>
        <v>30.243989498947002</v>
      </c>
      <c r="K106" s="19">
        <v>14247.9666666667</v>
      </c>
      <c r="L106" s="12">
        <v>0.73194999999999988</v>
      </c>
      <c r="M106" s="14">
        <v>2.8416666666666664E-3</v>
      </c>
      <c r="N106" s="19">
        <f t="shared" ca="1" si="14"/>
        <v>-111.15275662798157</v>
      </c>
      <c r="O106" s="12">
        <f t="shared" ca="1" si="16"/>
        <v>0</v>
      </c>
      <c r="P106" s="18">
        <f t="shared" ca="1" si="15"/>
        <v>-22.294756627981585</v>
      </c>
      <c r="Q106" s="19">
        <f t="shared" ca="1" si="17"/>
        <v>0</v>
      </c>
      <c r="R106" s="12">
        <f t="shared" ca="1" si="17"/>
        <v>0</v>
      </c>
      <c r="S106" s="12">
        <f t="shared" ca="1" si="18"/>
        <v>0</v>
      </c>
      <c r="T106" s="83">
        <f t="shared" ca="1" si="19"/>
        <v>0</v>
      </c>
      <c r="W106" s="1"/>
      <c r="Z106" s="6"/>
    </row>
    <row r="107" spans="1:26" x14ac:dyDescent="0.3">
      <c r="A107" s="11">
        <v>35551</v>
      </c>
      <c r="B107" s="94">
        <v>7594.3</v>
      </c>
      <c r="C107" s="97">
        <v>7439.04</v>
      </c>
      <c r="D107" s="109">
        <v>155.26</v>
      </c>
      <c r="E107" s="109">
        <v>131.69</v>
      </c>
      <c r="F107" s="16">
        <f t="shared" ca="1" si="10"/>
        <v>146.10984752380875</v>
      </c>
      <c r="G107" s="12">
        <f t="shared" si="11"/>
        <v>1.3597499999999998</v>
      </c>
      <c r="H107" s="12">
        <f t="shared" si="12"/>
        <v>123.85333333333332</v>
      </c>
      <c r="I107" s="17" cm="1">
        <f t="array" ref="I107">IF(MONTH(A107) = LOOKUP(YEAR(A107), YEAR('CNY Dates'!A$2:A$34), 'CNY Dates'!B$2:B$34), LOOKUP(YEAR(A107), YEAR('Hongbao demand'!B$4:B$35), 'Hongbao demand'!F$4:F$35)  - O106, 0)</f>
        <v>0</v>
      </c>
      <c r="J107" s="18">
        <f t="shared" si="13"/>
        <v>-1.3979924375061672</v>
      </c>
      <c r="K107" s="19">
        <v>14247.9666666667</v>
      </c>
      <c r="L107" s="12">
        <v>0.73346</v>
      </c>
      <c r="M107" s="14">
        <v>2.8416666666666664E-3</v>
      </c>
      <c r="N107" s="19">
        <f t="shared" ca="1" si="14"/>
        <v>-14.419847523808755</v>
      </c>
      <c r="O107" s="12">
        <f t="shared" ca="1" si="16"/>
        <v>0</v>
      </c>
      <c r="P107" s="18">
        <f t="shared" ca="1" si="15"/>
        <v>0</v>
      </c>
      <c r="Q107" s="19">
        <f t="shared" ca="1" si="17"/>
        <v>0</v>
      </c>
      <c r="R107" s="12">
        <f t="shared" ca="1" si="17"/>
        <v>0</v>
      </c>
      <c r="S107" s="12">
        <f t="shared" ca="1" si="18"/>
        <v>0</v>
      </c>
      <c r="T107" s="83">
        <f t="shared" ca="1" si="19"/>
        <v>0</v>
      </c>
      <c r="W107" s="1"/>
      <c r="Z107" s="6"/>
    </row>
    <row r="108" spans="1:26" x14ac:dyDescent="0.3">
      <c r="A108" s="11">
        <v>35582</v>
      </c>
      <c r="B108" s="94">
        <v>7501.41</v>
      </c>
      <c r="C108" s="97">
        <v>7355.53</v>
      </c>
      <c r="D108" s="109">
        <v>145.88</v>
      </c>
      <c r="E108" s="109">
        <v>40.47</v>
      </c>
      <c r="F108" s="16">
        <f t="shared" ca="1" si="10"/>
        <v>124.0940944622468</v>
      </c>
      <c r="G108" s="12">
        <f t="shared" si="11"/>
        <v>1.2938333333333332</v>
      </c>
      <c r="H108" s="12">
        <f t="shared" si="12"/>
        <v>123.98399999999999</v>
      </c>
      <c r="I108" s="17" cm="1">
        <f t="array" ref="I108">IF(MONTH(A108) = LOOKUP(YEAR(A108), YEAR('CNY Dates'!A$2:A$34), 'CNY Dates'!B$2:B$34), LOOKUP(YEAR(A108), YEAR('Hongbao demand'!B$4:B$35), 'Hongbao demand'!F$4:F$35)  - O107, 0)</f>
        <v>0</v>
      </c>
      <c r="J108" s="18">
        <f t="shared" si="13"/>
        <v>-1.1837388710865395</v>
      </c>
      <c r="K108" s="19">
        <v>14247.9666666667</v>
      </c>
      <c r="L108" s="12">
        <v>0.73474000000000006</v>
      </c>
      <c r="M108" s="14">
        <v>2.8416666666666664E-3</v>
      </c>
      <c r="N108" s="19">
        <f t="shared" ca="1" si="14"/>
        <v>-83.624094462246802</v>
      </c>
      <c r="O108" s="12">
        <f t="shared" ca="1" si="16"/>
        <v>0</v>
      </c>
      <c r="P108" s="18">
        <f t="shared" ca="1" si="15"/>
        <v>-11.299394462246809</v>
      </c>
      <c r="Q108" s="19">
        <f t="shared" ca="1" si="17"/>
        <v>0</v>
      </c>
      <c r="R108" s="12">
        <f t="shared" ca="1" si="17"/>
        <v>0</v>
      </c>
      <c r="S108" s="12">
        <f t="shared" ca="1" si="18"/>
        <v>0</v>
      </c>
      <c r="T108" s="83">
        <f t="shared" ca="1" si="19"/>
        <v>0</v>
      </c>
      <c r="W108" s="1"/>
      <c r="Z108" s="6"/>
    </row>
    <row r="109" spans="1:26" x14ac:dyDescent="0.3">
      <c r="A109" s="11">
        <v>35612</v>
      </c>
      <c r="B109" s="94">
        <v>7482.93</v>
      </c>
      <c r="C109" s="97">
        <v>7281.12</v>
      </c>
      <c r="D109" s="109">
        <v>201.81</v>
      </c>
      <c r="E109" s="109">
        <v>48.18</v>
      </c>
      <c r="F109" s="16">
        <f t="shared" ca="1" si="10"/>
        <v>155.30148937884763</v>
      </c>
      <c r="G109" s="12">
        <f t="shared" si="11"/>
        <v>1.2156666666666667</v>
      </c>
      <c r="H109" s="12">
        <f t="shared" si="12"/>
        <v>122.59216666666666</v>
      </c>
      <c r="I109" s="17" cm="1">
        <f t="array" ref="I109">IF(MONTH(A109) = LOOKUP(YEAR(A109), YEAR('CNY Dates'!A$2:A$34), 'CNY Dates'!B$2:B$34), LOOKUP(YEAR(A109), YEAR('Hongbao demand'!B$4:B$35), 'Hongbao demand'!F$4:F$35)  - O108, 0)</f>
        <v>0</v>
      </c>
      <c r="J109" s="18">
        <f t="shared" si="13"/>
        <v>20.194261583267522</v>
      </c>
      <c r="K109" s="19">
        <v>14730.766666666699</v>
      </c>
      <c r="L109" s="12">
        <v>0.73760999999999999</v>
      </c>
      <c r="M109" s="14">
        <v>2.8416666666666664E-3</v>
      </c>
      <c r="N109" s="19">
        <f t="shared" ca="1" si="14"/>
        <v>-107.12148937884763</v>
      </c>
      <c r="O109" s="12">
        <f t="shared" ca="1" si="16"/>
        <v>0</v>
      </c>
      <c r="P109" s="18">
        <f t="shared" ca="1" si="15"/>
        <v>0</v>
      </c>
      <c r="Q109" s="19">
        <f t="shared" ca="1" si="17"/>
        <v>0</v>
      </c>
      <c r="R109" s="12">
        <f t="shared" ca="1" si="17"/>
        <v>0</v>
      </c>
      <c r="S109" s="12">
        <f t="shared" ca="1" si="18"/>
        <v>0</v>
      </c>
      <c r="T109" s="83">
        <f t="shared" ca="1" si="19"/>
        <v>0</v>
      </c>
      <c r="W109" s="1"/>
      <c r="Z109" s="6"/>
    </row>
    <row r="110" spans="1:26" x14ac:dyDescent="0.3">
      <c r="A110" s="11">
        <v>35643</v>
      </c>
      <c r="B110" s="94">
        <v>7459.34</v>
      </c>
      <c r="C110" s="97">
        <v>7354.83</v>
      </c>
      <c r="D110" s="109">
        <v>104.51</v>
      </c>
      <c r="E110" s="109">
        <v>195.06</v>
      </c>
      <c r="F110" s="16">
        <f t="shared" ca="1" si="10"/>
        <v>120.6697993649977</v>
      </c>
      <c r="G110" s="12">
        <f t="shared" si="11"/>
        <v>1.6817500000000001</v>
      </c>
      <c r="H110" s="12">
        <f t="shared" si="12"/>
        <v>121.352</v>
      </c>
      <c r="I110" s="17" cm="1">
        <f t="array" ref="I110">IF(MONTH(A110) = LOOKUP(YEAR(A110), YEAR('CNY Dates'!A$2:A$34), 'CNY Dates'!B$2:B$34), LOOKUP(YEAR(A110), YEAR('Hongbao demand'!B$4:B$35), 'Hongbao demand'!F$4:F$35)  - O109, 0)</f>
        <v>0</v>
      </c>
      <c r="J110" s="18">
        <f t="shared" si="13"/>
        <v>-2.3639506350022965</v>
      </c>
      <c r="K110" s="19">
        <v>14730.766666666699</v>
      </c>
      <c r="L110" s="12">
        <v>0.74013000000000007</v>
      </c>
      <c r="M110" s="14">
        <v>2.8416666666666664E-3</v>
      </c>
      <c r="N110" s="19">
        <f t="shared" ca="1" si="14"/>
        <v>74.390200635002302</v>
      </c>
      <c r="O110" s="12">
        <f t="shared" ca="1" si="16"/>
        <v>0</v>
      </c>
      <c r="P110" s="18">
        <f t="shared" ca="1" si="15"/>
        <v>0</v>
      </c>
      <c r="Q110" s="19">
        <f t="shared" ca="1" si="17"/>
        <v>0</v>
      </c>
      <c r="R110" s="12">
        <f t="shared" ca="1" si="17"/>
        <v>0</v>
      </c>
      <c r="S110" s="12">
        <f t="shared" ca="1" si="18"/>
        <v>0</v>
      </c>
      <c r="T110" s="83">
        <f t="shared" ca="1" si="19"/>
        <v>0</v>
      </c>
      <c r="W110" s="1"/>
      <c r="Z110" s="6"/>
    </row>
    <row r="111" spans="1:26" x14ac:dyDescent="0.3">
      <c r="A111" s="11">
        <v>35674</v>
      </c>
      <c r="B111" s="94">
        <v>7431.9</v>
      </c>
      <c r="C111" s="97">
        <v>7217.56</v>
      </c>
      <c r="D111" s="109">
        <v>214.34</v>
      </c>
      <c r="E111" s="109">
        <v>0</v>
      </c>
      <c r="F111" s="16">
        <f t="shared" ca="1" si="10"/>
        <v>122.00035493081887</v>
      </c>
      <c r="G111" s="12">
        <f t="shared" si="11"/>
        <v>0.87091666666666667</v>
      </c>
      <c r="H111" s="12">
        <f t="shared" si="12"/>
        <v>122.5805</v>
      </c>
      <c r="I111" s="17" cm="1">
        <f t="array" ref="I111">IF(MONTH(A111) = LOOKUP(YEAR(A111), YEAR('CNY Dates'!A$2:A$34), 'CNY Dates'!B$2:B$34), LOOKUP(YEAR(A111), YEAR('Hongbao demand'!B$4:B$35), 'Hongbao demand'!F$4:F$35)  - O110, 0)</f>
        <v>0</v>
      </c>
      <c r="J111" s="18">
        <f t="shared" si="13"/>
        <v>-1.4510617358477969</v>
      </c>
      <c r="K111" s="19">
        <v>14730.766666666699</v>
      </c>
      <c r="L111" s="12">
        <v>0.74168000000000012</v>
      </c>
      <c r="M111" s="14">
        <v>2.8416666666666664E-3</v>
      </c>
      <c r="N111" s="19">
        <f t="shared" ca="1" si="14"/>
        <v>-122.00035493081887</v>
      </c>
      <c r="O111" s="12">
        <f t="shared" ca="1" si="16"/>
        <v>0</v>
      </c>
      <c r="P111" s="18">
        <f t="shared" ca="1" si="15"/>
        <v>0</v>
      </c>
      <c r="Q111" s="19">
        <f t="shared" ca="1" si="17"/>
        <v>0</v>
      </c>
      <c r="R111" s="12">
        <f t="shared" ca="1" si="17"/>
        <v>0</v>
      </c>
      <c r="S111" s="12">
        <f t="shared" ca="1" si="18"/>
        <v>0</v>
      </c>
      <c r="T111" s="83">
        <f t="shared" ca="1" si="19"/>
        <v>0</v>
      </c>
      <c r="W111" s="1"/>
      <c r="Z111" s="6"/>
    </row>
    <row r="112" spans="1:26" x14ac:dyDescent="0.3">
      <c r="A112" s="11">
        <v>35704</v>
      </c>
      <c r="B112" s="94">
        <v>7473.27</v>
      </c>
      <c r="C112" s="97">
        <v>7308.91</v>
      </c>
      <c r="D112" s="109">
        <v>164.36</v>
      </c>
      <c r="E112" s="109">
        <v>211.64</v>
      </c>
      <c r="F112" s="16">
        <f t="shared" ca="1" si="10"/>
        <v>114.90624720364571</v>
      </c>
      <c r="G112" s="12">
        <f t="shared" si="11"/>
        <v>1.7861666666666667</v>
      </c>
      <c r="H112" s="12">
        <f t="shared" si="12"/>
        <v>120.29266666666668</v>
      </c>
      <c r="I112" s="17" cm="1">
        <f t="array" ref="I112">IF(MONTH(A112) = LOOKUP(YEAR(A112), YEAR('CNY Dates'!A$2:A$34), 'CNY Dates'!B$2:B$34), LOOKUP(YEAR(A112), YEAR('Hongbao demand'!B$4:B$35), 'Hongbao demand'!F$4:F$35)  - O111, 0)</f>
        <v>0</v>
      </c>
      <c r="J112" s="18">
        <f t="shared" si="13"/>
        <v>-7.1725861296876463</v>
      </c>
      <c r="K112" s="19">
        <v>14586.1</v>
      </c>
      <c r="L112" s="12">
        <v>0.74204999999999999</v>
      </c>
      <c r="M112" s="14">
        <v>2.8416666666666664E-3</v>
      </c>
      <c r="N112" s="19">
        <f t="shared" ca="1" si="14"/>
        <v>96.733752796354281</v>
      </c>
      <c r="O112" s="12">
        <f t="shared" ca="1" si="16"/>
        <v>0</v>
      </c>
      <c r="P112" s="18">
        <f t="shared" ca="1" si="15"/>
        <v>0</v>
      </c>
      <c r="Q112" s="19">
        <f t="shared" ca="1" si="17"/>
        <v>0</v>
      </c>
      <c r="R112" s="12">
        <f t="shared" ca="1" si="17"/>
        <v>0</v>
      </c>
      <c r="S112" s="12">
        <f t="shared" ca="1" si="18"/>
        <v>0</v>
      </c>
      <c r="T112" s="83">
        <f t="shared" ca="1" si="19"/>
        <v>0</v>
      </c>
      <c r="W112" s="1"/>
      <c r="Z112" s="6"/>
    </row>
    <row r="113" spans="1:26" x14ac:dyDescent="0.3">
      <c r="A113" s="11">
        <v>35735</v>
      </c>
      <c r="B113" s="94">
        <v>7494.97</v>
      </c>
      <c r="C113" s="97">
        <v>7309.61</v>
      </c>
      <c r="D113" s="109">
        <v>185.36</v>
      </c>
      <c r="E113" s="109">
        <v>122.52</v>
      </c>
      <c r="F113" s="16">
        <f t="shared" ca="1" si="10"/>
        <v>112.68083088562119</v>
      </c>
      <c r="G113" s="12">
        <f t="shared" si="11"/>
        <v>1.3696666666666668</v>
      </c>
      <c r="H113" s="12">
        <f t="shared" si="12"/>
        <v>121.81516666666667</v>
      </c>
      <c r="I113" s="17" cm="1">
        <f t="array" ref="I113">IF(MONTH(A113) = LOOKUP(YEAR(A113), YEAR('CNY Dates'!A$2:A$34), 'CNY Dates'!B$2:B$34), LOOKUP(YEAR(A113), YEAR('Hongbao demand'!B$4:B$35), 'Hongbao demand'!F$4:F$35)  - O112, 0)</f>
        <v>0</v>
      </c>
      <c r="J113" s="18">
        <f t="shared" si="13"/>
        <v>-10.504002447712132</v>
      </c>
      <c r="K113" s="19">
        <v>14586.1</v>
      </c>
      <c r="L113" s="12">
        <v>0.74257999999999991</v>
      </c>
      <c r="M113" s="14">
        <v>2.8833333333333332E-3</v>
      </c>
      <c r="N113" s="19">
        <f t="shared" ca="1" si="14"/>
        <v>9.8391691143788051</v>
      </c>
      <c r="O113" s="12">
        <f t="shared" ca="1" si="16"/>
        <v>0</v>
      </c>
      <c r="P113" s="18">
        <f t="shared" ca="1" si="15"/>
        <v>0</v>
      </c>
      <c r="Q113" s="19">
        <f t="shared" ca="1" si="17"/>
        <v>0</v>
      </c>
      <c r="R113" s="12">
        <f t="shared" ca="1" si="17"/>
        <v>0</v>
      </c>
      <c r="S113" s="12">
        <f t="shared" ca="1" si="18"/>
        <v>0</v>
      </c>
      <c r="T113" s="83">
        <f t="shared" ca="1" si="19"/>
        <v>0</v>
      </c>
      <c r="W113" s="1"/>
      <c r="Z113" s="6"/>
    </row>
    <row r="114" spans="1:26" x14ac:dyDescent="0.3">
      <c r="A114" s="11">
        <v>35765</v>
      </c>
      <c r="B114" s="94">
        <v>7649.67</v>
      </c>
      <c r="C114" s="97">
        <v>7492.66</v>
      </c>
      <c r="D114" s="109">
        <v>157.01</v>
      </c>
      <c r="E114" s="109">
        <v>304.88</v>
      </c>
      <c r="F114" s="16">
        <f t="shared" ca="1" si="10"/>
        <v>12.638106035081094</v>
      </c>
      <c r="G114" s="12">
        <f t="shared" si="11"/>
        <v>1.5446666666666669</v>
      </c>
      <c r="H114" s="12">
        <f t="shared" si="12"/>
        <v>121.82683333333333</v>
      </c>
      <c r="I114" s="17" cm="1">
        <f t="array" ref="I114">IF(MONTH(A114) = LOOKUP(YEAR(A114), YEAR('CNY Dates'!A$2:A$34), 'CNY Dates'!B$2:B$34), LOOKUP(YEAR(A114), YEAR('Hongbao demand'!B$4:B$35), 'Hongbao demand'!F$4:F$35)  - O113, 0)</f>
        <v>0</v>
      </c>
      <c r="J114" s="18">
        <f t="shared" si="13"/>
        <v>-110.7333939649189</v>
      </c>
      <c r="K114" s="19">
        <v>14586.1</v>
      </c>
      <c r="L114" s="12">
        <v>0.74180999999999997</v>
      </c>
      <c r="M114" s="14">
        <v>3.4166666666666664E-3</v>
      </c>
      <c r="N114" s="19">
        <f t="shared" ca="1" si="14"/>
        <v>292.24189396491892</v>
      </c>
      <c r="O114" s="12">
        <f t="shared" ca="1" si="16"/>
        <v>0</v>
      </c>
      <c r="P114" s="18">
        <f t="shared" ca="1" si="15"/>
        <v>0</v>
      </c>
      <c r="Q114" s="19">
        <f t="shared" ca="1" si="17"/>
        <v>0</v>
      </c>
      <c r="R114" s="12">
        <f t="shared" ca="1" si="17"/>
        <v>0</v>
      </c>
      <c r="S114" s="12">
        <f t="shared" ca="1" si="18"/>
        <v>0</v>
      </c>
      <c r="T114" s="83">
        <f t="shared" ca="1" si="19"/>
        <v>0</v>
      </c>
      <c r="W114" s="1"/>
      <c r="Z114" s="6"/>
    </row>
    <row r="115" spans="1:26" x14ac:dyDescent="0.3">
      <c r="A115" s="11">
        <v>35796</v>
      </c>
      <c r="B115" s="94">
        <v>8547.7000000000007</v>
      </c>
      <c r="C115" s="97">
        <v>8215.34</v>
      </c>
      <c r="D115" s="109">
        <v>332.36</v>
      </c>
      <c r="E115" s="109">
        <v>847.56</v>
      </c>
      <c r="F115" s="16">
        <f t="shared" ca="1" si="10"/>
        <v>-32.936340748970821</v>
      </c>
      <c r="G115" s="12">
        <f t="shared" si="11"/>
        <v>1.3084166666666666</v>
      </c>
      <c r="H115" s="12">
        <f t="shared" si="12"/>
        <v>124.87766666666667</v>
      </c>
      <c r="I115" s="17" cm="1">
        <f t="array" aca="1" ref="I115" ca="1">IF(MONTH(A115) = LOOKUP(YEAR(A115), YEAR('CNY Dates'!A$2:A$34), 'CNY Dates'!B$2:B$34), LOOKUP(YEAR(A115), YEAR('Hongbao demand'!B$4:B$35), 'Hongbao demand'!F$4:F$35)  - O114, 0)</f>
        <v>8.5992333587337253</v>
      </c>
      <c r="J115" s="18">
        <f t="shared" si="13"/>
        <v>-167.72165744103788</v>
      </c>
      <c r="K115" s="19">
        <v>13760.666666666701</v>
      </c>
      <c r="L115" s="12">
        <v>0.73951999999999996</v>
      </c>
      <c r="M115" s="14">
        <v>4.3083333333333333E-3</v>
      </c>
      <c r="N115" s="19">
        <f t="shared" ca="1" si="14"/>
        <v>880.49634074897074</v>
      </c>
      <c r="O115" s="12">
        <f t="shared" ca="1" si="16"/>
        <v>149.85320000000002</v>
      </c>
      <c r="P115" s="18">
        <f t="shared" ca="1" si="15"/>
        <v>391.32234074897065</v>
      </c>
      <c r="Q115" s="19">
        <f t="shared" ca="1" si="17"/>
        <v>58.698351112345591</v>
      </c>
      <c r="R115" s="12">
        <f t="shared" ca="1" si="17"/>
        <v>78.264468149794141</v>
      </c>
      <c r="S115" s="12">
        <f t="shared" ca="1" si="18"/>
        <v>14.985320000000002</v>
      </c>
      <c r="T115" s="83">
        <f t="shared" ca="1" si="19"/>
        <v>151.94813926213973</v>
      </c>
      <c r="W115" s="1"/>
      <c r="Z115" s="6"/>
    </row>
    <row r="116" spans="1:26" x14ac:dyDescent="0.3">
      <c r="A116" s="11">
        <v>35827</v>
      </c>
      <c r="B116" s="94">
        <v>7668.08</v>
      </c>
      <c r="C116" s="97">
        <v>7540.12</v>
      </c>
      <c r="D116" s="109">
        <v>127.96</v>
      </c>
      <c r="E116" s="109">
        <v>0</v>
      </c>
      <c r="F116" s="16">
        <f t="shared" ca="1" si="10"/>
        <v>134.82911101153721</v>
      </c>
      <c r="G116" s="12">
        <f t="shared" si="11"/>
        <v>2.7696666666666667</v>
      </c>
      <c r="H116" s="12">
        <f t="shared" si="12"/>
        <v>136.92233333333334</v>
      </c>
      <c r="I116" s="17" cm="1">
        <f t="array" ref="I116">IF(MONTH(A116) = LOOKUP(YEAR(A116), YEAR('CNY Dates'!A$2:A$34), 'CNY Dates'!B$2:B$34), LOOKUP(YEAR(A116), YEAR('Hongbao demand'!B$4:B$35), 'Hongbao demand'!F$4:F$35)  - O115, 0)</f>
        <v>0</v>
      </c>
      <c r="J116" s="18">
        <f t="shared" si="13"/>
        <v>-4.8628889884628084</v>
      </c>
      <c r="K116" s="19">
        <v>13760.666666666701</v>
      </c>
      <c r="L116" s="12">
        <v>0.73903999999999992</v>
      </c>
      <c r="M116" s="14">
        <v>4.3499999999999997E-3</v>
      </c>
      <c r="N116" s="19">
        <f t="shared" ca="1" si="14"/>
        <v>-134.82911101153721</v>
      </c>
      <c r="O116" s="12">
        <f t="shared" ca="1" si="16"/>
        <v>148.60442333333333</v>
      </c>
      <c r="P116" s="18">
        <f t="shared" ca="1" si="15"/>
        <v>-82.270311011537217</v>
      </c>
      <c r="Q116" s="19">
        <f t="shared" ca="1" si="17"/>
        <v>0</v>
      </c>
      <c r="R116" s="12">
        <f t="shared" ca="1" si="17"/>
        <v>0</v>
      </c>
      <c r="S116" s="12">
        <f t="shared" ca="1" si="18"/>
        <v>14.860442333333333</v>
      </c>
      <c r="T116" s="83">
        <f t="shared" ca="1" si="19"/>
        <v>14.860442333333333</v>
      </c>
      <c r="W116" s="1"/>
      <c r="Z116" s="6"/>
    </row>
    <row r="117" spans="1:26" x14ac:dyDescent="0.3">
      <c r="A117" s="11">
        <v>35855</v>
      </c>
      <c r="B117" s="94">
        <v>7494.48</v>
      </c>
      <c r="C117" s="97">
        <v>7327.04</v>
      </c>
      <c r="D117" s="109">
        <v>167.44</v>
      </c>
      <c r="E117" s="109">
        <v>0</v>
      </c>
      <c r="F117" s="16">
        <f t="shared" ca="1" si="10"/>
        <v>218.03288402118224</v>
      </c>
      <c r="G117" s="12">
        <f t="shared" si="11"/>
        <v>1.0663333333333334</v>
      </c>
      <c r="H117" s="12">
        <f t="shared" si="12"/>
        <v>125.66866666666667</v>
      </c>
      <c r="I117" s="17" cm="1">
        <f t="array" ref="I117">IF(MONTH(A117) = LOOKUP(YEAR(A117), YEAR('CNY Dates'!A$2:A$34), 'CNY Dates'!B$2:B$34), LOOKUP(YEAR(A117), YEAR('Hongbao demand'!B$4:B$35), 'Hongbao demand'!F$4:F$35)  - O116, 0)</f>
        <v>0</v>
      </c>
      <c r="J117" s="18">
        <f t="shared" si="13"/>
        <v>9.0275730096450246</v>
      </c>
      <c r="K117" s="19">
        <v>13760.666666666701</v>
      </c>
      <c r="L117" s="12">
        <v>0.73524</v>
      </c>
      <c r="M117" s="14">
        <v>4.3E-3</v>
      </c>
      <c r="N117" s="19">
        <f t="shared" ca="1" si="14"/>
        <v>-218.03288402118224</v>
      </c>
      <c r="O117" s="12">
        <f t="shared" ca="1" si="16"/>
        <v>147.36605313888887</v>
      </c>
      <c r="P117" s="18">
        <f t="shared" ca="1" si="15"/>
        <v>-123.86328402118224</v>
      </c>
      <c r="Q117" s="19">
        <f t="shared" ca="1" si="17"/>
        <v>0</v>
      </c>
      <c r="R117" s="12">
        <f t="shared" ca="1" si="17"/>
        <v>0</v>
      </c>
      <c r="S117" s="12">
        <f t="shared" ca="1" si="18"/>
        <v>14.736605313888887</v>
      </c>
      <c r="T117" s="83">
        <f t="shared" ca="1" si="19"/>
        <v>14.736605313888887</v>
      </c>
      <c r="W117" s="1"/>
      <c r="Z117" s="6"/>
    </row>
    <row r="118" spans="1:26" x14ac:dyDescent="0.3">
      <c r="A118" s="11">
        <v>35886</v>
      </c>
      <c r="B118" s="94">
        <v>7439.04</v>
      </c>
      <c r="C118" s="97">
        <v>7307.16</v>
      </c>
      <c r="D118" s="109">
        <v>131.88</v>
      </c>
      <c r="E118" s="109">
        <v>102.24</v>
      </c>
      <c r="F118" s="16">
        <f t="shared" ca="1" si="10"/>
        <v>252.69412831283424</v>
      </c>
      <c r="G118" s="12">
        <f t="shared" si="11"/>
        <v>1.3953333333333333</v>
      </c>
      <c r="H118" s="12">
        <f t="shared" si="12"/>
        <v>122.11733333333333</v>
      </c>
      <c r="I118" s="17" cm="1">
        <f t="array" ref="I118">IF(MONTH(A118) = LOOKUP(YEAR(A118), YEAR('CNY Dates'!A$2:A$34), 'CNY Dates'!B$2:B$34), LOOKUP(YEAR(A118), YEAR('Hongbao demand'!B$4:B$35), 'Hongbao demand'!F$4:F$35)  - O117, 0)</f>
        <v>0</v>
      </c>
      <c r="J118" s="18">
        <f t="shared" si="13"/>
        <v>5.318177624985343</v>
      </c>
      <c r="K118" s="19">
        <v>13903.8</v>
      </c>
      <c r="L118" s="12">
        <v>0.73565999999999998</v>
      </c>
      <c r="M118" s="14">
        <v>4.3E-3</v>
      </c>
      <c r="N118" s="19">
        <f t="shared" ca="1" si="14"/>
        <v>-150.45412831283426</v>
      </c>
      <c r="O118" s="12">
        <f t="shared" ca="1" si="16"/>
        <v>146.1380026960648</v>
      </c>
      <c r="P118" s="18">
        <f t="shared" ca="1" si="15"/>
        <v>-91.645728312834265</v>
      </c>
      <c r="Q118" s="19">
        <f t="shared" ca="1" si="17"/>
        <v>0</v>
      </c>
      <c r="R118" s="12">
        <f t="shared" ca="1" si="17"/>
        <v>0</v>
      </c>
      <c r="S118" s="12">
        <f t="shared" ca="1" si="18"/>
        <v>14.613800269606481</v>
      </c>
      <c r="T118" s="83">
        <f t="shared" ca="1" si="19"/>
        <v>14.613800269606481</v>
      </c>
      <c r="W118" s="1"/>
      <c r="Z118" s="6"/>
    </row>
    <row r="119" spans="1:26" x14ac:dyDescent="0.3">
      <c r="A119" s="11">
        <v>35916</v>
      </c>
      <c r="B119" s="94">
        <v>7435.89</v>
      </c>
      <c r="C119" s="97">
        <v>7238.63</v>
      </c>
      <c r="D119" s="109">
        <v>197.26</v>
      </c>
      <c r="E119" s="109">
        <v>53.26</v>
      </c>
      <c r="F119" s="16">
        <f t="shared" ca="1" si="10"/>
        <v>209.53388945199805</v>
      </c>
      <c r="G119" s="12">
        <f t="shared" si="11"/>
        <v>1.099</v>
      </c>
      <c r="H119" s="12">
        <f t="shared" si="12"/>
        <v>121.786</v>
      </c>
      <c r="I119" s="17" cm="1">
        <f t="array" ref="I119">IF(MONTH(A119) = LOOKUP(YEAR(A119), YEAR('CNY Dates'!A$2:A$34), 'CNY Dates'!B$2:B$34), LOOKUP(YEAR(A119), YEAR('Hongbao demand'!B$4:B$35), 'Hongbao demand'!F$4:F$35)  - O118, 0)</f>
        <v>0</v>
      </c>
      <c r="J119" s="18">
        <f t="shared" si="13"/>
        <v>-4.9968388608362018</v>
      </c>
      <c r="K119" s="19">
        <v>13903.8</v>
      </c>
      <c r="L119" s="12">
        <v>0.73392999999999997</v>
      </c>
      <c r="M119" s="14">
        <v>4.3499999999999997E-3</v>
      </c>
      <c r="N119" s="19">
        <f t="shared" ca="1" si="14"/>
        <v>-156.27388945199806</v>
      </c>
      <c r="O119" s="12">
        <f t="shared" ca="1" si="16"/>
        <v>144.92018600693095</v>
      </c>
      <c r="P119" s="18">
        <f t="shared" ca="1" si="15"/>
        <v>-31.400189451998074</v>
      </c>
      <c r="Q119" s="19">
        <f t="shared" ca="1" si="17"/>
        <v>0</v>
      </c>
      <c r="R119" s="12">
        <f t="shared" ca="1" si="17"/>
        <v>0</v>
      </c>
      <c r="S119" s="12">
        <f t="shared" ca="1" si="18"/>
        <v>14.492018600693095</v>
      </c>
      <c r="T119" s="83">
        <f t="shared" ca="1" si="19"/>
        <v>14.492018600693095</v>
      </c>
      <c r="W119" s="1"/>
      <c r="Z119" s="6"/>
    </row>
    <row r="120" spans="1:26" x14ac:dyDescent="0.3">
      <c r="A120" s="11">
        <v>35947</v>
      </c>
      <c r="B120" s="94">
        <v>7317.8</v>
      </c>
      <c r="C120" s="97">
        <v>7077.49</v>
      </c>
      <c r="D120" s="109">
        <v>240.31</v>
      </c>
      <c r="E120" s="109">
        <v>0</v>
      </c>
      <c r="F120" s="16">
        <f t="shared" ca="1" si="10"/>
        <v>154.13045698349345</v>
      </c>
      <c r="G120" s="12">
        <f t="shared" si="11"/>
        <v>1.6438333333333333</v>
      </c>
      <c r="H120" s="12">
        <f t="shared" si="12"/>
        <v>120.64383333333333</v>
      </c>
      <c r="I120" s="17" cm="1">
        <f t="array" ref="I120">IF(MONTH(A120) = LOOKUP(YEAR(A120), YEAR('CNY Dates'!A$2:A$34), 'CNY Dates'!B$2:B$34), LOOKUP(YEAR(A120), YEAR('Hongbao demand'!B$4:B$35), 'Hongbao demand'!F$4:F$35)  - O119, 0)</f>
        <v>0</v>
      </c>
      <c r="J120" s="18">
        <f t="shared" si="13"/>
        <v>0.44260086482868782</v>
      </c>
      <c r="K120" s="19">
        <v>13903.8</v>
      </c>
      <c r="L120" s="12">
        <v>0.73333000000000004</v>
      </c>
      <c r="M120" s="14">
        <v>4.3499999999999997E-3</v>
      </c>
      <c r="N120" s="19">
        <f t="shared" ca="1" si="14"/>
        <v>-154.13045698349345</v>
      </c>
      <c r="O120" s="12">
        <f t="shared" ca="1" si="16"/>
        <v>143.71251779020653</v>
      </c>
      <c r="P120" s="18">
        <f t="shared" ca="1" si="15"/>
        <v>0</v>
      </c>
      <c r="Q120" s="19">
        <f t="shared" ca="1" si="17"/>
        <v>0</v>
      </c>
      <c r="R120" s="12">
        <f t="shared" ca="1" si="17"/>
        <v>0</v>
      </c>
      <c r="S120" s="12">
        <f t="shared" ca="1" si="18"/>
        <v>14.371251779020653</v>
      </c>
      <c r="T120" s="83">
        <f t="shared" ca="1" si="19"/>
        <v>14.371251779020653</v>
      </c>
      <c r="W120" s="1"/>
      <c r="Z120" s="6"/>
    </row>
    <row r="121" spans="1:26" x14ac:dyDescent="0.3">
      <c r="A121" s="11">
        <v>35977</v>
      </c>
      <c r="B121" s="94">
        <v>7260.4</v>
      </c>
      <c r="C121" s="97">
        <v>7076.44</v>
      </c>
      <c r="D121" s="109">
        <v>183.96</v>
      </c>
      <c r="E121" s="109">
        <v>116.91</v>
      </c>
      <c r="F121" s="16">
        <f t="shared" ca="1" si="10"/>
        <v>122.83186201052018</v>
      </c>
      <c r="G121" s="12">
        <f t="shared" si="11"/>
        <v>2.0025833333333334</v>
      </c>
      <c r="H121" s="12">
        <f t="shared" si="12"/>
        <v>117.95816666666666</v>
      </c>
      <c r="I121" s="17" cm="1">
        <f t="array" ref="I121">IF(MONTH(A121) = LOOKUP(YEAR(A121), YEAR('CNY Dates'!A$2:A$34), 'CNY Dates'!B$2:B$34), LOOKUP(YEAR(A121), YEAR('Hongbao demand'!B$4:B$35), 'Hongbao demand'!F$4:F$35)  - O120, 0)</f>
        <v>0</v>
      </c>
      <c r="J121" s="18">
        <f t="shared" si="13"/>
        <v>2.8711120105201906</v>
      </c>
      <c r="K121" s="19">
        <v>13991.8666666667</v>
      </c>
      <c r="L121" s="12">
        <v>0.73408000000000007</v>
      </c>
      <c r="M121" s="14">
        <v>4.3499999999999997E-3</v>
      </c>
      <c r="N121" s="19">
        <f t="shared" ca="1" si="14"/>
        <v>-5.9218620105201865</v>
      </c>
      <c r="O121" s="12">
        <f t="shared" ca="1" si="16"/>
        <v>141.54980000000003</v>
      </c>
      <c r="P121" s="18">
        <f t="shared" ca="1" si="15"/>
        <v>0</v>
      </c>
      <c r="Q121" s="19">
        <f t="shared" ca="1" si="17"/>
        <v>0</v>
      </c>
      <c r="R121" s="12">
        <f t="shared" ca="1" si="17"/>
        <v>0</v>
      </c>
      <c r="S121" s="12">
        <f t="shared" ca="1" si="18"/>
        <v>14.154980000000004</v>
      </c>
      <c r="T121" s="83">
        <f t="shared" ca="1" si="19"/>
        <v>14.154980000000004</v>
      </c>
      <c r="W121" s="1"/>
      <c r="Z121" s="6"/>
    </row>
    <row r="122" spans="1:26" x14ac:dyDescent="0.3">
      <c r="A122" s="11">
        <v>36008</v>
      </c>
      <c r="B122" s="94">
        <v>7228.41</v>
      </c>
      <c r="C122" s="97">
        <v>7097.09</v>
      </c>
      <c r="D122" s="109">
        <v>131.32</v>
      </c>
      <c r="E122" s="109">
        <v>138.59</v>
      </c>
      <c r="F122" s="16">
        <f t="shared" ca="1" si="10"/>
        <v>120.27265489869478</v>
      </c>
      <c r="G122" s="12">
        <f t="shared" si="11"/>
        <v>1.5330000000000001</v>
      </c>
      <c r="H122" s="12">
        <f t="shared" si="12"/>
        <v>117.94066666666666</v>
      </c>
      <c r="I122" s="17" cm="1">
        <f t="array" ref="I122">IF(MONTH(A122) = LOOKUP(YEAR(A122), YEAR('CNY Dates'!A$2:A$34), 'CNY Dates'!B$2:B$34), LOOKUP(YEAR(A122), YEAR('Hongbao demand'!B$4:B$35), 'Hongbao demand'!F$4:F$35)  - O121, 0)</f>
        <v>0</v>
      </c>
      <c r="J122" s="18">
        <f t="shared" si="13"/>
        <v>0.79898823202812697</v>
      </c>
      <c r="K122" s="19">
        <v>13991.8666666667</v>
      </c>
      <c r="L122" s="12">
        <v>0.73299999999999998</v>
      </c>
      <c r="M122" s="14">
        <v>4.3499999999999997E-3</v>
      </c>
      <c r="N122" s="19">
        <f t="shared" ca="1" si="14"/>
        <v>18.317345101305222</v>
      </c>
      <c r="O122" s="12">
        <f t="shared" ca="1" si="16"/>
        <v>140.37021833333338</v>
      </c>
      <c r="P122" s="18">
        <f t="shared" ca="1" si="15"/>
        <v>0</v>
      </c>
      <c r="Q122" s="19">
        <f t="shared" ca="1" si="17"/>
        <v>0</v>
      </c>
      <c r="R122" s="12">
        <f t="shared" ca="1" si="17"/>
        <v>0</v>
      </c>
      <c r="S122" s="12">
        <f t="shared" ca="1" si="18"/>
        <v>14.037021833333339</v>
      </c>
      <c r="T122" s="83">
        <f t="shared" ca="1" si="19"/>
        <v>14.037021833333339</v>
      </c>
      <c r="W122" s="1"/>
      <c r="Z122" s="6"/>
    </row>
    <row r="123" spans="1:26" x14ac:dyDescent="0.3">
      <c r="A123" s="11">
        <v>36039</v>
      </c>
      <c r="B123" s="94">
        <v>7198.87</v>
      </c>
      <c r="C123" s="97">
        <v>7040.53</v>
      </c>
      <c r="D123" s="109">
        <v>158.34</v>
      </c>
      <c r="E123" s="109">
        <v>61.72</v>
      </c>
      <c r="F123" s="16">
        <f t="shared" ca="1" si="10"/>
        <v>171.11899452002461</v>
      </c>
      <c r="G123" s="12">
        <f t="shared" si="11"/>
        <v>1.0943333333333334</v>
      </c>
      <c r="H123" s="12">
        <f t="shared" si="12"/>
        <v>118.28483333333334</v>
      </c>
      <c r="I123" s="17" cm="1">
        <f t="array" ref="I123">IF(MONTH(A123) = LOOKUP(YEAR(A123), YEAR('CNY Dates'!A$2:A$34), 'CNY Dates'!B$2:B$34), LOOKUP(YEAR(A123), YEAR('Hongbao demand'!B$4:B$35), 'Hongbao demand'!F$4:F$35)  - O122, 0)</f>
        <v>0</v>
      </c>
      <c r="J123" s="18">
        <f t="shared" si="13"/>
        <v>51.73982785335793</v>
      </c>
      <c r="K123" s="19">
        <v>13991.8666666667</v>
      </c>
      <c r="L123" s="12">
        <v>0.73230999999999991</v>
      </c>
      <c r="M123" s="14">
        <v>3.9666666666666661E-3</v>
      </c>
      <c r="N123" s="19">
        <f t="shared" ca="1" si="14"/>
        <v>-109.39899452002462</v>
      </c>
      <c r="O123" s="12">
        <f t="shared" ca="1" si="16"/>
        <v>139.20046651388893</v>
      </c>
      <c r="P123" s="18">
        <f t="shared" ca="1" si="15"/>
        <v>-21.464294520024609</v>
      </c>
      <c r="Q123" s="19">
        <f t="shared" ca="1" si="17"/>
        <v>0</v>
      </c>
      <c r="R123" s="12">
        <f t="shared" ca="1" si="17"/>
        <v>0</v>
      </c>
      <c r="S123" s="12">
        <f t="shared" ca="1" si="18"/>
        <v>13.920046651388894</v>
      </c>
      <c r="T123" s="83">
        <f t="shared" ca="1" si="19"/>
        <v>13.920046651388894</v>
      </c>
      <c r="W123" s="1"/>
      <c r="Z123" s="6"/>
    </row>
    <row r="124" spans="1:26" x14ac:dyDescent="0.3">
      <c r="A124" s="11">
        <v>36069</v>
      </c>
      <c r="B124" s="94">
        <v>7220.57</v>
      </c>
      <c r="C124" s="97">
        <v>7108.08</v>
      </c>
      <c r="D124" s="109">
        <v>112.49</v>
      </c>
      <c r="E124" s="109">
        <v>184.89</v>
      </c>
      <c r="F124" s="16">
        <f t="shared" ca="1" si="10"/>
        <v>219.55500667896911</v>
      </c>
      <c r="G124" s="12">
        <f t="shared" si="11"/>
        <v>1.3195000000000001</v>
      </c>
      <c r="H124" s="12">
        <f t="shared" si="12"/>
        <v>117.34216666666666</v>
      </c>
      <c r="I124" s="17" cm="1">
        <f t="array" ref="I124">IF(MONTH(A124) = LOOKUP(YEAR(A124), YEAR('CNY Dates'!A$2:A$34), 'CNY Dates'!B$2:B$34), LOOKUP(YEAR(A124), YEAR('Hongbao demand'!B$4:B$35), 'Hongbao demand'!F$4:F$35)  - O123, 0)</f>
        <v>0</v>
      </c>
      <c r="J124" s="18">
        <f t="shared" si="13"/>
        <v>79.429045492277822</v>
      </c>
      <c r="K124" s="19">
        <v>14213.3</v>
      </c>
      <c r="L124" s="12">
        <v>0.73116000000000003</v>
      </c>
      <c r="M124" s="14">
        <v>3.5250000000000004E-3</v>
      </c>
      <c r="N124" s="19">
        <f t="shared" ca="1" si="14"/>
        <v>-34.665006678969121</v>
      </c>
      <c r="O124" s="12">
        <f t="shared" ca="1" si="16"/>
        <v>138.04046262627318</v>
      </c>
      <c r="P124" s="18">
        <f t="shared" ca="1" si="15"/>
        <v>0</v>
      </c>
      <c r="Q124" s="19">
        <f t="shared" ca="1" si="17"/>
        <v>0</v>
      </c>
      <c r="R124" s="12">
        <f t="shared" ca="1" si="17"/>
        <v>0</v>
      </c>
      <c r="S124" s="12">
        <f t="shared" ca="1" si="18"/>
        <v>13.804046262627319</v>
      </c>
      <c r="T124" s="83">
        <f t="shared" ca="1" si="19"/>
        <v>13.804046262627319</v>
      </c>
      <c r="W124" s="1"/>
      <c r="Z124" s="6"/>
    </row>
    <row r="125" spans="1:26" x14ac:dyDescent="0.3">
      <c r="A125" s="11">
        <v>36100</v>
      </c>
      <c r="B125" s="94">
        <v>7227.01</v>
      </c>
      <c r="C125" s="97">
        <v>7130.97</v>
      </c>
      <c r="D125" s="109">
        <v>96.04</v>
      </c>
      <c r="E125" s="109">
        <v>141.36000000000001</v>
      </c>
      <c r="F125" s="16">
        <f t="shared" ca="1" si="10"/>
        <v>358.02430527059676</v>
      </c>
      <c r="G125" s="12">
        <f t="shared" si="11"/>
        <v>0.93741666666666668</v>
      </c>
      <c r="H125" s="12">
        <f t="shared" si="12"/>
        <v>118.468</v>
      </c>
      <c r="I125" s="17" cm="1">
        <f t="array" ref="I125">IF(MONTH(A125) = LOOKUP(YEAR(A125), YEAR('CNY Dates'!A$2:A$34), 'CNY Dates'!B$2:B$34), LOOKUP(YEAR(A125), YEAR('Hongbao demand'!B$4:B$35), 'Hongbao demand'!F$4:F$35)  - O124, 0)</f>
        <v>0</v>
      </c>
      <c r="J125" s="18">
        <f t="shared" si="13"/>
        <v>238.61888860393009</v>
      </c>
      <c r="K125" s="19">
        <v>14213.3</v>
      </c>
      <c r="L125" s="12">
        <v>0.73282999999999998</v>
      </c>
      <c r="M125" s="14">
        <v>2.4583333333333336E-3</v>
      </c>
      <c r="N125" s="19">
        <f t="shared" ca="1" si="14"/>
        <v>-216.66430527059674</v>
      </c>
      <c r="O125" s="12">
        <f t="shared" ca="1" si="16"/>
        <v>136.89012543772091</v>
      </c>
      <c r="P125" s="18">
        <f t="shared" ca="1" si="15"/>
        <v>-191.93400527059674</v>
      </c>
      <c r="Q125" s="19">
        <f t="shared" ca="1" si="17"/>
        <v>0</v>
      </c>
      <c r="R125" s="12">
        <f t="shared" ca="1" si="17"/>
        <v>0</v>
      </c>
      <c r="S125" s="12">
        <f t="shared" ca="1" si="18"/>
        <v>13.689012543772092</v>
      </c>
      <c r="T125" s="83">
        <f t="shared" ca="1" si="19"/>
        <v>13.689012543772092</v>
      </c>
      <c r="W125" s="1"/>
      <c r="Z125" s="6"/>
    </row>
    <row r="126" spans="1:26" x14ac:dyDescent="0.3">
      <c r="A126" s="11">
        <v>36130</v>
      </c>
      <c r="B126" s="94">
        <v>7360.57</v>
      </c>
      <c r="C126" s="97">
        <v>7069.93</v>
      </c>
      <c r="D126" s="109">
        <v>290.64</v>
      </c>
      <c r="E126" s="109">
        <v>57.81</v>
      </c>
      <c r="F126" s="16">
        <f t="shared" ca="1" si="10"/>
        <v>763.35330796415474</v>
      </c>
      <c r="G126" s="12">
        <f t="shared" si="11"/>
        <v>0.80033333333333334</v>
      </c>
      <c r="H126" s="12">
        <f t="shared" si="12"/>
        <v>118.84950000000001</v>
      </c>
      <c r="I126" s="17" cm="1">
        <f t="array" ref="I126">IF(MONTH(A126) = LOOKUP(YEAR(A126), YEAR('CNY Dates'!A$2:A$34), 'CNY Dates'!B$2:B$34), LOOKUP(YEAR(A126), YEAR('Hongbao demand'!B$4:B$35), 'Hongbao demand'!F$4:F$35)  - O125, 0)</f>
        <v>0</v>
      </c>
      <c r="J126" s="18">
        <f t="shared" si="13"/>
        <v>451.76946936022466</v>
      </c>
      <c r="K126" s="19">
        <v>14213.3</v>
      </c>
      <c r="L126" s="12">
        <v>0.73120999999999992</v>
      </c>
      <c r="M126" s="14">
        <v>1.4333333333333333E-3</v>
      </c>
      <c r="N126" s="19">
        <f t="shared" ca="1" si="14"/>
        <v>-705.54330796415479</v>
      </c>
      <c r="O126" s="12">
        <f t="shared" ca="1" si="16"/>
        <v>135.74937439240657</v>
      </c>
      <c r="P126" s="18">
        <f t="shared" ca="1" si="15"/>
        <v>-485.6026079641548</v>
      </c>
      <c r="Q126" s="19">
        <f t="shared" ca="1" si="17"/>
        <v>0</v>
      </c>
      <c r="R126" s="12">
        <f t="shared" ca="1" si="17"/>
        <v>0</v>
      </c>
      <c r="S126" s="12">
        <f t="shared" ca="1" si="18"/>
        <v>13.574937439240657</v>
      </c>
      <c r="T126" s="83">
        <f t="shared" ca="1" si="19"/>
        <v>13.574937439240657</v>
      </c>
      <c r="W126" s="1"/>
      <c r="Z126" s="6"/>
    </row>
    <row r="127" spans="1:26" x14ac:dyDescent="0.3">
      <c r="A127" s="11">
        <v>36161</v>
      </c>
      <c r="B127" s="94">
        <v>7520.24</v>
      </c>
      <c r="C127" s="97">
        <v>7095.97</v>
      </c>
      <c r="D127" s="109">
        <v>424.27</v>
      </c>
      <c r="E127" s="109">
        <v>143.87</v>
      </c>
      <c r="F127" s="16">
        <f t="shared" ca="1" si="10"/>
        <v>604.80167103846202</v>
      </c>
      <c r="G127" s="12">
        <f t="shared" si="11"/>
        <v>2.4219999999999997</v>
      </c>
      <c r="H127" s="12">
        <f t="shared" si="12"/>
        <v>117.83216666666667</v>
      </c>
      <c r="I127" s="17" cm="1">
        <f t="array" ref="I127">IF(MONTH(A127) = LOOKUP(YEAR(A127), YEAR('CNY Dates'!A$2:A$34), 'CNY Dates'!B$2:B$34), LOOKUP(YEAR(A127), YEAR('Hongbao demand'!B$4:B$35), 'Hongbao demand'!F$4:F$35)  - O126, 0)</f>
        <v>0</v>
      </c>
      <c r="J127" s="18">
        <f t="shared" si="13"/>
        <v>-1.0551035923594467</v>
      </c>
      <c r="K127" s="19">
        <v>14061.666666666701</v>
      </c>
      <c r="L127" s="12">
        <v>0.73272999999999999</v>
      </c>
      <c r="M127" s="14">
        <v>1.4166666666666668E-3</v>
      </c>
      <c r="N127" s="19">
        <f t="shared" ca="1" si="14"/>
        <v>-460.93167103846201</v>
      </c>
      <c r="O127" s="12">
        <f t="shared" ca="1" si="16"/>
        <v>134.61812960580318</v>
      </c>
      <c r="P127" s="18">
        <f t="shared" ca="1" si="15"/>
        <v>-107.62137103846203</v>
      </c>
      <c r="Q127" s="19">
        <f t="shared" ca="1" si="17"/>
        <v>0</v>
      </c>
      <c r="R127" s="12">
        <f t="shared" ca="1" si="17"/>
        <v>0</v>
      </c>
      <c r="S127" s="12">
        <f t="shared" ca="1" si="18"/>
        <v>13.461812960580318</v>
      </c>
      <c r="T127" s="83">
        <f t="shared" ca="1" si="19"/>
        <v>13.461812960580318</v>
      </c>
      <c r="W127" s="1"/>
      <c r="Z127" s="6"/>
    </row>
    <row r="128" spans="1:26" x14ac:dyDescent="0.3">
      <c r="A128" s="11">
        <v>36192</v>
      </c>
      <c r="B128" s="94">
        <v>7788.62</v>
      </c>
      <c r="C128" s="97">
        <v>7151.13</v>
      </c>
      <c r="D128" s="109">
        <v>637.49</v>
      </c>
      <c r="E128" s="109">
        <v>173.43</v>
      </c>
      <c r="F128" s="16">
        <f t="shared" ca="1" si="10"/>
        <v>102.44707637586257</v>
      </c>
      <c r="G128" s="12">
        <f t="shared" si="11"/>
        <v>3.5355833333333333</v>
      </c>
      <c r="H128" s="12">
        <f t="shared" si="12"/>
        <v>118.26616666666668</v>
      </c>
      <c r="I128" s="17" cm="1">
        <f t="array" aca="1" ref="I128" ca="1">IF(MONTH(A128) = LOOKUP(YEAR(A128), YEAR('CNY Dates'!A$2:A$34), 'CNY Dates'!B$2:B$34), LOOKUP(YEAR(A128), YEAR('Hongbao demand'!B$4:B$35), 'Hongbao demand'!F$4:F$35)  - O127, 0)</f>
        <v>-125.79152108317487</v>
      </c>
      <c r="J128" s="18">
        <f t="shared" si="13"/>
        <v>-1.1845235794246067</v>
      </c>
      <c r="K128" s="19">
        <v>14061.666666666701</v>
      </c>
      <c r="L128" s="12">
        <v>0.73364000000000007</v>
      </c>
      <c r="M128" s="14">
        <v>1.4166666666666668E-3</v>
      </c>
      <c r="N128" s="19">
        <f t="shared" ca="1" si="14"/>
        <v>70.982923624137442</v>
      </c>
      <c r="O128" s="12">
        <f t="shared" ca="1" si="16"/>
        <v>14.196584724827488</v>
      </c>
      <c r="P128" s="18">
        <f t="shared" ca="1" si="15"/>
        <v>0</v>
      </c>
      <c r="Q128" s="19">
        <f t="shared" ca="1" si="17"/>
        <v>0</v>
      </c>
      <c r="R128" s="12">
        <f t="shared" ca="1" si="17"/>
        <v>0</v>
      </c>
      <c r="S128" s="12">
        <f t="shared" ca="1" si="18"/>
        <v>1.419658472482749</v>
      </c>
      <c r="T128" s="83">
        <f t="shared" ca="1" si="19"/>
        <v>1.419658472482749</v>
      </c>
      <c r="W128" s="1"/>
      <c r="Z128" s="6"/>
    </row>
    <row r="129" spans="1:26" x14ac:dyDescent="0.3">
      <c r="A129" s="11">
        <v>36220</v>
      </c>
      <c r="B129" s="94">
        <v>7657.72</v>
      </c>
      <c r="C129" s="97">
        <v>7223.09</v>
      </c>
      <c r="D129" s="109">
        <v>434.63</v>
      </c>
      <c r="E129" s="109">
        <v>191.15</v>
      </c>
      <c r="F129" s="16">
        <f t="shared" ca="1" si="10"/>
        <v>138.69000482661019</v>
      </c>
      <c r="G129" s="12">
        <f t="shared" si="11"/>
        <v>5.3124166666666666</v>
      </c>
      <c r="H129" s="12">
        <f t="shared" si="12"/>
        <v>119.1855</v>
      </c>
      <c r="I129" s="17" cm="1">
        <f t="array" ref="I129">IF(MONTH(A129) = LOOKUP(YEAR(A129), YEAR('CNY Dates'!A$2:A$34), 'CNY Dates'!B$2:B$34), LOOKUP(YEAR(A129), YEAR('Hongbao demand'!B$4:B$35), 'Hongbao demand'!F$4:F$35)  - O128, 0)</f>
        <v>0</v>
      </c>
      <c r="J129" s="18">
        <f t="shared" si="13"/>
        <v>14.192088159943529</v>
      </c>
      <c r="K129" s="19">
        <v>14061.666666666701</v>
      </c>
      <c r="L129" s="12">
        <v>0.73141999999999996</v>
      </c>
      <c r="M129" s="14">
        <v>1.4E-3</v>
      </c>
      <c r="N129" s="19">
        <f t="shared" ca="1" si="14"/>
        <v>52.459995173389814</v>
      </c>
      <c r="O129" s="12">
        <f t="shared" ca="1" si="16"/>
        <v>14.078279852120593</v>
      </c>
      <c r="P129" s="18">
        <f t="shared" ca="1" si="15"/>
        <v>0</v>
      </c>
      <c r="Q129" s="19">
        <f t="shared" ca="1" si="17"/>
        <v>0</v>
      </c>
      <c r="R129" s="12">
        <f t="shared" ca="1" si="17"/>
        <v>0</v>
      </c>
      <c r="S129" s="12">
        <f t="shared" ca="1" si="18"/>
        <v>1.4078279852120594</v>
      </c>
      <c r="T129" s="83">
        <f t="shared" ca="1" si="19"/>
        <v>1.4078279852120594</v>
      </c>
      <c r="W129" s="1"/>
      <c r="Z129" s="6"/>
    </row>
    <row r="130" spans="1:26" x14ac:dyDescent="0.3">
      <c r="A130" s="11">
        <v>36251</v>
      </c>
      <c r="B130" s="94">
        <v>7611.24</v>
      </c>
      <c r="C130" s="97">
        <v>7304.64</v>
      </c>
      <c r="D130" s="109">
        <v>306.60000000000002</v>
      </c>
      <c r="E130" s="109">
        <v>201.93</v>
      </c>
      <c r="F130" s="16">
        <f t="shared" ca="1" si="10"/>
        <v>161.83151899540525</v>
      </c>
      <c r="G130" s="12">
        <f t="shared" si="11"/>
        <v>3.6219166666666665</v>
      </c>
      <c r="H130" s="12">
        <f t="shared" si="12"/>
        <v>120.38483333333333</v>
      </c>
      <c r="I130" s="17" cm="1">
        <f t="array" ref="I130">IF(MONTH(A130) = LOOKUP(YEAR(A130), YEAR('CNY Dates'!A$2:A$34), 'CNY Dates'!B$2:B$34), LOOKUP(YEAR(A130), YEAR('Hongbao demand'!B$4:B$35), 'Hongbao demand'!F$4:F$35)  - O129, 0)</f>
        <v>0</v>
      </c>
      <c r="J130" s="18">
        <f t="shared" si="13"/>
        <v>37.82476899540525</v>
      </c>
      <c r="K130" s="19">
        <v>14658.5</v>
      </c>
      <c r="L130" s="12">
        <v>0.73331000000000002</v>
      </c>
      <c r="M130" s="14">
        <v>1.4E-3</v>
      </c>
      <c r="N130" s="19">
        <f t="shared" ca="1" si="14"/>
        <v>40.09848100459476</v>
      </c>
      <c r="O130" s="12">
        <f t="shared" ca="1" si="16"/>
        <v>13.960960853352923</v>
      </c>
      <c r="P130" s="18">
        <f t="shared" ca="1" si="15"/>
        <v>0</v>
      </c>
      <c r="Q130" s="19">
        <f t="shared" ca="1" si="17"/>
        <v>0</v>
      </c>
      <c r="R130" s="12">
        <f t="shared" ca="1" si="17"/>
        <v>0</v>
      </c>
      <c r="S130" s="12">
        <f t="shared" ca="1" si="18"/>
        <v>1.3960960853352924</v>
      </c>
      <c r="T130" s="83">
        <f t="shared" ca="1" si="19"/>
        <v>1.3960960853352924</v>
      </c>
      <c r="W130" s="1"/>
      <c r="Z130" s="6"/>
    </row>
    <row r="131" spans="1:26" x14ac:dyDescent="0.3">
      <c r="A131" s="11">
        <v>36281</v>
      </c>
      <c r="B131" s="94">
        <v>7662.83</v>
      </c>
      <c r="C131" s="97">
        <v>7395.64</v>
      </c>
      <c r="D131" s="109">
        <v>267.19</v>
      </c>
      <c r="E131" s="109">
        <v>212.74</v>
      </c>
      <c r="F131" s="16">
        <f t="shared" ca="1" si="10"/>
        <v>122.05331097262024</v>
      </c>
      <c r="G131" s="12">
        <f t="shared" si="11"/>
        <v>2.5550000000000002</v>
      </c>
      <c r="H131" s="12">
        <f t="shared" si="12"/>
        <v>121.744</v>
      </c>
      <c r="I131" s="17" cm="1">
        <f t="array" ref="I131">IF(MONTH(A131) = LOOKUP(YEAR(A131), YEAR('CNY Dates'!A$2:A$34), 'CNY Dates'!B$2:B$34), LOOKUP(YEAR(A131), YEAR('Hongbao demand'!B$4:B$35), 'Hongbao demand'!F$4:F$35)  - O130, 0)</f>
        <v>0</v>
      </c>
      <c r="J131" s="18">
        <f t="shared" si="13"/>
        <v>-2.2456890273797718</v>
      </c>
      <c r="K131" s="19">
        <v>14658.5</v>
      </c>
      <c r="L131" s="12">
        <v>0.73498999999999992</v>
      </c>
      <c r="M131" s="14">
        <v>1.4E-3</v>
      </c>
      <c r="N131" s="19">
        <f t="shared" ca="1" si="14"/>
        <v>90.686689027379771</v>
      </c>
      <c r="O131" s="12">
        <f t="shared" ca="1" si="16"/>
        <v>13.844619512908315</v>
      </c>
      <c r="P131" s="18">
        <f t="shared" ca="1" si="15"/>
        <v>0</v>
      </c>
      <c r="Q131" s="19">
        <f t="shared" ca="1" si="17"/>
        <v>0</v>
      </c>
      <c r="R131" s="12">
        <f t="shared" ca="1" si="17"/>
        <v>0</v>
      </c>
      <c r="S131" s="12">
        <f t="shared" ca="1" si="18"/>
        <v>1.3844619512908316</v>
      </c>
      <c r="T131" s="83">
        <f t="shared" ca="1" si="19"/>
        <v>1.3844619512908316</v>
      </c>
      <c r="W131" s="1"/>
      <c r="Z131" s="6"/>
    </row>
    <row r="132" spans="1:26" x14ac:dyDescent="0.3">
      <c r="A132" s="11">
        <v>36312</v>
      </c>
      <c r="B132" s="94">
        <v>7588.42</v>
      </c>
      <c r="C132" s="97">
        <v>7392.49</v>
      </c>
      <c r="D132" s="109">
        <v>195.93</v>
      </c>
      <c r="E132" s="109">
        <v>120.11</v>
      </c>
      <c r="F132" s="16">
        <f t="shared" ca="1" si="10"/>
        <v>126.46114020039946</v>
      </c>
      <c r="G132" s="12">
        <f t="shared" si="11"/>
        <v>2.2265833333333331</v>
      </c>
      <c r="H132" s="12">
        <f t="shared" si="12"/>
        <v>123.26066666666667</v>
      </c>
      <c r="I132" s="17" cm="1">
        <f t="array" ref="I132">IF(MONTH(A132) = LOOKUP(YEAR(A132), YEAR('CNY Dates'!A$2:A$34), 'CNY Dates'!B$2:B$34), LOOKUP(YEAR(A132), YEAR('Hongbao demand'!B$4:B$35), 'Hongbao demand'!F$4:F$35)  - O131, 0)</f>
        <v>0</v>
      </c>
      <c r="J132" s="18">
        <f t="shared" si="13"/>
        <v>0.97389020039945684</v>
      </c>
      <c r="K132" s="19">
        <v>14658.5</v>
      </c>
      <c r="L132" s="12">
        <v>0.73426000000000002</v>
      </c>
      <c r="M132" s="14">
        <v>1.4E-3</v>
      </c>
      <c r="N132" s="19">
        <f t="shared" ca="1" si="14"/>
        <v>-6.3511402003994561</v>
      </c>
      <c r="O132" s="12">
        <f t="shared" ca="1" si="16"/>
        <v>13.729247683634078</v>
      </c>
      <c r="P132" s="18">
        <f t="shared" ca="1" si="15"/>
        <v>0</v>
      </c>
      <c r="Q132" s="19">
        <f t="shared" ca="1" si="17"/>
        <v>0</v>
      </c>
      <c r="R132" s="12">
        <f t="shared" ca="1" si="17"/>
        <v>0</v>
      </c>
      <c r="S132" s="12">
        <f t="shared" ca="1" si="18"/>
        <v>1.3729247683634078</v>
      </c>
      <c r="T132" s="83">
        <f t="shared" ca="1" si="19"/>
        <v>1.3729247683634078</v>
      </c>
      <c r="W132" s="1"/>
      <c r="Z132" s="6"/>
    </row>
    <row r="133" spans="1:26" x14ac:dyDescent="0.3">
      <c r="A133" s="11">
        <v>36342</v>
      </c>
      <c r="B133" s="94">
        <v>7614.53</v>
      </c>
      <c r="C133" s="97">
        <v>7440.44</v>
      </c>
      <c r="D133" s="109">
        <v>174.09</v>
      </c>
      <c r="E133" s="109">
        <v>171.16</v>
      </c>
      <c r="F133" s="16">
        <f t="shared" ca="1" si="10"/>
        <v>153.89563665786514</v>
      </c>
      <c r="G133" s="12">
        <f t="shared" si="11"/>
        <v>1.6327500000000001</v>
      </c>
      <c r="H133" s="12">
        <f t="shared" si="12"/>
        <v>123.20816666666666</v>
      </c>
      <c r="I133" s="17" cm="1">
        <f t="array" ref="I133">IF(MONTH(A133) = LOOKUP(YEAR(A133), YEAR('CNY Dates'!A$2:A$34), 'CNY Dates'!B$2:B$34), LOOKUP(YEAR(A133), YEAR('Hongbao demand'!B$4:B$35), 'Hongbao demand'!F$4:F$35)  - O132, 0)</f>
        <v>0</v>
      </c>
      <c r="J133" s="18">
        <f t="shared" si="13"/>
        <v>29.054719991198482</v>
      </c>
      <c r="K133" s="19">
        <v>15116.5333333333</v>
      </c>
      <c r="L133" s="12">
        <v>0.73528000000000004</v>
      </c>
      <c r="M133" s="14">
        <v>1.4E-3</v>
      </c>
      <c r="N133" s="19">
        <f t="shared" ca="1" si="14"/>
        <v>17.264363342134857</v>
      </c>
      <c r="O133" s="12">
        <f t="shared" ca="1" si="16"/>
        <v>13.614837286270461</v>
      </c>
      <c r="P133" s="18">
        <f t="shared" ca="1" si="15"/>
        <v>0</v>
      </c>
      <c r="Q133" s="19">
        <f t="shared" ca="1" si="17"/>
        <v>0</v>
      </c>
      <c r="R133" s="12">
        <f t="shared" ca="1" si="17"/>
        <v>0</v>
      </c>
      <c r="S133" s="12">
        <f t="shared" ca="1" si="18"/>
        <v>1.3614837286270463</v>
      </c>
      <c r="T133" s="83">
        <f t="shared" ca="1" si="19"/>
        <v>1.3614837286270463</v>
      </c>
      <c r="W133" s="1"/>
      <c r="Z133" s="6"/>
    </row>
    <row r="134" spans="1:26" x14ac:dyDescent="0.3">
      <c r="A134" s="11">
        <v>36373</v>
      </c>
      <c r="B134" s="94">
        <v>7577.64</v>
      </c>
      <c r="C134" s="97">
        <v>7435.19</v>
      </c>
      <c r="D134" s="109">
        <v>142.44999999999999</v>
      </c>
      <c r="E134" s="109">
        <v>118.76</v>
      </c>
      <c r="F134" s="16">
        <f t="shared" ca="1" si="10"/>
        <v>124.83475560699632</v>
      </c>
      <c r="G134" s="12">
        <f t="shared" si="11"/>
        <v>1.45075</v>
      </c>
      <c r="H134" s="12">
        <f t="shared" si="12"/>
        <v>124.00733333333332</v>
      </c>
      <c r="I134" s="17" cm="1">
        <f t="array" ref="I134">IF(MONTH(A134) = LOOKUP(YEAR(A134), YEAR('CNY Dates'!A$2:A$34), 'CNY Dates'!B$2:B$34), LOOKUP(YEAR(A134), YEAR('Hongbao demand'!B$4:B$35), 'Hongbao demand'!F$4:F$35)  - O133, 0)</f>
        <v>0</v>
      </c>
      <c r="J134" s="18">
        <f t="shared" si="13"/>
        <v>-0.62332772633700162</v>
      </c>
      <c r="K134" s="19">
        <v>15116.5333333333</v>
      </c>
      <c r="L134" s="12">
        <v>0.73573999999999995</v>
      </c>
      <c r="M134" s="14">
        <v>1.4E-3</v>
      </c>
      <c r="N134" s="19">
        <f t="shared" ca="1" si="14"/>
        <v>-6.0747556069963196</v>
      </c>
      <c r="O134" s="12">
        <f t="shared" ca="1" si="16"/>
        <v>13.501380308884874</v>
      </c>
      <c r="P134" s="18">
        <f t="shared" ca="1" si="15"/>
        <v>0</v>
      </c>
      <c r="Q134" s="19">
        <f t="shared" ca="1" si="17"/>
        <v>0</v>
      </c>
      <c r="R134" s="12">
        <f t="shared" ca="1" si="17"/>
        <v>0</v>
      </c>
      <c r="S134" s="12">
        <f t="shared" ca="1" si="18"/>
        <v>1.3501380308884876</v>
      </c>
      <c r="T134" s="83">
        <f t="shared" ca="1" si="19"/>
        <v>1.3501380308884876</v>
      </c>
      <c r="W134" s="1"/>
      <c r="Z134" s="6"/>
    </row>
    <row r="135" spans="1:26" x14ac:dyDescent="0.3">
      <c r="A135" s="11">
        <v>36404</v>
      </c>
      <c r="B135" s="94">
        <v>7712.46</v>
      </c>
      <c r="C135" s="97">
        <v>7492.66</v>
      </c>
      <c r="D135" s="109">
        <v>219.8</v>
      </c>
      <c r="E135" s="109">
        <v>181.39</v>
      </c>
      <c r="F135" s="16">
        <f t="shared" ca="1" si="10"/>
        <v>125.48611953124777</v>
      </c>
      <c r="G135" s="12">
        <f t="shared" si="11"/>
        <v>1.1870833333333333</v>
      </c>
      <c r="H135" s="12">
        <f t="shared" si="12"/>
        <v>123.91983333333333</v>
      </c>
      <c r="I135" s="17" cm="1">
        <f t="array" ref="I135">IF(MONTH(A135) = LOOKUP(YEAR(A135), YEAR('CNY Dates'!A$2:A$34), 'CNY Dates'!B$2:B$34), LOOKUP(YEAR(A135), YEAR('Hongbao demand'!B$4:B$35), 'Hongbao demand'!F$4:F$35)  - O134, 0)</f>
        <v>0</v>
      </c>
      <c r="J135" s="18">
        <f t="shared" si="13"/>
        <v>0.37920286458109731</v>
      </c>
      <c r="K135" s="19">
        <v>15116.5333333333</v>
      </c>
      <c r="L135" s="12">
        <v>0.73546000000000011</v>
      </c>
      <c r="M135" s="14">
        <v>1.4E-3</v>
      </c>
      <c r="N135" s="19">
        <f t="shared" ca="1" si="14"/>
        <v>55.90388046875222</v>
      </c>
      <c r="O135" s="12">
        <f t="shared" ca="1" si="16"/>
        <v>13.388868806310834</v>
      </c>
      <c r="P135" s="18">
        <f t="shared" ca="1" si="15"/>
        <v>0</v>
      </c>
      <c r="Q135" s="19">
        <f t="shared" ca="1" si="17"/>
        <v>0</v>
      </c>
      <c r="R135" s="12">
        <f t="shared" ca="1" si="17"/>
        <v>0</v>
      </c>
      <c r="S135" s="12">
        <f t="shared" ca="1" si="18"/>
        <v>1.3388868806310834</v>
      </c>
      <c r="T135" s="83">
        <f t="shared" ca="1" si="19"/>
        <v>1.3388868806310834</v>
      </c>
      <c r="W135" s="1"/>
      <c r="Z135" s="6"/>
    </row>
    <row r="136" spans="1:26" x14ac:dyDescent="0.3">
      <c r="A136" s="11">
        <v>36434</v>
      </c>
      <c r="B136" s="94">
        <v>7735</v>
      </c>
      <c r="C136" s="97">
        <v>7535.43</v>
      </c>
      <c r="D136" s="109">
        <v>199.57</v>
      </c>
      <c r="E136" s="109">
        <v>167.65</v>
      </c>
      <c r="F136" s="16">
        <f t="shared" ref="F136:F199" ca="1" si="20">SUM(G136:J136)-MIN(0, P135)</f>
        <v>134.76936803690592</v>
      </c>
      <c r="G136" s="12">
        <f t="shared" ref="G136:G199" si="21">D135/($I$1*12)</f>
        <v>1.8316666666666668</v>
      </c>
      <c r="H136" s="12">
        <f t="shared" ref="H136:H199" si="22">C135/($I$2*12)</f>
        <v>124.87766666666667</v>
      </c>
      <c r="I136" s="17" cm="1">
        <f t="array" ref="I136">IF(MONTH(A136) = LOOKUP(YEAR(A136), YEAR('CNY Dates'!A$2:A$34), 'CNY Dates'!B$2:B$34), LOOKUP(YEAR(A136), YEAR('Hongbao demand'!B$4:B$35), 'Hongbao demand'!F$4:F$35)  - O135, 0)</f>
        <v>0</v>
      </c>
      <c r="J136" s="18">
        <f t="shared" ref="J136:J199" si="23">(SQRT(K136/(2*L136*M136))-SQRT(K135/(2*L135*M135)))*L136</f>
        <v>8.0600347035725921</v>
      </c>
      <c r="K136" s="19">
        <v>15227.766666666699</v>
      </c>
      <c r="L136" s="12">
        <v>0.73490999999999995</v>
      </c>
      <c r="M136" s="14">
        <v>1.4E-3</v>
      </c>
      <c r="N136" s="19">
        <f t="shared" ref="N136:N199" ca="1" si="24">E136-F136</f>
        <v>32.880631963094089</v>
      </c>
      <c r="O136" s="12">
        <f t="shared" ca="1" si="16"/>
        <v>13.277294899591576</v>
      </c>
      <c r="P136" s="18">
        <f t="shared" ref="P136:P199" ca="1" si="25">MAX(MIN(D136+N136 - D$1*C136, 0), D136+N136 - D$2*C136)</f>
        <v>0</v>
      </c>
      <c r="Q136" s="19">
        <f t="shared" ca="1" si="17"/>
        <v>0</v>
      </c>
      <c r="R136" s="12">
        <f t="shared" ca="1" si="17"/>
        <v>0</v>
      </c>
      <c r="S136" s="12">
        <f t="shared" ca="1" si="18"/>
        <v>1.3277294899591576</v>
      </c>
      <c r="T136" s="83">
        <f t="shared" ca="1" si="19"/>
        <v>1.3277294899591576</v>
      </c>
      <c r="W136" s="1"/>
      <c r="Z136" s="6"/>
    </row>
    <row r="137" spans="1:26" x14ac:dyDescent="0.3">
      <c r="A137" s="11">
        <v>36465</v>
      </c>
      <c r="B137" s="94">
        <v>7777.28</v>
      </c>
      <c r="C137" s="97">
        <v>7582.89</v>
      </c>
      <c r="D137" s="109">
        <v>194.39</v>
      </c>
      <c r="E137" s="109">
        <v>173.05</v>
      </c>
      <c r="F137" s="16">
        <f t="shared" ca="1" si="20"/>
        <v>126.51895864692867</v>
      </c>
      <c r="G137" s="12">
        <f t="shared" si="21"/>
        <v>1.6630833333333332</v>
      </c>
      <c r="H137" s="12">
        <f t="shared" si="22"/>
        <v>125.59050000000001</v>
      </c>
      <c r="I137" s="17" cm="1">
        <f t="array" ref="I137">IF(MONTH(A137) = LOOKUP(YEAR(A137), YEAR('CNY Dates'!A$2:A$34), 'CNY Dates'!B$2:B$34), LOOKUP(YEAR(A137), YEAR('Hongbao demand'!B$4:B$35), 'Hongbao demand'!F$4:F$35)  - O136, 0)</f>
        <v>0</v>
      </c>
      <c r="J137" s="18">
        <f t="shared" si="23"/>
        <v>-0.73462468640467016</v>
      </c>
      <c r="K137" s="19">
        <v>15227.766666666699</v>
      </c>
      <c r="L137" s="12">
        <v>0.73545000000000005</v>
      </c>
      <c r="M137" s="14">
        <v>1.4E-3</v>
      </c>
      <c r="N137" s="19">
        <f t="shared" ca="1" si="24"/>
        <v>46.531041353071345</v>
      </c>
      <c r="O137" s="12">
        <f t="shared" ref="O137:O200" ca="1" si="26">MIN(IF(I137=0, O136*(I$1*12-1)/(I$1*12), MAX(O$5*N137, 0)), D$2*O$5*C136)</f>
        <v>13.166650775428312</v>
      </c>
      <c r="P137" s="18">
        <f t="shared" ca="1" si="25"/>
        <v>0</v>
      </c>
      <c r="Q137" s="19">
        <f t="shared" ref="Q137:R200" ca="1" si="27">MAX(0,$P137)*Q$5</f>
        <v>0</v>
      </c>
      <c r="R137" s="12">
        <f t="shared" ca="1" si="27"/>
        <v>0</v>
      </c>
      <c r="S137" s="12">
        <f t="shared" ref="S137:S200" ca="1" si="28">O137*$S$5</f>
        <v>1.3166650775428312</v>
      </c>
      <c r="T137" s="83">
        <f t="shared" ref="T137:T200" ca="1" si="29">SUM(Q137:S137)</f>
        <v>1.3166650775428312</v>
      </c>
      <c r="W137" s="1"/>
      <c r="Z137" s="6"/>
    </row>
    <row r="138" spans="1:26" x14ac:dyDescent="0.3">
      <c r="A138" s="11">
        <v>36495</v>
      </c>
      <c r="B138" s="94">
        <v>9345.56</v>
      </c>
      <c r="C138" s="97">
        <v>7866.25</v>
      </c>
      <c r="D138" s="109">
        <v>1479.31</v>
      </c>
      <c r="E138" s="109">
        <v>409.74</v>
      </c>
      <c r="F138" s="16">
        <f t="shared" ca="1" si="20"/>
        <v>127.03582030368926</v>
      </c>
      <c r="G138" s="12">
        <f t="shared" si="21"/>
        <v>1.6199166666666664</v>
      </c>
      <c r="H138" s="12">
        <f t="shared" si="22"/>
        <v>126.3815</v>
      </c>
      <c r="I138" s="17" cm="1">
        <f t="array" ref="I138">IF(MONTH(A138) = LOOKUP(YEAR(A138), YEAR('CNY Dates'!A$2:A$34), 'CNY Dates'!B$2:B$34), LOOKUP(YEAR(A138), YEAR('Hongbao demand'!B$4:B$35), 'Hongbao demand'!F$4:F$35)  - O137, 0)</f>
        <v>0</v>
      </c>
      <c r="J138" s="18">
        <f t="shared" si="23"/>
        <v>-0.96559636297740903</v>
      </c>
      <c r="K138" s="19">
        <v>15227.766666666699</v>
      </c>
      <c r="L138" s="12">
        <v>0.73616000000000004</v>
      </c>
      <c r="M138" s="14">
        <v>1.4E-3</v>
      </c>
      <c r="N138" s="19">
        <f t="shared" ca="1" si="24"/>
        <v>282.70417969631075</v>
      </c>
      <c r="O138" s="12">
        <f t="shared" ca="1" si="26"/>
        <v>13.056928685633077</v>
      </c>
      <c r="P138" s="18">
        <f t="shared" ca="1" si="25"/>
        <v>975.38917969631075</v>
      </c>
      <c r="Q138" s="19">
        <f t="shared" ca="1" si="27"/>
        <v>146.3083769544466</v>
      </c>
      <c r="R138" s="12">
        <f t="shared" ca="1" si="27"/>
        <v>195.07783593926217</v>
      </c>
      <c r="S138" s="12">
        <f t="shared" ca="1" si="28"/>
        <v>1.3056928685633078</v>
      </c>
      <c r="T138" s="83">
        <f t="shared" ca="1" si="29"/>
        <v>342.69190576227209</v>
      </c>
      <c r="W138" s="1"/>
      <c r="Z138" s="6"/>
    </row>
    <row r="139" spans="1:26" x14ac:dyDescent="0.3">
      <c r="A139" s="11">
        <v>36526</v>
      </c>
      <c r="B139" s="94">
        <v>8765.4</v>
      </c>
      <c r="C139" s="97">
        <v>7674.59</v>
      </c>
      <c r="D139" s="109">
        <v>1090.81</v>
      </c>
      <c r="E139" s="109">
        <v>0</v>
      </c>
      <c r="F139" s="16">
        <f t="shared" ca="1" si="20"/>
        <v>145.88076077033861</v>
      </c>
      <c r="G139" s="12">
        <f t="shared" si="21"/>
        <v>12.327583333333333</v>
      </c>
      <c r="H139" s="12">
        <f t="shared" si="22"/>
        <v>131.10416666666666</v>
      </c>
      <c r="I139" s="17" cm="1">
        <f t="array" ref="I139">IF(MONTH(A139) = LOOKUP(YEAR(A139), YEAR('CNY Dates'!A$2:A$34), 'CNY Dates'!B$2:B$34), LOOKUP(YEAR(A139), YEAR('Hongbao demand'!B$4:B$35), 'Hongbao demand'!F$4:F$35)  - O138, 0)</f>
        <v>0</v>
      </c>
      <c r="J139" s="18">
        <f t="shared" si="23"/>
        <v>2.4490107703386088</v>
      </c>
      <c r="K139" s="19">
        <v>15332.5</v>
      </c>
      <c r="L139" s="12">
        <v>0.73941999999999997</v>
      </c>
      <c r="M139" s="14">
        <v>1.4E-3</v>
      </c>
      <c r="N139" s="19">
        <f t="shared" ca="1" si="24"/>
        <v>-145.88076077033861</v>
      </c>
      <c r="O139" s="12">
        <f t="shared" ca="1" si="26"/>
        <v>12.948120946586133</v>
      </c>
      <c r="P139" s="18">
        <f t="shared" ca="1" si="25"/>
        <v>177.47023922966127</v>
      </c>
      <c r="Q139" s="19">
        <f t="shared" ca="1" si="27"/>
        <v>26.62053588444919</v>
      </c>
      <c r="R139" s="12">
        <f t="shared" ca="1" si="27"/>
        <v>35.494047845932258</v>
      </c>
      <c r="S139" s="12">
        <f t="shared" ca="1" si="28"/>
        <v>1.2948120946586135</v>
      </c>
      <c r="T139" s="83">
        <f t="shared" ca="1" si="29"/>
        <v>63.409395825040058</v>
      </c>
      <c r="W139" s="1"/>
      <c r="Z139" s="6"/>
    </row>
    <row r="140" spans="1:26" x14ac:dyDescent="0.3">
      <c r="A140" s="11">
        <v>36557</v>
      </c>
      <c r="B140" s="94">
        <v>8214.64</v>
      </c>
      <c r="C140" s="97">
        <v>7652.75</v>
      </c>
      <c r="D140" s="109">
        <v>561.89</v>
      </c>
      <c r="E140" s="109">
        <v>106.07</v>
      </c>
      <c r="F140" s="16">
        <f t="shared" ca="1" si="20"/>
        <v>104.78223982122202</v>
      </c>
      <c r="G140" s="12">
        <f t="shared" si="21"/>
        <v>9.0900833333333324</v>
      </c>
      <c r="H140" s="12">
        <f t="shared" si="22"/>
        <v>127.90983333333334</v>
      </c>
      <c r="I140" s="17" cm="1">
        <f t="array" aca="1" ref="I140" ca="1">IF(MONTH(A140) = LOOKUP(YEAR(A140), YEAR('CNY Dates'!A$2:A$34), 'CNY Dates'!B$2:B$34), LOOKUP(YEAR(A140), YEAR('Hongbao demand'!B$4:B$35), 'Hongbao demand'!F$4:F$35)  - O139, 0)</f>
        <v>-3.8310717997153088</v>
      </c>
      <c r="J140" s="18">
        <f t="shared" si="23"/>
        <v>-28.386605045729333</v>
      </c>
      <c r="K140" s="19">
        <v>15332.5</v>
      </c>
      <c r="L140" s="12">
        <v>0.74293999999999993</v>
      </c>
      <c r="M140" s="14">
        <v>1.4333333333333333E-3</v>
      </c>
      <c r="N140" s="19">
        <f t="shared" ca="1" si="24"/>
        <v>1.2877601787779724</v>
      </c>
      <c r="O140" s="12">
        <f t="shared" ca="1" si="26"/>
        <v>0.25755203575559449</v>
      </c>
      <c r="P140" s="18">
        <f t="shared" ca="1" si="25"/>
        <v>0</v>
      </c>
      <c r="Q140" s="19">
        <f t="shared" ca="1" si="27"/>
        <v>0</v>
      </c>
      <c r="R140" s="12">
        <f t="shared" ca="1" si="27"/>
        <v>0</v>
      </c>
      <c r="S140" s="12">
        <f t="shared" ca="1" si="28"/>
        <v>2.5755203575559452E-2</v>
      </c>
      <c r="T140" s="83">
        <f t="shared" ca="1" si="29"/>
        <v>2.5755203575559452E-2</v>
      </c>
      <c r="W140" s="1"/>
      <c r="Z140" s="6"/>
    </row>
    <row r="141" spans="1:26" x14ac:dyDescent="0.3">
      <c r="A141" s="11">
        <v>36586</v>
      </c>
      <c r="B141" s="94">
        <v>8055.67</v>
      </c>
      <c r="C141" s="97">
        <v>7633.78</v>
      </c>
      <c r="D141" s="109">
        <v>421.89</v>
      </c>
      <c r="E141" s="109">
        <v>108.58</v>
      </c>
      <c r="F141" s="16">
        <f t="shared" ca="1" si="20"/>
        <v>135.64629473759757</v>
      </c>
      <c r="G141" s="12">
        <f t="shared" si="21"/>
        <v>4.6824166666666667</v>
      </c>
      <c r="H141" s="12">
        <f t="shared" si="22"/>
        <v>127.54583333333333</v>
      </c>
      <c r="I141" s="17" cm="1">
        <f t="array" ref="I141">IF(MONTH(A141) = LOOKUP(YEAR(A141), YEAR('CNY Dates'!A$2:A$34), 'CNY Dates'!B$2:B$34), LOOKUP(YEAR(A141), YEAR('Hongbao demand'!B$4:B$35), 'Hongbao demand'!F$4:F$35)  - O140, 0)</f>
        <v>0</v>
      </c>
      <c r="J141" s="18">
        <f t="shared" si="23"/>
        <v>3.4180447375975662</v>
      </c>
      <c r="K141" s="19">
        <v>15332.5</v>
      </c>
      <c r="L141" s="12">
        <v>0.74038999999999999</v>
      </c>
      <c r="M141" s="14">
        <v>1.4333333333333333E-3</v>
      </c>
      <c r="N141" s="19">
        <f t="shared" ca="1" si="24"/>
        <v>-27.066294737597573</v>
      </c>
      <c r="O141" s="12">
        <f t="shared" ca="1" si="26"/>
        <v>0.25540576879096455</v>
      </c>
      <c r="P141" s="18">
        <f t="shared" ca="1" si="25"/>
        <v>0</v>
      </c>
      <c r="Q141" s="19">
        <f t="shared" ca="1" si="27"/>
        <v>0</v>
      </c>
      <c r="R141" s="12">
        <f t="shared" ca="1" si="27"/>
        <v>0</v>
      </c>
      <c r="S141" s="12">
        <f t="shared" ca="1" si="28"/>
        <v>2.5540576879096458E-2</v>
      </c>
      <c r="T141" s="83">
        <f t="shared" ca="1" si="29"/>
        <v>2.5540576879096458E-2</v>
      </c>
      <c r="W141" s="1"/>
      <c r="Z141" s="6"/>
    </row>
    <row r="142" spans="1:26" x14ac:dyDescent="0.3">
      <c r="A142" s="11">
        <v>36617</v>
      </c>
      <c r="B142" s="94">
        <v>7984.13</v>
      </c>
      <c r="C142" s="97">
        <v>7629.93</v>
      </c>
      <c r="D142" s="109">
        <v>354.2</v>
      </c>
      <c r="E142" s="109">
        <v>123.38</v>
      </c>
      <c r="F142" s="16">
        <f t="shared" ca="1" si="20"/>
        <v>163.37154447642405</v>
      </c>
      <c r="G142" s="12">
        <f t="shared" si="21"/>
        <v>3.5157499999999997</v>
      </c>
      <c r="H142" s="12">
        <f t="shared" si="22"/>
        <v>127.22966666666666</v>
      </c>
      <c r="I142" s="17" cm="1">
        <f t="array" ref="I142">IF(MONTH(A142) = LOOKUP(YEAR(A142), YEAR('CNY Dates'!A$2:A$34), 'CNY Dates'!B$2:B$34), LOOKUP(YEAR(A142), YEAR('Hongbao demand'!B$4:B$35), 'Hongbao demand'!F$4:F$35)  - O141, 0)</f>
        <v>0</v>
      </c>
      <c r="J142" s="18">
        <f t="shared" si="23"/>
        <v>32.626127809757371</v>
      </c>
      <c r="K142" s="19">
        <v>15861.5333333333</v>
      </c>
      <c r="L142" s="12">
        <v>0.74146000000000001</v>
      </c>
      <c r="M142" s="14">
        <v>1.4333333333333333E-3</v>
      </c>
      <c r="N142" s="19">
        <f t="shared" ca="1" si="24"/>
        <v>-39.991544476424053</v>
      </c>
      <c r="O142" s="12">
        <f t="shared" ca="1" si="26"/>
        <v>0.25327738738437316</v>
      </c>
      <c r="P142" s="18">
        <f t="shared" ca="1" si="25"/>
        <v>0</v>
      </c>
      <c r="Q142" s="19">
        <f t="shared" ca="1" si="27"/>
        <v>0</v>
      </c>
      <c r="R142" s="12">
        <f t="shared" ca="1" si="27"/>
        <v>0</v>
      </c>
      <c r="S142" s="12">
        <f t="shared" ca="1" si="28"/>
        <v>2.5327738738437317E-2</v>
      </c>
      <c r="T142" s="83">
        <f t="shared" ca="1" si="29"/>
        <v>2.5327738738437317E-2</v>
      </c>
      <c r="W142" s="1"/>
      <c r="Z142" s="6"/>
    </row>
    <row r="143" spans="1:26" x14ac:dyDescent="0.3">
      <c r="A143" s="11">
        <v>36647</v>
      </c>
      <c r="B143" s="94">
        <v>7939.89</v>
      </c>
      <c r="C143" s="97">
        <v>7622.93</v>
      </c>
      <c r="D143" s="109">
        <v>316.95999999999998</v>
      </c>
      <c r="E143" s="109">
        <v>120.17</v>
      </c>
      <c r="F143" s="16">
        <f t="shared" ca="1" si="20"/>
        <v>133.77439094032968</v>
      </c>
      <c r="G143" s="12">
        <f t="shared" si="21"/>
        <v>2.9516666666666667</v>
      </c>
      <c r="H143" s="12">
        <f t="shared" si="22"/>
        <v>127.16550000000001</v>
      </c>
      <c r="I143" s="17" cm="1">
        <f t="array" ref="I143">IF(MONTH(A143) = LOOKUP(YEAR(A143), YEAR('CNY Dates'!A$2:A$34), 'CNY Dates'!B$2:B$34), LOOKUP(YEAR(A143), YEAR('Hongbao demand'!B$4:B$35), 'Hongbao demand'!F$4:F$35)  - O142, 0)</f>
        <v>0</v>
      </c>
      <c r="J143" s="18">
        <f t="shared" si="23"/>
        <v>3.6572242736630169</v>
      </c>
      <c r="K143" s="19">
        <v>15861.5333333333</v>
      </c>
      <c r="L143" s="12">
        <v>0.73877999999999999</v>
      </c>
      <c r="M143" s="14">
        <v>1.4333333333333333E-3</v>
      </c>
      <c r="N143" s="19">
        <f t="shared" ca="1" si="24"/>
        <v>-13.604390940329679</v>
      </c>
      <c r="O143" s="12">
        <f t="shared" ca="1" si="26"/>
        <v>0.25116674248950338</v>
      </c>
      <c r="P143" s="18">
        <f t="shared" ca="1" si="25"/>
        <v>0</v>
      </c>
      <c r="Q143" s="19">
        <f t="shared" ca="1" si="27"/>
        <v>0</v>
      </c>
      <c r="R143" s="12">
        <f t="shared" ca="1" si="27"/>
        <v>0</v>
      </c>
      <c r="S143" s="12">
        <f t="shared" ca="1" si="28"/>
        <v>2.5116674248950338E-2</v>
      </c>
      <c r="T143" s="83">
        <f t="shared" ca="1" si="29"/>
        <v>2.5116674248950338E-2</v>
      </c>
      <c r="W143" s="1"/>
      <c r="Z143" s="6"/>
    </row>
    <row r="144" spans="1:26" x14ac:dyDescent="0.3">
      <c r="A144" s="11">
        <v>36678</v>
      </c>
      <c r="B144" s="94">
        <v>7931.84</v>
      </c>
      <c r="C144" s="97">
        <v>7687.54</v>
      </c>
      <c r="D144" s="109">
        <v>244.3</v>
      </c>
      <c r="E144" s="109">
        <v>191.66</v>
      </c>
      <c r="F144" s="16">
        <f t="shared" ca="1" si="20"/>
        <v>128.03378872042137</v>
      </c>
      <c r="G144" s="12">
        <f t="shared" si="21"/>
        <v>2.6413333333333333</v>
      </c>
      <c r="H144" s="12">
        <f t="shared" si="22"/>
        <v>127.04883333333333</v>
      </c>
      <c r="I144" s="17" cm="1">
        <f t="array" ref="I144">IF(MONTH(A144) = LOOKUP(YEAR(A144), YEAR('CNY Dates'!A$2:A$34), 'CNY Dates'!B$2:B$34), LOOKUP(YEAR(A144), YEAR('Hongbao demand'!B$4:B$35), 'Hongbao demand'!F$4:F$35)  - O143, 0)</f>
        <v>0</v>
      </c>
      <c r="J144" s="18">
        <f t="shared" si="23"/>
        <v>-1.656377946245295</v>
      </c>
      <c r="K144" s="19">
        <v>15861.5333333333</v>
      </c>
      <c r="L144" s="12">
        <v>0.73998999999999993</v>
      </c>
      <c r="M144" s="14">
        <v>1.4333333333333333E-3</v>
      </c>
      <c r="N144" s="19">
        <f t="shared" ca="1" si="24"/>
        <v>63.626211279578627</v>
      </c>
      <c r="O144" s="12">
        <f t="shared" ca="1" si="26"/>
        <v>0.24907368630209084</v>
      </c>
      <c r="P144" s="18">
        <f t="shared" ca="1" si="25"/>
        <v>0</v>
      </c>
      <c r="Q144" s="19">
        <f t="shared" ca="1" si="27"/>
        <v>0</v>
      </c>
      <c r="R144" s="12">
        <f t="shared" ca="1" si="27"/>
        <v>0</v>
      </c>
      <c r="S144" s="12">
        <f t="shared" ca="1" si="28"/>
        <v>2.4907368630209085E-2</v>
      </c>
      <c r="T144" s="83">
        <f t="shared" ca="1" si="29"/>
        <v>2.4907368630209085E-2</v>
      </c>
      <c r="W144" s="1"/>
      <c r="Z144" s="6"/>
    </row>
    <row r="145" spans="1:26" x14ac:dyDescent="0.3">
      <c r="A145" s="11">
        <v>36708</v>
      </c>
      <c r="B145" s="94">
        <v>7912.66</v>
      </c>
      <c r="C145" s="97">
        <v>7758.73</v>
      </c>
      <c r="D145" s="109">
        <v>153.93</v>
      </c>
      <c r="E145" s="109">
        <v>199.32</v>
      </c>
      <c r="F145" s="16">
        <f t="shared" ca="1" si="20"/>
        <v>168.97219449980619</v>
      </c>
      <c r="G145" s="12">
        <f t="shared" si="21"/>
        <v>2.0358333333333336</v>
      </c>
      <c r="H145" s="12">
        <f t="shared" si="22"/>
        <v>128.12566666666666</v>
      </c>
      <c r="I145" s="17" cm="1">
        <f t="array" ref="I145">IF(MONTH(A145) = LOOKUP(YEAR(A145), YEAR('CNY Dates'!A$2:A$34), 'CNY Dates'!B$2:B$34), LOOKUP(YEAR(A145), YEAR('Hongbao demand'!B$4:B$35), 'Hongbao demand'!F$4:F$35)  - O144, 0)</f>
        <v>0</v>
      </c>
      <c r="J145" s="18">
        <f t="shared" si="23"/>
        <v>38.810694499806196</v>
      </c>
      <c r="K145" s="19">
        <v>16557.0333333333</v>
      </c>
      <c r="L145" s="12">
        <v>0.74378</v>
      </c>
      <c r="M145" s="14">
        <v>1.4333333333333333E-3</v>
      </c>
      <c r="N145" s="19">
        <f t="shared" ca="1" si="24"/>
        <v>30.3478055001938</v>
      </c>
      <c r="O145" s="12">
        <f t="shared" ca="1" si="26"/>
        <v>0.24699807224957343</v>
      </c>
      <c r="P145" s="18">
        <f t="shared" ca="1" si="25"/>
        <v>0</v>
      </c>
      <c r="Q145" s="19">
        <f t="shared" ca="1" si="27"/>
        <v>0</v>
      </c>
      <c r="R145" s="12">
        <f t="shared" ca="1" si="27"/>
        <v>0</v>
      </c>
      <c r="S145" s="12">
        <f t="shared" ca="1" si="28"/>
        <v>2.4699807224957345E-2</v>
      </c>
      <c r="T145" s="83">
        <f t="shared" ca="1" si="29"/>
        <v>2.4699807224957345E-2</v>
      </c>
      <c r="W145" s="1"/>
      <c r="Z145" s="6"/>
    </row>
    <row r="146" spans="1:26" x14ac:dyDescent="0.3">
      <c r="A146" s="11">
        <v>36739</v>
      </c>
      <c r="B146" s="94">
        <v>7897.75</v>
      </c>
      <c r="C146" s="97">
        <v>7734.3</v>
      </c>
      <c r="D146" s="109">
        <v>163.44999999999999</v>
      </c>
      <c r="E146" s="109">
        <v>104.88</v>
      </c>
      <c r="F146" s="16">
        <f t="shared" ca="1" si="20"/>
        <v>125.13990011233082</v>
      </c>
      <c r="G146" s="12">
        <f t="shared" si="21"/>
        <v>1.2827500000000001</v>
      </c>
      <c r="H146" s="12">
        <f t="shared" si="22"/>
        <v>129.31216666666666</v>
      </c>
      <c r="I146" s="17" cm="1">
        <f t="array" ref="I146">IF(MONTH(A146) = LOOKUP(YEAR(A146), YEAR('CNY Dates'!A$2:A$34), 'CNY Dates'!B$2:B$34), LOOKUP(YEAR(A146), YEAR('Hongbao demand'!B$4:B$35), 'Hongbao demand'!F$4:F$35)  - O145, 0)</f>
        <v>0</v>
      </c>
      <c r="J146" s="18">
        <f t="shared" si="23"/>
        <v>-5.4550165543358311</v>
      </c>
      <c r="K146" s="19">
        <v>16557.0333333333</v>
      </c>
      <c r="L146" s="12">
        <v>0.74769000000000008</v>
      </c>
      <c r="M146" s="14">
        <v>1.4333333333333333E-3</v>
      </c>
      <c r="N146" s="19">
        <f t="shared" ca="1" si="24"/>
        <v>-20.259900112330826</v>
      </c>
      <c r="O146" s="12">
        <f t="shared" ca="1" si="26"/>
        <v>0.24493975498082701</v>
      </c>
      <c r="P146" s="18">
        <f t="shared" ca="1" si="25"/>
        <v>0</v>
      </c>
      <c r="Q146" s="19">
        <f t="shared" ca="1" si="27"/>
        <v>0</v>
      </c>
      <c r="R146" s="12">
        <f t="shared" ca="1" si="27"/>
        <v>0</v>
      </c>
      <c r="S146" s="12">
        <f t="shared" ca="1" si="28"/>
        <v>2.4493975498082701E-2</v>
      </c>
      <c r="T146" s="83">
        <f t="shared" ca="1" si="29"/>
        <v>2.4493975498082701E-2</v>
      </c>
      <c r="W146" s="1"/>
      <c r="Z146" s="6"/>
    </row>
    <row r="147" spans="1:26" x14ac:dyDescent="0.3">
      <c r="A147" s="11">
        <v>36770</v>
      </c>
      <c r="B147" s="94">
        <v>7921.69</v>
      </c>
      <c r="C147" s="97">
        <v>7789.11</v>
      </c>
      <c r="D147" s="109">
        <v>132.58000000000001</v>
      </c>
      <c r="E147" s="109">
        <v>183.71</v>
      </c>
      <c r="F147" s="16">
        <f t="shared" ca="1" si="20"/>
        <v>130.0169275654809</v>
      </c>
      <c r="G147" s="12">
        <f t="shared" si="21"/>
        <v>1.3620833333333333</v>
      </c>
      <c r="H147" s="12">
        <f t="shared" si="22"/>
        <v>128.905</v>
      </c>
      <c r="I147" s="17" cm="1">
        <f t="array" ref="I147">IF(MONTH(A147) = LOOKUP(YEAR(A147), YEAR('CNY Dates'!A$2:A$34), 'CNY Dates'!B$2:B$34), LOOKUP(YEAR(A147), YEAR('Hongbao demand'!B$4:B$35), 'Hongbao demand'!F$4:F$35)  - O146, 0)</f>
        <v>0</v>
      </c>
      <c r="J147" s="18">
        <f t="shared" si="23"/>
        <v>-0.25015576785244364</v>
      </c>
      <c r="K147" s="19">
        <v>16557.0333333333</v>
      </c>
      <c r="L147" s="12">
        <v>0.74787000000000003</v>
      </c>
      <c r="M147" s="14">
        <v>1.4333333333333333E-3</v>
      </c>
      <c r="N147" s="19">
        <f t="shared" ca="1" si="24"/>
        <v>53.693072434519109</v>
      </c>
      <c r="O147" s="12">
        <f t="shared" ca="1" si="26"/>
        <v>0.24289859035598677</v>
      </c>
      <c r="P147" s="18">
        <f t="shared" ca="1" si="25"/>
        <v>0</v>
      </c>
      <c r="Q147" s="19">
        <f t="shared" ca="1" si="27"/>
        <v>0</v>
      </c>
      <c r="R147" s="12">
        <f t="shared" ca="1" si="27"/>
        <v>0</v>
      </c>
      <c r="S147" s="12">
        <f t="shared" ca="1" si="28"/>
        <v>2.4289859035598677E-2</v>
      </c>
      <c r="T147" s="83">
        <f t="shared" ca="1" si="29"/>
        <v>2.4289859035598677E-2</v>
      </c>
      <c r="W147" s="1"/>
      <c r="Z147" s="6"/>
    </row>
    <row r="148" spans="1:26" x14ac:dyDescent="0.3">
      <c r="A148" s="11">
        <v>36800</v>
      </c>
      <c r="B148" s="94">
        <v>7974.26</v>
      </c>
      <c r="C148" s="97">
        <v>7789.11</v>
      </c>
      <c r="D148" s="109">
        <v>185.15</v>
      </c>
      <c r="E148" s="109">
        <v>129.82</v>
      </c>
      <c r="F148" s="16">
        <f t="shared" ca="1" si="20"/>
        <v>148.30412484797498</v>
      </c>
      <c r="G148" s="12">
        <f t="shared" si="21"/>
        <v>1.1048333333333333</v>
      </c>
      <c r="H148" s="12">
        <f t="shared" si="22"/>
        <v>129.8185</v>
      </c>
      <c r="I148" s="17" cm="1">
        <f t="array" ref="I148">IF(MONTH(A148) = LOOKUP(YEAR(A148), YEAR('CNY Dates'!A$2:A$34), 'CNY Dates'!B$2:B$34), LOOKUP(YEAR(A148), YEAR('Hongbao demand'!B$4:B$35), 'Hongbao demand'!F$4:F$35)  - O147, 0)</f>
        <v>0</v>
      </c>
      <c r="J148" s="18">
        <f t="shared" si="23"/>
        <v>17.380791514641619</v>
      </c>
      <c r="K148" s="19">
        <v>16651.833333333299</v>
      </c>
      <c r="L148" s="12">
        <v>0.74843999999999999</v>
      </c>
      <c r="M148" s="14">
        <v>1.4166666666666668E-3</v>
      </c>
      <c r="N148" s="19">
        <f t="shared" ca="1" si="24"/>
        <v>-18.484124847974982</v>
      </c>
      <c r="O148" s="12">
        <f t="shared" ca="1" si="26"/>
        <v>0.24087443543635353</v>
      </c>
      <c r="P148" s="18">
        <f t="shared" ca="1" si="25"/>
        <v>0</v>
      </c>
      <c r="Q148" s="19">
        <f t="shared" ca="1" si="27"/>
        <v>0</v>
      </c>
      <c r="R148" s="12">
        <f t="shared" ca="1" si="27"/>
        <v>0</v>
      </c>
      <c r="S148" s="12">
        <f t="shared" ca="1" si="28"/>
        <v>2.4087443543635356E-2</v>
      </c>
      <c r="T148" s="83">
        <f t="shared" ca="1" si="29"/>
        <v>2.4087443543635356E-2</v>
      </c>
      <c r="W148" s="1"/>
      <c r="Z148" s="6"/>
    </row>
    <row r="149" spans="1:26" x14ac:dyDescent="0.3">
      <c r="A149" s="11">
        <v>36831</v>
      </c>
      <c r="B149" s="94">
        <v>8017.59</v>
      </c>
      <c r="C149" s="97">
        <v>7758.45</v>
      </c>
      <c r="D149" s="109">
        <v>259.14</v>
      </c>
      <c r="E149" s="109">
        <v>99.16</v>
      </c>
      <c r="F149" s="16">
        <f t="shared" ca="1" si="20"/>
        <v>129.04830458878774</v>
      </c>
      <c r="G149" s="12">
        <f t="shared" si="21"/>
        <v>1.5429166666666667</v>
      </c>
      <c r="H149" s="12">
        <f t="shared" si="22"/>
        <v>129.8185</v>
      </c>
      <c r="I149" s="17" cm="1">
        <f t="array" ref="I149">IF(MONTH(A149) = LOOKUP(YEAR(A149), YEAR('CNY Dates'!A$2:A$34), 'CNY Dates'!B$2:B$34), LOOKUP(YEAR(A149), YEAR('Hongbao demand'!B$4:B$35), 'Hongbao demand'!F$4:F$35)  - O148, 0)</f>
        <v>0</v>
      </c>
      <c r="J149" s="18">
        <f t="shared" si="23"/>
        <v>-2.3131120778789032</v>
      </c>
      <c r="K149" s="19">
        <v>16651.833333333299</v>
      </c>
      <c r="L149" s="12">
        <v>0.75009000000000003</v>
      </c>
      <c r="M149" s="14">
        <v>1.4166666666666668E-3</v>
      </c>
      <c r="N149" s="19">
        <f t="shared" ca="1" si="24"/>
        <v>-29.888304588787747</v>
      </c>
      <c r="O149" s="12">
        <f t="shared" ca="1" si="26"/>
        <v>0.23886714847438392</v>
      </c>
      <c r="P149" s="18">
        <f t="shared" ca="1" si="25"/>
        <v>0</v>
      </c>
      <c r="Q149" s="19">
        <f t="shared" ca="1" si="27"/>
        <v>0</v>
      </c>
      <c r="R149" s="12">
        <f t="shared" ca="1" si="27"/>
        <v>0</v>
      </c>
      <c r="S149" s="12">
        <f t="shared" ca="1" si="28"/>
        <v>2.3886714847438394E-2</v>
      </c>
      <c r="T149" s="83">
        <f t="shared" ca="1" si="29"/>
        <v>2.3886714847438394E-2</v>
      </c>
      <c r="W149" s="1"/>
      <c r="Z149" s="6"/>
    </row>
    <row r="150" spans="1:26" x14ac:dyDescent="0.3">
      <c r="A150" s="11">
        <v>36861</v>
      </c>
      <c r="B150" s="94">
        <v>8491.49</v>
      </c>
      <c r="C150" s="97">
        <v>7827.19</v>
      </c>
      <c r="D150" s="109">
        <v>664.3</v>
      </c>
      <c r="E150" s="109">
        <v>198.05</v>
      </c>
      <c r="F150" s="16">
        <f t="shared" ca="1" si="20"/>
        <v>129.70279826673612</v>
      </c>
      <c r="G150" s="12">
        <f t="shared" si="21"/>
        <v>2.1595</v>
      </c>
      <c r="H150" s="12">
        <f t="shared" si="22"/>
        <v>129.3075</v>
      </c>
      <c r="I150" s="17" cm="1">
        <f t="array" ref="I150">IF(MONTH(A150) = LOOKUP(YEAR(A150), YEAR('CNY Dates'!A$2:A$34), 'CNY Dates'!B$2:B$34), LOOKUP(YEAR(A150), YEAR('Hongbao demand'!B$4:B$35), 'Hongbao demand'!F$4:F$35)  - O149, 0)</f>
        <v>0</v>
      </c>
      <c r="J150" s="18">
        <f t="shared" si="23"/>
        <v>-1.7642017332638809</v>
      </c>
      <c r="K150" s="19">
        <v>16651.833333333299</v>
      </c>
      <c r="L150" s="12">
        <v>0.75135000000000007</v>
      </c>
      <c r="M150" s="14">
        <v>1.4166666666666668E-3</v>
      </c>
      <c r="N150" s="19">
        <f t="shared" ca="1" si="24"/>
        <v>68.347201733263887</v>
      </c>
      <c r="O150" s="12">
        <f t="shared" ca="1" si="26"/>
        <v>0.23687658890376406</v>
      </c>
      <c r="P150" s="18">
        <f t="shared" ca="1" si="25"/>
        <v>0</v>
      </c>
      <c r="Q150" s="19">
        <f t="shared" ca="1" si="27"/>
        <v>0</v>
      </c>
      <c r="R150" s="12">
        <f t="shared" ca="1" si="27"/>
        <v>0</v>
      </c>
      <c r="S150" s="12">
        <f t="shared" ca="1" si="28"/>
        <v>2.3687658890376408E-2</v>
      </c>
      <c r="T150" s="83">
        <f t="shared" ca="1" si="29"/>
        <v>2.3687658890376408E-2</v>
      </c>
      <c r="W150" s="1"/>
      <c r="Z150" s="6"/>
    </row>
    <row r="151" spans="1:26" x14ac:dyDescent="0.3">
      <c r="A151" s="11">
        <v>36892</v>
      </c>
      <c r="B151" s="94">
        <v>8836.94</v>
      </c>
      <c r="C151" s="97">
        <v>7847.21</v>
      </c>
      <c r="D151" s="109">
        <v>989.73</v>
      </c>
      <c r="E151" s="109">
        <v>150.47</v>
      </c>
      <c r="F151" s="16">
        <f t="shared" ca="1" si="20"/>
        <v>110.10332567340127</v>
      </c>
      <c r="G151" s="12">
        <f t="shared" si="21"/>
        <v>5.5358333333333327</v>
      </c>
      <c r="H151" s="12">
        <f t="shared" si="22"/>
        <v>130.45316666666665</v>
      </c>
      <c r="I151" s="17" cm="1">
        <f t="array" aca="1" ref="I151" ca="1">IF(MONTH(A151) = LOOKUP(YEAR(A151), YEAR('CNY Dates'!A$2:A$34), 'CNY Dates'!B$2:B$34), LOOKUP(YEAR(A151), YEAR('Hongbao demand'!B$4:B$35), 'Hongbao demand'!F$4:F$35)  - O150, 0)</f>
        <v>8.9913172806958848</v>
      </c>
      <c r="J151" s="18">
        <f t="shared" si="23"/>
        <v>-34.876991607294585</v>
      </c>
      <c r="K151" s="19">
        <v>16165.266666666699</v>
      </c>
      <c r="L151" s="12">
        <v>0.75412999999999997</v>
      </c>
      <c r="M151" s="14">
        <v>1.4166666666666668E-3</v>
      </c>
      <c r="N151" s="19">
        <f t="shared" ca="1" si="24"/>
        <v>40.366674326598726</v>
      </c>
      <c r="O151" s="12">
        <f t="shared" ca="1" si="26"/>
        <v>8.0733348653197456</v>
      </c>
      <c r="P151" s="18">
        <f t="shared" ca="1" si="25"/>
        <v>245.37567432659876</v>
      </c>
      <c r="Q151" s="19">
        <f t="shared" ca="1" si="27"/>
        <v>36.806351148989812</v>
      </c>
      <c r="R151" s="12">
        <f t="shared" ca="1" si="27"/>
        <v>49.075134865319754</v>
      </c>
      <c r="S151" s="12">
        <f t="shared" ca="1" si="28"/>
        <v>0.80733348653197456</v>
      </c>
      <c r="T151" s="83">
        <f t="shared" ca="1" si="29"/>
        <v>86.688819500841532</v>
      </c>
      <c r="W151" s="1"/>
      <c r="Z151" s="6"/>
    </row>
    <row r="152" spans="1:26" x14ac:dyDescent="0.3">
      <c r="A152" s="11">
        <v>36923</v>
      </c>
      <c r="B152" s="94">
        <v>8238.7199999999993</v>
      </c>
      <c r="C152" s="97">
        <v>7769.93</v>
      </c>
      <c r="D152" s="109">
        <v>468.79</v>
      </c>
      <c r="E152" s="109">
        <v>53.51</v>
      </c>
      <c r="F152" s="16">
        <f t="shared" ca="1" si="20"/>
        <v>141.00029316446901</v>
      </c>
      <c r="G152" s="12">
        <f t="shared" si="21"/>
        <v>8.2477499999999999</v>
      </c>
      <c r="H152" s="12">
        <f t="shared" si="22"/>
        <v>130.78683333333333</v>
      </c>
      <c r="I152" s="17" cm="1">
        <f t="array" ref="I152">IF(MONTH(A152) = LOOKUP(YEAR(A152), YEAR('CNY Dates'!A$2:A$34), 'CNY Dates'!B$2:B$34), LOOKUP(YEAR(A152), YEAR('Hongbao demand'!B$4:B$35), 'Hongbao demand'!F$4:F$35)  - O151, 0)</f>
        <v>0</v>
      </c>
      <c r="J152" s="18">
        <f t="shared" si="23"/>
        <v>1.9657098311356929</v>
      </c>
      <c r="K152" s="19">
        <v>16165.266666666699</v>
      </c>
      <c r="L152" s="12">
        <v>0.75269999999999992</v>
      </c>
      <c r="M152" s="14">
        <v>1.4166666666666668E-3</v>
      </c>
      <c r="N152" s="19">
        <f t="shared" ca="1" si="24"/>
        <v>-87.490293164469023</v>
      </c>
      <c r="O152" s="12">
        <f t="shared" ca="1" si="26"/>
        <v>8.0060570747754145</v>
      </c>
      <c r="P152" s="18">
        <f t="shared" ca="1" si="25"/>
        <v>0</v>
      </c>
      <c r="Q152" s="19">
        <f t="shared" ca="1" si="27"/>
        <v>0</v>
      </c>
      <c r="R152" s="12">
        <f t="shared" ca="1" si="27"/>
        <v>0</v>
      </c>
      <c r="S152" s="12">
        <f t="shared" ca="1" si="28"/>
        <v>0.80060570747754145</v>
      </c>
      <c r="T152" s="83">
        <f t="shared" ca="1" si="29"/>
        <v>0.80060570747754145</v>
      </c>
      <c r="W152" s="1"/>
      <c r="Z152" s="6"/>
    </row>
    <row r="153" spans="1:26" x14ac:dyDescent="0.3">
      <c r="A153" s="11">
        <v>36951</v>
      </c>
      <c r="B153" s="94">
        <v>8192.94</v>
      </c>
      <c r="C153" s="97">
        <v>7908.81</v>
      </c>
      <c r="D153" s="109">
        <v>284.13</v>
      </c>
      <c r="E153" s="109">
        <v>268.38</v>
      </c>
      <c r="F153" s="16">
        <f t="shared" ca="1" si="20"/>
        <v>131.55997840750123</v>
      </c>
      <c r="G153" s="12">
        <f t="shared" si="21"/>
        <v>3.9065833333333333</v>
      </c>
      <c r="H153" s="12">
        <f t="shared" si="22"/>
        <v>129.49883333333335</v>
      </c>
      <c r="I153" s="17" cm="1">
        <f t="array" ref="I153">IF(MONTH(A153) = LOOKUP(YEAR(A153), YEAR('CNY Dates'!A$2:A$34), 'CNY Dates'!B$2:B$34), LOOKUP(YEAR(A153), YEAR('Hongbao demand'!B$4:B$35), 'Hongbao demand'!F$4:F$35)  - O152, 0)</f>
        <v>0</v>
      </c>
      <c r="J153" s="18">
        <f t="shared" si="23"/>
        <v>-1.8454382591654606</v>
      </c>
      <c r="K153" s="19">
        <v>16165.266666666699</v>
      </c>
      <c r="L153" s="12">
        <v>0.75403999999999993</v>
      </c>
      <c r="M153" s="14">
        <v>1.4166666666666668E-3</v>
      </c>
      <c r="N153" s="19">
        <f t="shared" ca="1" si="24"/>
        <v>136.82002159249876</v>
      </c>
      <c r="O153" s="12">
        <f t="shared" ca="1" si="26"/>
        <v>7.9393399324856198</v>
      </c>
      <c r="P153" s="18">
        <f t="shared" ca="1" si="25"/>
        <v>0</v>
      </c>
      <c r="Q153" s="19">
        <f t="shared" ca="1" si="27"/>
        <v>0</v>
      </c>
      <c r="R153" s="12">
        <f t="shared" ca="1" si="27"/>
        <v>0</v>
      </c>
      <c r="S153" s="12">
        <f t="shared" ca="1" si="28"/>
        <v>0.79393399324856206</v>
      </c>
      <c r="T153" s="83">
        <f t="shared" ca="1" si="29"/>
        <v>0.79393399324856206</v>
      </c>
      <c r="W153" s="1"/>
      <c r="Z153" s="6"/>
    </row>
    <row r="154" spans="1:26" x14ac:dyDescent="0.3">
      <c r="A154" s="11">
        <v>36982</v>
      </c>
      <c r="B154" s="94">
        <v>8249.99</v>
      </c>
      <c r="C154" s="97">
        <v>7935.34</v>
      </c>
      <c r="D154" s="109">
        <v>314.64999999999998</v>
      </c>
      <c r="E154" s="109">
        <v>158.34</v>
      </c>
      <c r="F154" s="16">
        <f t="shared" ca="1" si="20"/>
        <v>116.92845596918666</v>
      </c>
      <c r="G154" s="12">
        <f t="shared" si="21"/>
        <v>2.36775</v>
      </c>
      <c r="H154" s="12">
        <f t="shared" si="22"/>
        <v>131.8135</v>
      </c>
      <c r="I154" s="17" cm="1">
        <f t="array" ref="I154">IF(MONTH(A154) = LOOKUP(YEAR(A154), YEAR('CNY Dates'!A$2:A$34), 'CNY Dates'!B$2:B$34), LOOKUP(YEAR(A154), YEAR('Hongbao demand'!B$4:B$35), 'Hongbao demand'!F$4:F$35)  - O153, 0)</f>
        <v>0</v>
      </c>
      <c r="J154" s="18">
        <f t="shared" si="23"/>
        <v>-17.252794030813345</v>
      </c>
      <c r="K154" s="19">
        <v>15941.833333333299</v>
      </c>
      <c r="L154" s="12">
        <v>0.75611000000000006</v>
      </c>
      <c r="M154" s="14">
        <v>1.4166666666666668E-3</v>
      </c>
      <c r="N154" s="19">
        <f t="shared" ca="1" si="24"/>
        <v>41.411544030813346</v>
      </c>
      <c r="O154" s="12">
        <f t="shared" ca="1" si="26"/>
        <v>7.8731787663815727</v>
      </c>
      <c r="P154" s="18">
        <f t="shared" ca="1" si="25"/>
        <v>0</v>
      </c>
      <c r="Q154" s="19">
        <f t="shared" ca="1" si="27"/>
        <v>0</v>
      </c>
      <c r="R154" s="12">
        <f t="shared" ca="1" si="27"/>
        <v>0</v>
      </c>
      <c r="S154" s="12">
        <f t="shared" ca="1" si="28"/>
        <v>0.78731787663815733</v>
      </c>
      <c r="T154" s="83">
        <f t="shared" ca="1" si="29"/>
        <v>0.78731787663815733</v>
      </c>
      <c r="W154" s="1"/>
      <c r="Z154" s="6"/>
    </row>
    <row r="155" spans="1:26" x14ac:dyDescent="0.3">
      <c r="A155" s="11">
        <v>37012</v>
      </c>
      <c r="B155" s="94">
        <v>8224.09</v>
      </c>
      <c r="C155" s="97">
        <v>7920.5</v>
      </c>
      <c r="D155" s="109">
        <v>303.58999999999997</v>
      </c>
      <c r="E155" s="109">
        <v>117.42</v>
      </c>
      <c r="F155" s="16">
        <f t="shared" ca="1" si="20"/>
        <v>139.01997575558957</v>
      </c>
      <c r="G155" s="12">
        <f t="shared" si="21"/>
        <v>2.6220833333333333</v>
      </c>
      <c r="H155" s="12">
        <f t="shared" si="22"/>
        <v>132.25566666666666</v>
      </c>
      <c r="I155" s="17" cm="1">
        <f t="array" ref="I155">IF(MONTH(A155) = LOOKUP(YEAR(A155), YEAR('CNY Dates'!A$2:A$34), 'CNY Dates'!B$2:B$34), LOOKUP(YEAR(A155), YEAR('Hongbao demand'!B$4:B$35), 'Hongbao demand'!F$4:F$35)  - O154, 0)</f>
        <v>0</v>
      </c>
      <c r="J155" s="18">
        <f t="shared" si="23"/>
        <v>4.1422257555895667</v>
      </c>
      <c r="K155" s="19">
        <v>15941.833333333299</v>
      </c>
      <c r="L155" s="12">
        <v>0.75307000000000002</v>
      </c>
      <c r="M155" s="14">
        <v>1.4166666666666668E-3</v>
      </c>
      <c r="N155" s="19">
        <f t="shared" ca="1" si="24"/>
        <v>-21.599975755589568</v>
      </c>
      <c r="O155" s="12">
        <f t="shared" ca="1" si="26"/>
        <v>7.807568943328393</v>
      </c>
      <c r="P155" s="18">
        <f t="shared" ca="1" si="25"/>
        <v>0</v>
      </c>
      <c r="Q155" s="19">
        <f t="shared" ca="1" si="27"/>
        <v>0</v>
      </c>
      <c r="R155" s="12">
        <f t="shared" ca="1" si="27"/>
        <v>0</v>
      </c>
      <c r="S155" s="12">
        <f t="shared" ca="1" si="28"/>
        <v>0.78075689433283935</v>
      </c>
      <c r="T155" s="83">
        <f t="shared" ca="1" si="29"/>
        <v>0.78075689433283935</v>
      </c>
      <c r="W155" s="1"/>
      <c r="Z155" s="6"/>
    </row>
    <row r="156" spans="1:26" x14ac:dyDescent="0.3">
      <c r="A156" s="11">
        <v>37043</v>
      </c>
      <c r="B156" s="94">
        <v>8234.7999999999993</v>
      </c>
      <c r="C156" s="97">
        <v>7987.28</v>
      </c>
      <c r="D156" s="109">
        <v>247.52</v>
      </c>
      <c r="E156" s="109">
        <v>198.79</v>
      </c>
      <c r="F156" s="16">
        <f t="shared" ca="1" si="20"/>
        <v>140.17495347148756</v>
      </c>
      <c r="G156" s="12">
        <f t="shared" si="21"/>
        <v>2.5299166666666664</v>
      </c>
      <c r="H156" s="12">
        <f t="shared" si="22"/>
        <v>132.00833333333333</v>
      </c>
      <c r="I156" s="17" cm="1">
        <f t="array" ref="I156">IF(MONTH(A156) = LOOKUP(YEAR(A156), YEAR('CNY Dates'!A$2:A$34), 'CNY Dates'!B$2:B$34), LOOKUP(YEAR(A156), YEAR('Hongbao demand'!B$4:B$35), 'Hongbao demand'!F$4:F$35)  - O155, 0)</f>
        <v>0</v>
      </c>
      <c r="J156" s="18">
        <f t="shared" si="23"/>
        <v>5.6367034714875395</v>
      </c>
      <c r="K156" s="19">
        <v>15941.833333333299</v>
      </c>
      <c r="L156" s="12">
        <v>0.74894000000000005</v>
      </c>
      <c r="M156" s="14">
        <v>1.4166666666666668E-3</v>
      </c>
      <c r="N156" s="19">
        <f t="shared" ca="1" si="24"/>
        <v>58.615046528512437</v>
      </c>
      <c r="O156" s="12">
        <f t="shared" ca="1" si="26"/>
        <v>7.7425058688006567</v>
      </c>
      <c r="P156" s="18">
        <f t="shared" ca="1" si="25"/>
        <v>0</v>
      </c>
      <c r="Q156" s="19">
        <f t="shared" ca="1" si="27"/>
        <v>0</v>
      </c>
      <c r="R156" s="12">
        <f t="shared" ca="1" si="27"/>
        <v>0</v>
      </c>
      <c r="S156" s="12">
        <f t="shared" ca="1" si="28"/>
        <v>0.77425058688006576</v>
      </c>
      <c r="T156" s="83">
        <f t="shared" ca="1" si="29"/>
        <v>0.77425058688006576</v>
      </c>
      <c r="W156" s="1"/>
      <c r="Z156" s="6"/>
    </row>
    <row r="157" spans="1:26" x14ac:dyDescent="0.3">
      <c r="A157" s="11">
        <v>37073</v>
      </c>
      <c r="B157" s="94">
        <v>8245.93</v>
      </c>
      <c r="C157" s="97">
        <v>7977.69</v>
      </c>
      <c r="D157" s="109">
        <v>268.24</v>
      </c>
      <c r="E157" s="109">
        <v>123.53</v>
      </c>
      <c r="F157" s="16">
        <f t="shared" ca="1" si="20"/>
        <v>115.81627467001113</v>
      </c>
      <c r="G157" s="12">
        <f t="shared" si="21"/>
        <v>2.0626666666666669</v>
      </c>
      <c r="H157" s="12">
        <f t="shared" si="22"/>
        <v>133.12133333333333</v>
      </c>
      <c r="I157" s="17" cm="1">
        <f t="array" ref="I157">IF(MONTH(A157) = LOOKUP(YEAR(A157), YEAR('CNY Dates'!A$2:A$34), 'CNY Dates'!B$2:B$34), LOOKUP(YEAR(A157), YEAR('Hongbao demand'!B$4:B$35), 'Hongbao demand'!F$4:F$35)  - O156, 0)</f>
        <v>0</v>
      </c>
      <c r="J157" s="18">
        <f t="shared" si="23"/>
        <v>-19.367725329988879</v>
      </c>
      <c r="K157" s="19">
        <v>15738</v>
      </c>
      <c r="L157" s="12">
        <v>0.75343000000000004</v>
      </c>
      <c r="M157" s="14">
        <v>1.4166666666666668E-3</v>
      </c>
      <c r="N157" s="19">
        <f t="shared" ca="1" si="24"/>
        <v>7.7137253299888755</v>
      </c>
      <c r="O157" s="12">
        <f t="shared" ca="1" si="26"/>
        <v>7.6779849865606504</v>
      </c>
      <c r="P157" s="18">
        <f t="shared" ca="1" si="25"/>
        <v>0</v>
      </c>
      <c r="Q157" s="19">
        <f t="shared" ca="1" si="27"/>
        <v>0</v>
      </c>
      <c r="R157" s="12">
        <f t="shared" ca="1" si="27"/>
        <v>0</v>
      </c>
      <c r="S157" s="12">
        <f t="shared" ca="1" si="28"/>
        <v>0.76779849865606509</v>
      </c>
      <c r="T157" s="83">
        <f t="shared" ca="1" si="29"/>
        <v>0.76779849865606509</v>
      </c>
      <c r="W157" s="1"/>
      <c r="Z157" s="6"/>
    </row>
    <row r="158" spans="1:26" x14ac:dyDescent="0.3">
      <c r="A158" s="11">
        <v>37104</v>
      </c>
      <c r="B158" s="94">
        <v>8188.53</v>
      </c>
      <c r="C158" s="97">
        <v>7957.18</v>
      </c>
      <c r="D158" s="109">
        <v>231.35</v>
      </c>
      <c r="E158" s="109">
        <v>112.45</v>
      </c>
      <c r="F158" s="16">
        <f t="shared" ca="1" si="20"/>
        <v>135.79409374828631</v>
      </c>
      <c r="G158" s="12">
        <f t="shared" si="21"/>
        <v>2.2353333333333336</v>
      </c>
      <c r="H158" s="12">
        <f t="shared" si="22"/>
        <v>132.9615</v>
      </c>
      <c r="I158" s="17" cm="1">
        <f t="array" ref="I158">IF(MONTH(A158) = LOOKUP(YEAR(A158), YEAR('CNY Dates'!A$2:A$34), 'CNY Dates'!B$2:B$34), LOOKUP(YEAR(A158), YEAR('Hongbao demand'!B$4:B$35), 'Hongbao demand'!F$4:F$35)  - O157, 0)</f>
        <v>0</v>
      </c>
      <c r="J158" s="18">
        <f t="shared" si="23"/>
        <v>0.59726041495299698</v>
      </c>
      <c r="K158" s="19">
        <v>15738</v>
      </c>
      <c r="L158" s="12">
        <v>0.75299000000000005</v>
      </c>
      <c r="M158" s="14">
        <v>1.4166666666666668E-3</v>
      </c>
      <c r="N158" s="19">
        <f t="shared" ca="1" si="24"/>
        <v>-23.344093748286312</v>
      </c>
      <c r="O158" s="12">
        <f t="shared" ca="1" si="26"/>
        <v>7.6140017783393121</v>
      </c>
      <c r="P158" s="18">
        <f t="shared" ca="1" si="25"/>
        <v>0</v>
      </c>
      <c r="Q158" s="19">
        <f t="shared" ca="1" si="27"/>
        <v>0</v>
      </c>
      <c r="R158" s="12">
        <f t="shared" ca="1" si="27"/>
        <v>0</v>
      </c>
      <c r="S158" s="12">
        <f t="shared" ca="1" si="28"/>
        <v>0.76140017783393121</v>
      </c>
      <c r="T158" s="83">
        <f t="shared" ca="1" si="29"/>
        <v>0.76140017783393121</v>
      </c>
      <c r="W158" s="1"/>
      <c r="Z158" s="6"/>
    </row>
    <row r="159" spans="1:26" x14ac:dyDescent="0.3">
      <c r="A159" s="11">
        <v>37135</v>
      </c>
      <c r="B159" s="94">
        <v>8188.74</v>
      </c>
      <c r="C159" s="97">
        <v>8015</v>
      </c>
      <c r="D159" s="109">
        <v>173.74</v>
      </c>
      <c r="E159" s="109">
        <v>190.44</v>
      </c>
      <c r="F159" s="16">
        <f t="shared" ca="1" si="20"/>
        <v>377.18730058973222</v>
      </c>
      <c r="G159" s="12">
        <f t="shared" si="21"/>
        <v>1.9279166666666667</v>
      </c>
      <c r="H159" s="12">
        <f t="shared" si="22"/>
        <v>132.61966666666666</v>
      </c>
      <c r="I159" s="17" cm="1">
        <f t="array" ref="I159">IF(MONTH(A159) = LOOKUP(YEAR(A159), YEAR('CNY Dates'!A$2:A$34), 'CNY Dates'!B$2:B$34), LOOKUP(YEAR(A159), YEAR('Hongbao demand'!B$4:B$35), 'Hongbao demand'!F$4:F$35)  - O158, 0)</f>
        <v>0</v>
      </c>
      <c r="J159" s="18">
        <f t="shared" si="23"/>
        <v>242.63971725639891</v>
      </c>
      <c r="K159" s="19">
        <v>15738</v>
      </c>
      <c r="L159" s="12">
        <v>0.7519499999999999</v>
      </c>
      <c r="M159" s="14">
        <v>1.1333333333333334E-3</v>
      </c>
      <c r="N159" s="19">
        <f t="shared" ca="1" si="24"/>
        <v>-186.74730058973222</v>
      </c>
      <c r="O159" s="12">
        <f t="shared" ca="1" si="26"/>
        <v>7.5505517635198176</v>
      </c>
      <c r="P159" s="18">
        <f t="shared" ca="1" si="25"/>
        <v>-93.157300589732216</v>
      </c>
      <c r="Q159" s="19">
        <f t="shared" ca="1" si="27"/>
        <v>0</v>
      </c>
      <c r="R159" s="12">
        <f t="shared" ca="1" si="27"/>
        <v>0</v>
      </c>
      <c r="S159" s="12">
        <f t="shared" ca="1" si="28"/>
        <v>0.75505517635198183</v>
      </c>
      <c r="T159" s="83">
        <f t="shared" ca="1" si="29"/>
        <v>0.75505517635198183</v>
      </c>
      <c r="W159" s="1"/>
      <c r="Z159" s="6"/>
    </row>
    <row r="160" spans="1:26" x14ac:dyDescent="0.3">
      <c r="A160" s="11">
        <v>37165</v>
      </c>
      <c r="B160" s="94">
        <v>8239.6299999999992</v>
      </c>
      <c r="C160" s="97">
        <v>8068.27</v>
      </c>
      <c r="D160" s="109">
        <v>171.36</v>
      </c>
      <c r="E160" s="109">
        <v>186.85</v>
      </c>
      <c r="F160" s="16">
        <f t="shared" ca="1" si="20"/>
        <v>440.94235987142918</v>
      </c>
      <c r="G160" s="12">
        <f t="shared" si="21"/>
        <v>1.4478333333333333</v>
      </c>
      <c r="H160" s="12">
        <f t="shared" si="22"/>
        <v>133.58333333333334</v>
      </c>
      <c r="I160" s="17" cm="1">
        <f t="array" ref="I160">IF(MONTH(A160) = LOOKUP(YEAR(A160), YEAR('CNY Dates'!A$2:A$34), 'CNY Dates'!B$2:B$34), LOOKUP(YEAR(A160), YEAR('Hongbao demand'!B$4:B$35), 'Hongbao demand'!F$4:F$35)  - O159, 0)</f>
        <v>0</v>
      </c>
      <c r="J160" s="18">
        <f t="shared" si="23"/>
        <v>212.75389261503031</v>
      </c>
      <c r="K160" s="19">
        <v>15868.1333333333</v>
      </c>
      <c r="L160" s="12">
        <v>0.75004999999999999</v>
      </c>
      <c r="M160" s="14">
        <v>9.5833333333333328E-4</v>
      </c>
      <c r="N160" s="19">
        <f t="shared" ca="1" si="24"/>
        <v>-254.09235987142918</v>
      </c>
      <c r="O160" s="12">
        <f t="shared" ca="1" si="26"/>
        <v>7.4876304988238189</v>
      </c>
      <c r="P160" s="18">
        <f t="shared" ca="1" si="25"/>
        <v>-163.41505987142918</v>
      </c>
      <c r="Q160" s="19">
        <f t="shared" ca="1" si="27"/>
        <v>0</v>
      </c>
      <c r="R160" s="12">
        <f t="shared" ca="1" si="27"/>
        <v>0</v>
      </c>
      <c r="S160" s="12">
        <f t="shared" ca="1" si="28"/>
        <v>0.74876304988238196</v>
      </c>
      <c r="T160" s="83">
        <f t="shared" ca="1" si="29"/>
        <v>0.74876304988238196</v>
      </c>
      <c r="W160" s="1"/>
      <c r="Z160" s="6"/>
    </row>
    <row r="161" spans="1:26" x14ac:dyDescent="0.3">
      <c r="A161" s="11">
        <v>37196</v>
      </c>
      <c r="B161" s="94">
        <v>8414.7000000000007</v>
      </c>
      <c r="C161" s="97">
        <v>8155.14</v>
      </c>
      <c r="D161" s="109">
        <v>259.56</v>
      </c>
      <c r="E161" s="109">
        <v>221.34</v>
      </c>
      <c r="F161" s="16">
        <f t="shared" ca="1" si="20"/>
        <v>346.39275025671128</v>
      </c>
      <c r="G161" s="12">
        <f t="shared" si="21"/>
        <v>1.4280000000000002</v>
      </c>
      <c r="H161" s="12">
        <f t="shared" si="22"/>
        <v>134.47116666666668</v>
      </c>
      <c r="I161" s="17" cm="1">
        <f t="array" ref="I161">IF(MONTH(A161) = LOOKUP(YEAR(A161), YEAR('CNY Dates'!A$2:A$34), 'CNY Dates'!B$2:B$34), LOOKUP(YEAR(A161), YEAR('Hongbao demand'!B$4:B$35), 'Hongbao demand'!F$4:F$35)  - O160, 0)</f>
        <v>0</v>
      </c>
      <c r="J161" s="18">
        <f t="shared" si="23"/>
        <v>47.078523718615436</v>
      </c>
      <c r="K161" s="19">
        <v>15868.1333333333</v>
      </c>
      <c r="L161" s="12">
        <v>0.74846999999999997</v>
      </c>
      <c r="M161" s="14">
        <v>9.2500000000000004E-4</v>
      </c>
      <c r="N161" s="19">
        <f t="shared" ca="1" si="24"/>
        <v>-125.05275025671128</v>
      </c>
      <c r="O161" s="12">
        <f t="shared" ca="1" si="26"/>
        <v>7.4252335780002872</v>
      </c>
      <c r="P161" s="18">
        <f t="shared" ca="1" si="25"/>
        <v>0</v>
      </c>
      <c r="Q161" s="19">
        <f t="shared" ca="1" si="27"/>
        <v>0</v>
      </c>
      <c r="R161" s="12">
        <f t="shared" ca="1" si="27"/>
        <v>0</v>
      </c>
      <c r="S161" s="12">
        <f t="shared" ca="1" si="28"/>
        <v>0.74252335780002876</v>
      </c>
      <c r="T161" s="83">
        <f t="shared" ca="1" si="29"/>
        <v>0.74252335780002876</v>
      </c>
      <c r="W161" s="1"/>
      <c r="Z161" s="6"/>
    </row>
    <row r="162" spans="1:26" x14ac:dyDescent="0.3">
      <c r="A162" s="11">
        <v>37226</v>
      </c>
      <c r="B162" s="94">
        <v>8675.31</v>
      </c>
      <c r="C162" s="97">
        <v>8233.82</v>
      </c>
      <c r="D162" s="109">
        <v>441.49</v>
      </c>
      <c r="E162" s="109">
        <v>214.6</v>
      </c>
      <c r="F162" s="16">
        <f t="shared" ca="1" si="20"/>
        <v>249.99521194698417</v>
      </c>
      <c r="G162" s="12">
        <f t="shared" si="21"/>
        <v>2.1629999999999998</v>
      </c>
      <c r="H162" s="12">
        <f t="shared" si="22"/>
        <v>135.91900000000001</v>
      </c>
      <c r="I162" s="17" cm="1">
        <f t="array" ref="I162">IF(MONTH(A162) = LOOKUP(YEAR(A162), YEAR('CNY Dates'!A$2:A$34), 'CNY Dates'!B$2:B$34), LOOKUP(YEAR(A162), YEAR('Hongbao demand'!B$4:B$35), 'Hongbao demand'!F$4:F$35)  - O161, 0)</f>
        <v>0</v>
      </c>
      <c r="J162" s="18">
        <f t="shared" si="23"/>
        <v>111.91321194698415</v>
      </c>
      <c r="K162" s="19">
        <v>15868.1333333333</v>
      </c>
      <c r="L162" s="12">
        <v>0.74692999999999998</v>
      </c>
      <c r="M162" s="14">
        <v>8.5000000000000006E-4</v>
      </c>
      <c r="N162" s="19">
        <f t="shared" ca="1" si="24"/>
        <v>-35.395211946984176</v>
      </c>
      <c r="O162" s="12">
        <f t="shared" ca="1" si="26"/>
        <v>7.3633566315169512</v>
      </c>
      <c r="P162" s="18">
        <f t="shared" ca="1" si="25"/>
        <v>0</v>
      </c>
      <c r="Q162" s="19">
        <f t="shared" ca="1" si="27"/>
        <v>0</v>
      </c>
      <c r="R162" s="12">
        <f t="shared" ca="1" si="27"/>
        <v>0</v>
      </c>
      <c r="S162" s="12">
        <f t="shared" ca="1" si="28"/>
        <v>0.73633566315169519</v>
      </c>
      <c r="T162" s="83">
        <f t="shared" ca="1" si="29"/>
        <v>0.73633566315169519</v>
      </c>
      <c r="W162" s="1"/>
      <c r="Z162" s="6"/>
    </row>
    <row r="163" spans="1:26" x14ac:dyDescent="0.3">
      <c r="A163" s="11">
        <v>37257</v>
      </c>
      <c r="B163" s="94">
        <v>8764.42</v>
      </c>
      <c r="C163" s="97">
        <v>8158.29</v>
      </c>
      <c r="D163" s="109">
        <v>606.13</v>
      </c>
      <c r="E163" s="109">
        <v>61.7</v>
      </c>
      <c r="F163" s="16">
        <f t="shared" ca="1" si="20"/>
        <v>179.01310634016832</v>
      </c>
      <c r="G163" s="12">
        <f t="shared" si="21"/>
        <v>3.6790833333333333</v>
      </c>
      <c r="H163" s="12">
        <f t="shared" si="22"/>
        <v>137.23033333333333</v>
      </c>
      <c r="I163" s="17" cm="1">
        <f t="array" ref="I163">IF(MONTH(A163) = LOOKUP(YEAR(A163), YEAR('CNY Dates'!A$2:A$34), 'CNY Dates'!B$2:B$34), LOOKUP(YEAR(A163), YEAR('Hongbao demand'!B$4:B$35), 'Hongbao demand'!F$4:F$35)  - O162, 0)</f>
        <v>0</v>
      </c>
      <c r="J163" s="18">
        <f t="shared" si="23"/>
        <v>38.103689673501663</v>
      </c>
      <c r="K163" s="19">
        <v>15986.5333333333</v>
      </c>
      <c r="L163" s="12">
        <v>0.74584000000000006</v>
      </c>
      <c r="M163" s="14">
        <v>8.3333333333333339E-4</v>
      </c>
      <c r="N163" s="19">
        <f t="shared" ca="1" si="24"/>
        <v>-117.31310634016832</v>
      </c>
      <c r="O163" s="12">
        <f t="shared" ca="1" si="26"/>
        <v>7.3019953262543105</v>
      </c>
      <c r="P163" s="18">
        <f t="shared" ca="1" si="25"/>
        <v>0</v>
      </c>
      <c r="Q163" s="19">
        <f t="shared" ca="1" si="27"/>
        <v>0</v>
      </c>
      <c r="R163" s="12">
        <f t="shared" ca="1" si="27"/>
        <v>0</v>
      </c>
      <c r="S163" s="12">
        <f t="shared" ca="1" si="28"/>
        <v>0.73019953262543114</v>
      </c>
      <c r="T163" s="83">
        <f t="shared" ca="1" si="29"/>
        <v>0.73019953262543114</v>
      </c>
      <c r="W163" s="1"/>
      <c r="Z163" s="6"/>
    </row>
    <row r="164" spans="1:26" x14ac:dyDescent="0.3">
      <c r="A164" s="11">
        <v>37288</v>
      </c>
      <c r="B164" s="94">
        <v>8985.9</v>
      </c>
      <c r="C164" s="97">
        <v>8132.81</v>
      </c>
      <c r="D164" s="109">
        <v>853.09</v>
      </c>
      <c r="E164" s="109">
        <v>110.49</v>
      </c>
      <c r="F164" s="16">
        <f t="shared" ca="1" si="20"/>
        <v>166.3067647895283</v>
      </c>
      <c r="G164" s="12">
        <f t="shared" si="21"/>
        <v>5.0510833333333336</v>
      </c>
      <c r="H164" s="12">
        <f t="shared" si="22"/>
        <v>135.97149999999999</v>
      </c>
      <c r="I164" s="17" cm="1">
        <f t="array" aca="1" ref="I164" ca="1">IF(MONTH(A164) = LOOKUP(YEAR(A164), YEAR('CNY Dates'!A$2:A$34), 'CNY Dates'!B$2:B$34), LOOKUP(YEAR(A164), YEAR('Hongbao demand'!B$4:B$35), 'Hongbao demand'!F$4:F$35)  - O163, 0)</f>
        <v>2.0368004359671446</v>
      </c>
      <c r="J164" s="18">
        <f t="shared" si="23"/>
        <v>23.247381020227831</v>
      </c>
      <c r="K164" s="19">
        <v>15986.5333333333</v>
      </c>
      <c r="L164" s="12">
        <v>0.74804000000000004</v>
      </c>
      <c r="M164" s="14">
        <v>8.166666666666666E-4</v>
      </c>
      <c r="N164" s="19">
        <f t="shared" ca="1" si="24"/>
        <v>-55.816764789528307</v>
      </c>
      <c r="O164" s="12">
        <f t="shared" ca="1" si="26"/>
        <v>0</v>
      </c>
      <c r="P164" s="18">
        <f t="shared" ca="1" si="25"/>
        <v>0</v>
      </c>
      <c r="Q164" s="19">
        <f t="shared" ca="1" si="27"/>
        <v>0</v>
      </c>
      <c r="R164" s="12">
        <f t="shared" ca="1" si="27"/>
        <v>0</v>
      </c>
      <c r="S164" s="12">
        <f t="shared" ca="1" si="28"/>
        <v>0</v>
      </c>
      <c r="T164" s="83">
        <f t="shared" ca="1" si="29"/>
        <v>0</v>
      </c>
      <c r="W164" s="1"/>
      <c r="Z164" s="6"/>
    </row>
    <row r="165" spans="1:26" x14ac:dyDescent="0.3">
      <c r="A165" s="11">
        <v>37316</v>
      </c>
      <c r="B165" s="94">
        <v>8740.41</v>
      </c>
      <c r="C165" s="97">
        <v>8327.5499999999993</v>
      </c>
      <c r="D165" s="109">
        <v>412.86</v>
      </c>
      <c r="E165" s="109">
        <v>330.29</v>
      </c>
      <c r="F165" s="16">
        <f t="shared" ca="1" si="20"/>
        <v>186.2935376518148</v>
      </c>
      <c r="G165" s="12">
        <f t="shared" si="21"/>
        <v>7.1090833333333334</v>
      </c>
      <c r="H165" s="12">
        <f t="shared" si="22"/>
        <v>135.54683333333335</v>
      </c>
      <c r="I165" s="17" cm="1">
        <f t="array" ref="I165">IF(MONTH(A165) = LOOKUP(YEAR(A165), YEAR('CNY Dates'!A$2:A$34), 'CNY Dates'!B$2:B$34), LOOKUP(YEAR(A165), YEAR('Hongbao demand'!B$4:B$35), 'Hongbao demand'!F$4:F$35)  - O164, 0)</f>
        <v>0</v>
      </c>
      <c r="J165" s="18">
        <f t="shared" si="23"/>
        <v>43.637620985148111</v>
      </c>
      <c r="K165" s="19">
        <v>15986.5333333333</v>
      </c>
      <c r="L165" s="12">
        <v>0.74733999999999989</v>
      </c>
      <c r="M165" s="14">
        <v>7.9166666666666665E-4</v>
      </c>
      <c r="N165" s="19">
        <f t="shared" ca="1" si="24"/>
        <v>143.99646234818522</v>
      </c>
      <c r="O165" s="12">
        <f t="shared" ca="1" si="26"/>
        <v>0</v>
      </c>
      <c r="P165" s="18">
        <f t="shared" ca="1" si="25"/>
        <v>0</v>
      </c>
      <c r="Q165" s="19">
        <f t="shared" ca="1" si="27"/>
        <v>0</v>
      </c>
      <c r="R165" s="12">
        <f t="shared" ca="1" si="27"/>
        <v>0</v>
      </c>
      <c r="S165" s="12">
        <f t="shared" ca="1" si="28"/>
        <v>0</v>
      </c>
      <c r="T165" s="83">
        <f t="shared" ca="1" si="29"/>
        <v>0</v>
      </c>
      <c r="W165" s="1"/>
      <c r="Z165" s="6"/>
    </row>
    <row r="166" spans="1:26" x14ac:dyDescent="0.3">
      <c r="A166" s="11">
        <v>37347</v>
      </c>
      <c r="B166" s="94">
        <v>8678.39</v>
      </c>
      <c r="C166" s="97">
        <v>8340.7800000000007</v>
      </c>
      <c r="D166" s="109">
        <v>337.61</v>
      </c>
      <c r="E166" s="109">
        <v>152.02000000000001</v>
      </c>
      <c r="F166" s="16">
        <f t="shared" ca="1" si="20"/>
        <v>194.27885808703414</v>
      </c>
      <c r="G166" s="12">
        <f t="shared" si="21"/>
        <v>3.4405000000000001</v>
      </c>
      <c r="H166" s="12">
        <f t="shared" si="22"/>
        <v>138.79249999999999</v>
      </c>
      <c r="I166" s="17" cm="1">
        <f t="array" ref="I166">IF(MONTH(A166) = LOOKUP(YEAR(A166), YEAR('CNY Dates'!A$2:A$34), 'CNY Dates'!B$2:B$34), LOOKUP(YEAR(A166), YEAR('Hongbao demand'!B$4:B$35), 'Hongbao demand'!F$4:F$35)  - O165, 0)</f>
        <v>0</v>
      </c>
      <c r="J166" s="18">
        <f t="shared" si="23"/>
        <v>52.045858087034141</v>
      </c>
      <c r="K166" s="19">
        <v>16615.166666666701</v>
      </c>
      <c r="L166" s="12">
        <v>0.74813999999999992</v>
      </c>
      <c r="M166" s="14">
        <v>7.9166666666666665E-4</v>
      </c>
      <c r="N166" s="19">
        <f t="shared" ca="1" si="24"/>
        <v>-42.258858087034127</v>
      </c>
      <c r="O166" s="12">
        <f t="shared" ca="1" si="26"/>
        <v>0</v>
      </c>
      <c r="P166" s="18">
        <f t="shared" ca="1" si="25"/>
        <v>0</v>
      </c>
      <c r="Q166" s="19">
        <f t="shared" ca="1" si="27"/>
        <v>0</v>
      </c>
      <c r="R166" s="12">
        <f t="shared" ca="1" si="27"/>
        <v>0</v>
      </c>
      <c r="S166" s="12">
        <f t="shared" ca="1" si="28"/>
        <v>0</v>
      </c>
      <c r="T166" s="83">
        <f t="shared" ca="1" si="29"/>
        <v>0</v>
      </c>
      <c r="W166" s="1"/>
      <c r="Z166" s="6"/>
    </row>
    <row r="167" spans="1:26" x14ac:dyDescent="0.3">
      <c r="A167" s="11">
        <v>37377</v>
      </c>
      <c r="B167" s="94">
        <v>8699.81</v>
      </c>
      <c r="C167" s="97">
        <v>8377.4599999999991</v>
      </c>
      <c r="D167" s="109">
        <v>322.35000000000002</v>
      </c>
      <c r="E167" s="109">
        <v>175.69</v>
      </c>
      <c r="F167" s="16">
        <f t="shared" ca="1" si="20"/>
        <v>198.47334699566483</v>
      </c>
      <c r="G167" s="12">
        <f t="shared" si="21"/>
        <v>2.8134166666666669</v>
      </c>
      <c r="H167" s="12">
        <f t="shared" si="22"/>
        <v>139.01300000000001</v>
      </c>
      <c r="I167" s="17" cm="1">
        <f t="array" ref="I167">IF(MONTH(A167) = LOOKUP(YEAR(A167), YEAR('CNY Dates'!A$2:A$34), 'CNY Dates'!B$2:B$34), LOOKUP(YEAR(A167), YEAR('Hongbao demand'!B$4:B$35), 'Hongbao demand'!F$4:F$35)  - O166, 0)</f>
        <v>0</v>
      </c>
      <c r="J167" s="18">
        <f t="shared" si="23"/>
        <v>56.64693032899816</v>
      </c>
      <c r="K167" s="19">
        <v>16615.166666666701</v>
      </c>
      <c r="L167" s="12">
        <v>0.75046999999999997</v>
      </c>
      <c r="M167" s="14">
        <v>7.5833333333333341E-4</v>
      </c>
      <c r="N167" s="19">
        <f t="shared" ca="1" si="24"/>
        <v>-22.783346995664829</v>
      </c>
      <c r="O167" s="12">
        <f t="shared" ca="1" si="26"/>
        <v>0</v>
      </c>
      <c r="P167" s="18">
        <f t="shared" ca="1" si="25"/>
        <v>0</v>
      </c>
      <c r="Q167" s="19">
        <f t="shared" ca="1" si="27"/>
        <v>0</v>
      </c>
      <c r="R167" s="12">
        <f t="shared" ca="1" si="27"/>
        <v>0</v>
      </c>
      <c r="S167" s="12">
        <f t="shared" ca="1" si="28"/>
        <v>0</v>
      </c>
      <c r="T167" s="83">
        <f t="shared" ca="1" si="29"/>
        <v>0</v>
      </c>
      <c r="W167" s="1"/>
      <c r="Z167" s="6"/>
    </row>
    <row r="168" spans="1:26" x14ac:dyDescent="0.3">
      <c r="A168" s="11">
        <v>37408</v>
      </c>
      <c r="B168" s="94">
        <v>8693.3700000000008</v>
      </c>
      <c r="C168" s="97">
        <v>8439.48</v>
      </c>
      <c r="D168" s="109">
        <v>253.89</v>
      </c>
      <c r="E168" s="109">
        <v>201.64</v>
      </c>
      <c r="F168" s="16">
        <f t="shared" ca="1" si="20"/>
        <v>143.20830240322155</v>
      </c>
      <c r="G168" s="12">
        <f t="shared" si="21"/>
        <v>2.6862500000000002</v>
      </c>
      <c r="H168" s="12">
        <f t="shared" si="22"/>
        <v>139.62433333333331</v>
      </c>
      <c r="I168" s="17" cm="1">
        <f t="array" ref="I168">IF(MONTH(A168) = LOOKUP(YEAR(A168), YEAR('CNY Dates'!A$2:A$34), 'CNY Dates'!B$2:B$34), LOOKUP(YEAR(A168), YEAR('Hongbao demand'!B$4:B$35), 'Hongbao demand'!F$4:F$35)  - O167, 0)</f>
        <v>0</v>
      </c>
      <c r="J168" s="18">
        <f t="shared" si="23"/>
        <v>0.89771906988823957</v>
      </c>
      <c r="K168" s="19">
        <v>16615.166666666701</v>
      </c>
      <c r="L168" s="12">
        <v>0.75</v>
      </c>
      <c r="M168" s="14">
        <v>7.5833333333333341E-4</v>
      </c>
      <c r="N168" s="19">
        <f t="shared" ca="1" si="24"/>
        <v>58.431697596778434</v>
      </c>
      <c r="O168" s="12">
        <f t="shared" ca="1" si="26"/>
        <v>0</v>
      </c>
      <c r="P168" s="18">
        <f t="shared" ca="1" si="25"/>
        <v>0</v>
      </c>
      <c r="Q168" s="19">
        <f t="shared" ca="1" si="27"/>
        <v>0</v>
      </c>
      <c r="R168" s="12">
        <f t="shared" ca="1" si="27"/>
        <v>0</v>
      </c>
      <c r="S168" s="12">
        <f t="shared" ca="1" si="28"/>
        <v>0</v>
      </c>
      <c r="T168" s="83">
        <f t="shared" ca="1" si="29"/>
        <v>0</v>
      </c>
      <c r="W168" s="1"/>
      <c r="Z168" s="6"/>
    </row>
    <row r="169" spans="1:26" x14ac:dyDescent="0.3">
      <c r="A169" s="11">
        <v>37438</v>
      </c>
      <c r="B169" s="94">
        <v>8670.27</v>
      </c>
      <c r="C169" s="97">
        <v>8418.41</v>
      </c>
      <c r="D169" s="109">
        <v>251.86</v>
      </c>
      <c r="E169" s="109">
        <v>119.59</v>
      </c>
      <c r="F169" s="16">
        <f t="shared" ca="1" si="20"/>
        <v>292.06014074920643</v>
      </c>
      <c r="G169" s="12">
        <f t="shared" si="21"/>
        <v>2.1157499999999998</v>
      </c>
      <c r="H169" s="12">
        <f t="shared" si="22"/>
        <v>140.65799999999999</v>
      </c>
      <c r="I169" s="17" cm="1">
        <f t="array" ref="I169">IF(MONTH(A169) = LOOKUP(YEAR(A169), YEAR('CNY Dates'!A$2:A$34), 'CNY Dates'!B$2:B$34), LOOKUP(YEAR(A169), YEAR('Hongbao demand'!B$4:B$35), 'Hongbao demand'!F$4:F$35)  - O168, 0)</f>
        <v>0</v>
      </c>
      <c r="J169" s="18">
        <f t="shared" si="23"/>
        <v>149.28639074920648</v>
      </c>
      <c r="K169" s="19">
        <v>16778.766666666699</v>
      </c>
      <c r="L169" s="12">
        <v>0.75022999999999995</v>
      </c>
      <c r="M169" s="14">
        <v>6.9166666666666671E-4</v>
      </c>
      <c r="N169" s="19">
        <f t="shared" ca="1" si="24"/>
        <v>-172.47014074920642</v>
      </c>
      <c r="O169" s="12">
        <f t="shared" ca="1" si="26"/>
        <v>0</v>
      </c>
      <c r="P169" s="18">
        <f t="shared" ca="1" si="25"/>
        <v>-4.7942407492064092</v>
      </c>
      <c r="Q169" s="19">
        <f t="shared" ca="1" si="27"/>
        <v>0</v>
      </c>
      <c r="R169" s="12">
        <f t="shared" ca="1" si="27"/>
        <v>0</v>
      </c>
      <c r="S169" s="12">
        <f t="shared" ca="1" si="28"/>
        <v>0</v>
      </c>
      <c r="T169" s="83">
        <f t="shared" ca="1" si="29"/>
        <v>0</v>
      </c>
      <c r="W169" s="1"/>
      <c r="Z169" s="6"/>
    </row>
    <row r="170" spans="1:26" x14ac:dyDescent="0.3">
      <c r="A170" s="11">
        <v>37469</v>
      </c>
      <c r="B170" s="94">
        <v>8706.11</v>
      </c>
      <c r="C170" s="97">
        <v>8513.4699999999993</v>
      </c>
      <c r="D170" s="109">
        <v>192.64</v>
      </c>
      <c r="E170" s="109">
        <v>235.37</v>
      </c>
      <c r="F170" s="16">
        <f t="shared" ca="1" si="20"/>
        <v>243.41496398948786</v>
      </c>
      <c r="G170" s="12">
        <f t="shared" si="21"/>
        <v>2.0988333333333333</v>
      </c>
      <c r="H170" s="12">
        <f t="shared" si="22"/>
        <v>140.30683333333334</v>
      </c>
      <c r="I170" s="17" cm="1">
        <f t="array" ref="I170">IF(MONTH(A170) = LOOKUP(YEAR(A170), YEAR('CNY Dates'!A$2:A$34), 'CNY Dates'!B$2:B$34), LOOKUP(YEAR(A170), YEAR('Hongbao demand'!B$4:B$35), 'Hongbao demand'!F$4:F$35)  - O169, 0)</f>
        <v>0</v>
      </c>
      <c r="J170" s="18">
        <f t="shared" si="23"/>
        <v>96.215056573614746</v>
      </c>
      <c r="K170" s="19">
        <v>16778.766666666699</v>
      </c>
      <c r="L170" s="12">
        <v>0.74970000000000003</v>
      </c>
      <c r="M170" s="14">
        <v>6.5000000000000008E-4</v>
      </c>
      <c r="N170" s="19">
        <f t="shared" ca="1" si="24"/>
        <v>-8.0449639894878544</v>
      </c>
      <c r="O170" s="12">
        <f t="shared" ca="1" si="26"/>
        <v>0</v>
      </c>
      <c r="P170" s="18">
        <f t="shared" ca="1" si="25"/>
        <v>0</v>
      </c>
      <c r="Q170" s="19">
        <f t="shared" ca="1" si="27"/>
        <v>0</v>
      </c>
      <c r="R170" s="12">
        <f t="shared" ca="1" si="27"/>
        <v>0</v>
      </c>
      <c r="S170" s="12">
        <f t="shared" ca="1" si="28"/>
        <v>0</v>
      </c>
      <c r="T170" s="83">
        <f t="shared" ca="1" si="29"/>
        <v>0</v>
      </c>
      <c r="W170" s="1"/>
      <c r="Z170" s="6"/>
    </row>
    <row r="171" spans="1:26" x14ac:dyDescent="0.3">
      <c r="A171" s="11">
        <v>37500</v>
      </c>
      <c r="B171" s="94">
        <v>8687.2099999999991</v>
      </c>
      <c r="C171" s="97">
        <v>8544.9</v>
      </c>
      <c r="D171" s="109">
        <v>142.31</v>
      </c>
      <c r="E171" s="109">
        <v>173.32</v>
      </c>
      <c r="F171" s="16">
        <f t="shared" ca="1" si="20"/>
        <v>145.42528024356116</v>
      </c>
      <c r="G171" s="12">
        <f t="shared" si="21"/>
        <v>1.6053333333333333</v>
      </c>
      <c r="H171" s="12">
        <f t="shared" si="22"/>
        <v>141.89116666666666</v>
      </c>
      <c r="I171" s="17" cm="1">
        <f t="array" ref="I171">IF(MONTH(A171) = LOOKUP(YEAR(A171), YEAR('CNY Dates'!A$2:A$34), 'CNY Dates'!B$2:B$34), LOOKUP(YEAR(A171), YEAR('Hongbao demand'!B$4:B$35), 'Hongbao demand'!F$4:F$35)  - O170, 0)</f>
        <v>0</v>
      </c>
      <c r="J171" s="18">
        <f t="shared" si="23"/>
        <v>1.9287802435611747</v>
      </c>
      <c r="K171" s="19">
        <v>16778.766666666699</v>
      </c>
      <c r="L171" s="12">
        <v>0.74876999999999994</v>
      </c>
      <c r="M171" s="14">
        <v>6.5000000000000008E-4</v>
      </c>
      <c r="N171" s="19">
        <f t="shared" ca="1" si="24"/>
        <v>27.894719756438832</v>
      </c>
      <c r="O171" s="12">
        <f t="shared" ca="1" si="26"/>
        <v>0</v>
      </c>
      <c r="P171" s="18">
        <f t="shared" ca="1" si="25"/>
        <v>0</v>
      </c>
      <c r="Q171" s="19">
        <f t="shared" ca="1" si="27"/>
        <v>0</v>
      </c>
      <c r="R171" s="12">
        <f t="shared" ca="1" si="27"/>
        <v>0</v>
      </c>
      <c r="S171" s="12">
        <f t="shared" ca="1" si="28"/>
        <v>0</v>
      </c>
      <c r="T171" s="83">
        <f t="shared" ca="1" si="29"/>
        <v>0</v>
      </c>
      <c r="W171" s="1"/>
      <c r="Z171" s="6"/>
    </row>
    <row r="172" spans="1:26" x14ac:dyDescent="0.3">
      <c r="A172" s="11">
        <v>37530</v>
      </c>
      <c r="B172" s="94">
        <v>8732.5</v>
      </c>
      <c r="C172" s="97">
        <v>8557.57</v>
      </c>
      <c r="D172" s="109">
        <v>174.93</v>
      </c>
      <c r="E172" s="109">
        <v>155.09</v>
      </c>
      <c r="F172" s="16">
        <f t="shared" ca="1" si="20"/>
        <v>149.02757348305056</v>
      </c>
      <c r="G172" s="12">
        <f t="shared" si="21"/>
        <v>1.1859166666666667</v>
      </c>
      <c r="H172" s="12">
        <f t="shared" si="22"/>
        <v>142.41499999999999</v>
      </c>
      <c r="I172" s="17" cm="1">
        <f t="array" ref="I172">IF(MONTH(A172) = LOOKUP(YEAR(A172), YEAR('CNY Dates'!A$2:A$34), 'CNY Dates'!B$2:B$34), LOOKUP(YEAR(A172), YEAR('Hongbao demand'!B$4:B$35), 'Hongbao demand'!F$4:F$35)  - O171, 0)</f>
        <v>0</v>
      </c>
      <c r="J172" s="18">
        <f t="shared" si="23"/>
        <v>5.4266568163839155</v>
      </c>
      <c r="K172" s="19">
        <v>16832.4666666667</v>
      </c>
      <c r="L172" s="12">
        <v>0.74855000000000005</v>
      </c>
      <c r="M172" s="14">
        <v>6.5000000000000008E-4</v>
      </c>
      <c r="N172" s="19">
        <f t="shared" ca="1" si="24"/>
        <v>6.0624265169494436</v>
      </c>
      <c r="O172" s="12">
        <f t="shared" ca="1" si="26"/>
        <v>0</v>
      </c>
      <c r="P172" s="18">
        <f t="shared" ca="1" si="25"/>
        <v>0</v>
      </c>
      <c r="Q172" s="19">
        <f t="shared" ca="1" si="27"/>
        <v>0</v>
      </c>
      <c r="R172" s="12">
        <f t="shared" ca="1" si="27"/>
        <v>0</v>
      </c>
      <c r="S172" s="12">
        <f t="shared" ca="1" si="28"/>
        <v>0</v>
      </c>
      <c r="T172" s="83">
        <f t="shared" ca="1" si="29"/>
        <v>0</v>
      </c>
      <c r="W172" s="1"/>
      <c r="Z172" s="6"/>
    </row>
    <row r="173" spans="1:26" x14ac:dyDescent="0.3">
      <c r="A173" s="11">
        <v>37561</v>
      </c>
      <c r="B173" s="94">
        <v>8836.7999999999993</v>
      </c>
      <c r="C173" s="97">
        <v>8655.64</v>
      </c>
      <c r="D173" s="109">
        <v>181.16</v>
      </c>
      <c r="E173" s="109">
        <v>240.7</v>
      </c>
      <c r="F173" s="16">
        <f t="shared" ca="1" si="20"/>
        <v>140.60919388319908</v>
      </c>
      <c r="G173" s="12">
        <f t="shared" si="21"/>
        <v>1.4577500000000001</v>
      </c>
      <c r="H173" s="12">
        <f t="shared" si="22"/>
        <v>142.62616666666665</v>
      </c>
      <c r="I173" s="17" cm="1">
        <f t="array" ref="I173">IF(MONTH(A173) = LOOKUP(YEAR(A173), YEAR('CNY Dates'!A$2:A$34), 'CNY Dates'!B$2:B$34), LOOKUP(YEAR(A173), YEAR('Hongbao demand'!B$4:B$35), 'Hongbao demand'!F$4:F$35)  - O172, 0)</f>
        <v>0</v>
      </c>
      <c r="J173" s="18">
        <f t="shared" si="23"/>
        <v>-3.4747227834675614</v>
      </c>
      <c r="K173" s="19">
        <v>16832.4666666667</v>
      </c>
      <c r="L173" s="12">
        <v>0.75022000000000011</v>
      </c>
      <c r="M173" s="14">
        <v>6.5000000000000008E-4</v>
      </c>
      <c r="N173" s="19">
        <f t="shared" ca="1" si="24"/>
        <v>100.09080611680091</v>
      </c>
      <c r="O173" s="12">
        <f t="shared" ca="1" si="26"/>
        <v>0</v>
      </c>
      <c r="P173" s="18">
        <f t="shared" ca="1" si="25"/>
        <v>0</v>
      </c>
      <c r="Q173" s="19">
        <f t="shared" ca="1" si="27"/>
        <v>0</v>
      </c>
      <c r="R173" s="12">
        <f t="shared" ca="1" si="27"/>
        <v>0</v>
      </c>
      <c r="S173" s="12">
        <f t="shared" ca="1" si="28"/>
        <v>0</v>
      </c>
      <c r="T173" s="83">
        <f t="shared" ca="1" si="29"/>
        <v>0</v>
      </c>
      <c r="W173" s="1"/>
      <c r="Z173" s="6"/>
    </row>
    <row r="174" spans="1:26" x14ac:dyDescent="0.3">
      <c r="A174" s="11">
        <v>37591</v>
      </c>
      <c r="B174" s="94">
        <v>8966.09</v>
      </c>
      <c r="C174" s="97">
        <v>8612.1</v>
      </c>
      <c r="D174" s="109">
        <v>353.99</v>
      </c>
      <c r="E174" s="109">
        <v>100.72</v>
      </c>
      <c r="F174" s="16">
        <f t="shared" ca="1" si="20"/>
        <v>145.83264864963948</v>
      </c>
      <c r="G174" s="12">
        <f t="shared" si="21"/>
        <v>1.5096666666666667</v>
      </c>
      <c r="H174" s="12">
        <f t="shared" si="22"/>
        <v>144.26066666666665</v>
      </c>
      <c r="I174" s="17" cm="1">
        <f t="array" ref="I174">IF(MONTH(A174) = LOOKUP(YEAR(A174), YEAR('CNY Dates'!A$2:A$34), 'CNY Dates'!B$2:B$34), LOOKUP(YEAR(A174), YEAR('Hongbao demand'!B$4:B$35), 'Hongbao demand'!F$4:F$35)  - O173, 0)</f>
        <v>0</v>
      </c>
      <c r="J174" s="18">
        <f t="shared" si="23"/>
        <v>6.2315316306147707E-2</v>
      </c>
      <c r="K174" s="19">
        <v>16832.4666666667</v>
      </c>
      <c r="L174" s="12">
        <v>0.75019000000000002</v>
      </c>
      <c r="M174" s="14">
        <v>6.5000000000000008E-4</v>
      </c>
      <c r="N174" s="19">
        <f t="shared" ca="1" si="24"/>
        <v>-45.112648649639482</v>
      </c>
      <c r="O174" s="12">
        <f t="shared" ca="1" si="26"/>
        <v>0</v>
      </c>
      <c r="P174" s="18">
        <f t="shared" ca="1" si="25"/>
        <v>0</v>
      </c>
      <c r="Q174" s="19">
        <f t="shared" ca="1" si="27"/>
        <v>0</v>
      </c>
      <c r="R174" s="12">
        <f t="shared" ca="1" si="27"/>
        <v>0</v>
      </c>
      <c r="S174" s="12">
        <f t="shared" ca="1" si="28"/>
        <v>0</v>
      </c>
      <c r="T174" s="83">
        <f t="shared" ca="1" si="29"/>
        <v>0</v>
      </c>
      <c r="W174" s="1"/>
      <c r="Z174" s="6"/>
    </row>
    <row r="175" spans="1:26" x14ac:dyDescent="0.3">
      <c r="A175" s="11">
        <v>37622</v>
      </c>
      <c r="B175" s="94">
        <v>9808.0499999999993</v>
      </c>
      <c r="C175" s="97">
        <v>8739.57</v>
      </c>
      <c r="D175" s="109">
        <v>1068.48</v>
      </c>
      <c r="E175" s="109">
        <v>271.01</v>
      </c>
      <c r="F175" s="16">
        <f t="shared" ca="1" si="20"/>
        <v>125.30539760562192</v>
      </c>
      <c r="G175" s="12">
        <f t="shared" si="21"/>
        <v>2.9499166666666667</v>
      </c>
      <c r="H175" s="12">
        <f t="shared" si="22"/>
        <v>143.535</v>
      </c>
      <c r="I175" s="17" cm="1">
        <f t="array" ref="I175">IF(MONTH(A175) = LOOKUP(YEAR(A175), YEAR('CNY Dates'!A$2:A$34), 'CNY Dates'!B$2:B$34), LOOKUP(YEAR(A175), YEAR('Hongbao demand'!B$4:B$35), 'Hongbao demand'!F$4:F$35)  - O174, 0)</f>
        <v>0</v>
      </c>
      <c r="J175" s="18">
        <f t="shared" si="23"/>
        <v>-21.179519061044747</v>
      </c>
      <c r="K175" s="19">
        <v>16652.933333333302</v>
      </c>
      <c r="L175" s="12">
        <v>0.75234999999999996</v>
      </c>
      <c r="M175" s="14">
        <v>6.5000000000000008E-4</v>
      </c>
      <c r="N175" s="19">
        <f t="shared" ca="1" si="24"/>
        <v>145.70460239437807</v>
      </c>
      <c r="O175" s="12">
        <f t="shared" ca="1" si="26"/>
        <v>0</v>
      </c>
      <c r="P175" s="18">
        <f t="shared" ca="1" si="25"/>
        <v>340.2276023943781</v>
      </c>
      <c r="Q175" s="19">
        <f t="shared" ca="1" si="27"/>
        <v>51.034140359156716</v>
      </c>
      <c r="R175" s="12">
        <f t="shared" ca="1" si="27"/>
        <v>68.045520478875616</v>
      </c>
      <c r="S175" s="12">
        <f t="shared" ca="1" si="28"/>
        <v>0</v>
      </c>
      <c r="T175" s="83">
        <f t="shared" ca="1" si="29"/>
        <v>119.07966083803234</v>
      </c>
      <c r="W175" s="1"/>
      <c r="Z175" s="6"/>
    </row>
    <row r="176" spans="1:26" x14ac:dyDescent="0.3">
      <c r="A176" s="11">
        <v>37653</v>
      </c>
      <c r="B176" s="94">
        <v>9806.65</v>
      </c>
      <c r="C176" s="97">
        <v>8835.5400000000009</v>
      </c>
      <c r="D176" s="109">
        <v>971.11</v>
      </c>
      <c r="E176" s="109">
        <v>241.63</v>
      </c>
      <c r="F176" s="16">
        <f t="shared" ca="1" si="20"/>
        <v>271.24116722980938</v>
      </c>
      <c r="G176" s="12">
        <f t="shared" si="21"/>
        <v>8.9039999999999999</v>
      </c>
      <c r="H176" s="12">
        <f t="shared" si="22"/>
        <v>145.65950000000001</v>
      </c>
      <c r="I176" s="17" cm="1">
        <f t="array" aca="1" ref="I176" ca="1">IF(MONTH(A176) = LOOKUP(YEAR(A176), YEAR('CNY Dates'!A$2:A$34), 'CNY Dates'!B$2:B$34), LOOKUP(YEAR(A176), YEAR('Hongbao demand'!B$4:B$35), 'Hongbao demand'!F$4:F$35)  - O175, 0)</f>
        <v>9.3718997453645283</v>
      </c>
      <c r="J176" s="18">
        <f t="shared" si="23"/>
        <v>107.30576748444487</v>
      </c>
      <c r="K176" s="19">
        <v>16652.933333333302</v>
      </c>
      <c r="L176" s="12">
        <v>0.75096999999999992</v>
      </c>
      <c r="M176" s="14">
        <v>6.0833333333333334E-4</v>
      </c>
      <c r="N176" s="19">
        <f t="shared" ca="1" si="24"/>
        <v>-29.611167229809382</v>
      </c>
      <c r="O176" s="12">
        <f t="shared" ca="1" si="26"/>
        <v>0</v>
      </c>
      <c r="P176" s="18">
        <f t="shared" ca="1" si="25"/>
        <v>57.944832770190487</v>
      </c>
      <c r="Q176" s="19">
        <f t="shared" ca="1" si="27"/>
        <v>8.6917249155285727</v>
      </c>
      <c r="R176" s="12">
        <f t="shared" ca="1" si="27"/>
        <v>11.588966554038098</v>
      </c>
      <c r="S176" s="12">
        <f t="shared" ca="1" si="28"/>
        <v>0</v>
      </c>
      <c r="T176" s="83">
        <f t="shared" ca="1" si="29"/>
        <v>20.280691469566669</v>
      </c>
      <c r="W176" s="1"/>
      <c r="Z176" s="6"/>
    </row>
    <row r="177" spans="1:26" x14ac:dyDescent="0.3">
      <c r="A177" s="11">
        <v>37681</v>
      </c>
      <c r="B177" s="94">
        <v>9028.25</v>
      </c>
      <c r="C177" s="97">
        <v>8757.56</v>
      </c>
      <c r="D177" s="109">
        <v>270.69</v>
      </c>
      <c r="E177" s="109">
        <v>69.28</v>
      </c>
      <c r="F177" s="16">
        <f t="shared" ca="1" si="20"/>
        <v>424.04868254854017</v>
      </c>
      <c r="G177" s="12">
        <f t="shared" si="21"/>
        <v>8.0925833333333337</v>
      </c>
      <c r="H177" s="12">
        <f t="shared" si="22"/>
        <v>147.25900000000001</v>
      </c>
      <c r="I177" s="17" cm="1">
        <f t="array" ref="I177">IF(MONTH(A177) = LOOKUP(YEAR(A177), YEAR('CNY Dates'!A$2:A$34), 'CNY Dates'!B$2:B$34), LOOKUP(YEAR(A177), YEAR('Hongbao demand'!B$4:B$35), 'Hongbao demand'!F$4:F$35)  - O176, 0)</f>
        <v>0</v>
      </c>
      <c r="J177" s="18">
        <f t="shared" si="23"/>
        <v>268.69709921520683</v>
      </c>
      <c r="K177" s="19">
        <v>16652.933333333302</v>
      </c>
      <c r="L177" s="12">
        <v>0.75307000000000002</v>
      </c>
      <c r="M177" s="14">
        <v>5.1666666666666668E-4</v>
      </c>
      <c r="N177" s="19">
        <f t="shared" ca="1" si="24"/>
        <v>-354.76868254854014</v>
      </c>
      <c r="O177" s="12">
        <f t="shared" ca="1" si="26"/>
        <v>0</v>
      </c>
      <c r="P177" s="18">
        <f t="shared" ca="1" si="25"/>
        <v>-171.65428254854015</v>
      </c>
      <c r="Q177" s="19">
        <f t="shared" ca="1" si="27"/>
        <v>0</v>
      </c>
      <c r="R177" s="12">
        <f t="shared" ca="1" si="27"/>
        <v>0</v>
      </c>
      <c r="S177" s="12">
        <f t="shared" ca="1" si="28"/>
        <v>0</v>
      </c>
      <c r="T177" s="83">
        <f t="shared" ca="1" si="29"/>
        <v>0</v>
      </c>
      <c r="W177" s="1"/>
      <c r="Z177" s="6"/>
    </row>
    <row r="178" spans="1:26" x14ac:dyDescent="0.3">
      <c r="A178" s="11">
        <v>37712</v>
      </c>
      <c r="B178" s="94">
        <v>9027.1299999999992</v>
      </c>
      <c r="C178" s="97">
        <v>8770.44</v>
      </c>
      <c r="D178" s="109">
        <v>256.69</v>
      </c>
      <c r="E178" s="109">
        <v>158.84</v>
      </c>
      <c r="F178" s="16">
        <f t="shared" ca="1" si="20"/>
        <v>307.88979137096658</v>
      </c>
      <c r="G178" s="12">
        <f t="shared" si="21"/>
        <v>2.2557499999999999</v>
      </c>
      <c r="H178" s="12">
        <f t="shared" si="22"/>
        <v>145.95933333333332</v>
      </c>
      <c r="I178" s="17" cm="1">
        <f t="array" ref="I178">IF(MONTH(A178) = LOOKUP(YEAR(A178), YEAR('CNY Dates'!A$2:A$34), 'CNY Dates'!B$2:B$34), LOOKUP(YEAR(A178), YEAR('Hongbao demand'!B$4:B$35), 'Hongbao demand'!F$4:F$35)  - O177, 0)</f>
        <v>0</v>
      </c>
      <c r="J178" s="18">
        <f t="shared" si="23"/>
        <v>-11.979574510906872</v>
      </c>
      <c r="K178" s="19">
        <v>16572.433333333302</v>
      </c>
      <c r="L178" s="12">
        <v>0.75459999999999994</v>
      </c>
      <c r="M178" s="14">
        <v>5.1666666666666668E-4</v>
      </c>
      <c r="N178" s="19">
        <f t="shared" ca="1" si="24"/>
        <v>-149.04979137096657</v>
      </c>
      <c r="O178" s="12">
        <f t="shared" ca="1" si="26"/>
        <v>0</v>
      </c>
      <c r="P178" s="18">
        <f t="shared" ca="1" si="25"/>
        <v>0</v>
      </c>
      <c r="Q178" s="19">
        <f t="shared" ca="1" si="27"/>
        <v>0</v>
      </c>
      <c r="R178" s="12">
        <f t="shared" ca="1" si="27"/>
        <v>0</v>
      </c>
      <c r="S178" s="12">
        <f t="shared" ca="1" si="28"/>
        <v>0</v>
      </c>
      <c r="T178" s="83">
        <f t="shared" ca="1" si="29"/>
        <v>0</v>
      </c>
      <c r="W178" s="1"/>
      <c r="Z178" s="6"/>
    </row>
    <row r="179" spans="1:26" x14ac:dyDescent="0.3">
      <c r="A179" s="11">
        <v>37742</v>
      </c>
      <c r="B179" s="94">
        <v>9086.56</v>
      </c>
      <c r="C179" s="97">
        <v>8811.9500000000007</v>
      </c>
      <c r="D179" s="109">
        <v>274.61</v>
      </c>
      <c r="E179" s="109">
        <v>187.68</v>
      </c>
      <c r="F179" s="16">
        <f t="shared" ca="1" si="20"/>
        <v>807.98524937855291</v>
      </c>
      <c r="G179" s="12">
        <f t="shared" si="21"/>
        <v>2.1390833333333332</v>
      </c>
      <c r="H179" s="12">
        <f t="shared" si="22"/>
        <v>146.17400000000001</v>
      </c>
      <c r="I179" s="17" cm="1">
        <f t="array" ref="I179">IF(MONTH(A179) = LOOKUP(YEAR(A179), YEAR('CNY Dates'!A$2:A$34), 'CNY Dates'!B$2:B$34), LOOKUP(YEAR(A179), YEAR('Hongbao demand'!B$4:B$35), 'Hongbao demand'!F$4:F$35)  - O178, 0)</f>
        <v>0</v>
      </c>
      <c r="J179" s="18">
        <f t="shared" si="23"/>
        <v>659.67216604521957</v>
      </c>
      <c r="K179" s="19">
        <v>16572.433333333302</v>
      </c>
      <c r="L179" s="12">
        <v>0.74980999999999998</v>
      </c>
      <c r="M179" s="14">
        <v>3.6666666666666667E-4</v>
      </c>
      <c r="N179" s="19">
        <f t="shared" ca="1" si="24"/>
        <v>-620.30524937855284</v>
      </c>
      <c r="O179" s="12">
        <f t="shared" ca="1" si="26"/>
        <v>0</v>
      </c>
      <c r="P179" s="18">
        <f t="shared" ca="1" si="25"/>
        <v>-433.81474937855285</v>
      </c>
      <c r="Q179" s="19">
        <f t="shared" ca="1" si="27"/>
        <v>0</v>
      </c>
      <c r="R179" s="12">
        <f t="shared" ca="1" si="27"/>
        <v>0</v>
      </c>
      <c r="S179" s="12">
        <f t="shared" ca="1" si="28"/>
        <v>0</v>
      </c>
      <c r="T179" s="83">
        <f t="shared" ca="1" si="29"/>
        <v>0</v>
      </c>
      <c r="W179" s="1"/>
      <c r="Z179" s="6"/>
    </row>
    <row r="180" spans="1:26" x14ac:dyDescent="0.3">
      <c r="A180" s="11">
        <v>37773</v>
      </c>
      <c r="B180" s="94">
        <v>9086.2099999999991</v>
      </c>
      <c r="C180" s="97">
        <v>8836.3799999999992</v>
      </c>
      <c r="D180" s="109">
        <v>249.83</v>
      </c>
      <c r="E180" s="109">
        <v>171.3</v>
      </c>
      <c r="F180" s="16">
        <f t="shared" ca="1" si="20"/>
        <v>685.83814745058021</v>
      </c>
      <c r="G180" s="12">
        <f t="shared" si="21"/>
        <v>2.288416666666667</v>
      </c>
      <c r="H180" s="12">
        <f t="shared" si="22"/>
        <v>146.86583333333334</v>
      </c>
      <c r="I180" s="17" cm="1">
        <f t="array" ref="I180">IF(MONTH(A180) = LOOKUP(YEAR(A180), YEAR('CNY Dates'!A$2:A$34), 'CNY Dates'!B$2:B$34), LOOKUP(YEAR(A180), YEAR('Hongbao demand'!B$4:B$35), 'Hongbao demand'!F$4:F$35)  - O179, 0)</f>
        <v>0</v>
      </c>
      <c r="J180" s="18">
        <f t="shared" si="23"/>
        <v>102.86914807202737</v>
      </c>
      <c r="K180" s="19">
        <v>16572.433333333302</v>
      </c>
      <c r="L180" s="12">
        <v>0.74757000000000007</v>
      </c>
      <c r="M180" s="14">
        <v>3.5E-4</v>
      </c>
      <c r="N180" s="19">
        <f t="shared" ca="1" si="24"/>
        <v>-514.53814745058025</v>
      </c>
      <c r="O180" s="12">
        <f t="shared" ca="1" si="26"/>
        <v>0</v>
      </c>
      <c r="P180" s="18">
        <f t="shared" ca="1" si="25"/>
        <v>-353.07194745058018</v>
      </c>
      <c r="Q180" s="19">
        <f t="shared" ca="1" si="27"/>
        <v>0</v>
      </c>
      <c r="R180" s="12">
        <f t="shared" ca="1" si="27"/>
        <v>0</v>
      </c>
      <c r="S180" s="12">
        <f t="shared" ca="1" si="28"/>
        <v>0</v>
      </c>
      <c r="T180" s="83">
        <f t="shared" ca="1" si="29"/>
        <v>0</v>
      </c>
      <c r="W180" s="1"/>
      <c r="Z180" s="6"/>
    </row>
    <row r="181" spans="1:26" x14ac:dyDescent="0.3">
      <c r="A181" s="11">
        <v>37803</v>
      </c>
      <c r="B181" s="94">
        <v>9085.65</v>
      </c>
      <c r="C181" s="97">
        <v>8861.7199999999993</v>
      </c>
      <c r="D181" s="109">
        <v>223.93</v>
      </c>
      <c r="E181" s="109">
        <v>172.61</v>
      </c>
      <c r="F181" s="16">
        <f t="shared" ca="1" si="20"/>
        <v>627.08350526749587</v>
      </c>
      <c r="G181" s="12">
        <f t="shared" si="21"/>
        <v>2.0819166666666669</v>
      </c>
      <c r="H181" s="12">
        <f t="shared" si="22"/>
        <v>147.273</v>
      </c>
      <c r="I181" s="17" cm="1">
        <f t="array" ref="I181">IF(MONTH(A181) = LOOKUP(YEAR(A181), YEAR('CNY Dates'!A$2:A$34), 'CNY Dates'!B$2:B$34), LOOKUP(YEAR(A181), YEAR('Hongbao demand'!B$4:B$35), 'Hongbao demand'!F$4:F$35)  - O180, 0)</f>
        <v>0</v>
      </c>
      <c r="J181" s="18">
        <f t="shared" si="23"/>
        <v>124.65664115024896</v>
      </c>
      <c r="K181" s="19">
        <v>17672.5333333333</v>
      </c>
      <c r="L181" s="12">
        <v>0.75224000000000002</v>
      </c>
      <c r="M181" s="14">
        <v>3.5E-4</v>
      </c>
      <c r="N181" s="19">
        <f t="shared" ca="1" si="24"/>
        <v>-454.47350526749585</v>
      </c>
      <c r="O181" s="12">
        <f t="shared" ca="1" si="26"/>
        <v>0</v>
      </c>
      <c r="P181" s="18">
        <f t="shared" ca="1" si="25"/>
        <v>-319.16070526749581</v>
      </c>
      <c r="Q181" s="19">
        <f t="shared" ca="1" si="27"/>
        <v>0</v>
      </c>
      <c r="R181" s="12">
        <f t="shared" ca="1" si="27"/>
        <v>0</v>
      </c>
      <c r="S181" s="12">
        <f t="shared" ca="1" si="28"/>
        <v>0</v>
      </c>
      <c r="T181" s="83">
        <f t="shared" ca="1" si="29"/>
        <v>0</v>
      </c>
      <c r="W181" s="1"/>
      <c r="Z181" s="6"/>
    </row>
    <row r="182" spans="1:26" x14ac:dyDescent="0.3">
      <c r="A182" s="11">
        <v>37834</v>
      </c>
      <c r="B182" s="94">
        <v>9173.92</v>
      </c>
      <c r="C182" s="97">
        <v>8942.85</v>
      </c>
      <c r="D182" s="109">
        <v>231.07</v>
      </c>
      <c r="E182" s="109">
        <v>228.83</v>
      </c>
      <c r="F182" s="16">
        <f t="shared" ca="1" si="20"/>
        <v>573.85428287552043</v>
      </c>
      <c r="G182" s="12">
        <f t="shared" si="21"/>
        <v>1.8660833333333333</v>
      </c>
      <c r="H182" s="12">
        <f t="shared" si="22"/>
        <v>147.69533333333331</v>
      </c>
      <c r="I182" s="17" cm="1">
        <f t="array" ref="I182">IF(MONTH(A182) = LOOKUP(YEAR(A182), YEAR('CNY Dates'!A$2:A$34), 'CNY Dates'!B$2:B$34), LOOKUP(YEAR(A182), YEAR('Hongbao demand'!B$4:B$35), 'Hongbao demand'!F$4:F$35)  - O181, 0)</f>
        <v>0</v>
      </c>
      <c r="J182" s="18">
        <f t="shared" si="23"/>
        <v>105.13216094135795</v>
      </c>
      <c r="K182" s="19">
        <v>17672.5333333333</v>
      </c>
      <c r="L182" s="12">
        <v>0.75312000000000001</v>
      </c>
      <c r="M182" s="14">
        <v>3.3333333333333332E-4</v>
      </c>
      <c r="N182" s="19">
        <f t="shared" ca="1" si="24"/>
        <v>-345.02428287552038</v>
      </c>
      <c r="O182" s="12">
        <f t="shared" ca="1" si="26"/>
        <v>0</v>
      </c>
      <c r="P182" s="18">
        <f t="shared" ca="1" si="25"/>
        <v>-203.38278287552038</v>
      </c>
      <c r="Q182" s="19">
        <f t="shared" ca="1" si="27"/>
        <v>0</v>
      </c>
      <c r="R182" s="12">
        <f t="shared" ca="1" si="27"/>
        <v>0</v>
      </c>
      <c r="S182" s="12">
        <f t="shared" ca="1" si="28"/>
        <v>0</v>
      </c>
      <c r="T182" s="83">
        <f t="shared" ca="1" si="29"/>
        <v>0</v>
      </c>
      <c r="W182" s="1"/>
      <c r="Z182" s="6"/>
    </row>
    <row r="183" spans="1:26" x14ac:dyDescent="0.3">
      <c r="A183" s="11">
        <v>37865</v>
      </c>
      <c r="B183" s="94">
        <v>9173.01</v>
      </c>
      <c r="C183" s="97">
        <v>8951.6</v>
      </c>
      <c r="D183" s="109">
        <v>221.41</v>
      </c>
      <c r="E183" s="109">
        <v>157.80000000000001</v>
      </c>
      <c r="F183" s="16">
        <f t="shared" ca="1" si="20"/>
        <v>351.98209864761066</v>
      </c>
      <c r="G183" s="12">
        <f t="shared" si="21"/>
        <v>1.9255833333333332</v>
      </c>
      <c r="H183" s="12">
        <f t="shared" si="22"/>
        <v>149.04750000000001</v>
      </c>
      <c r="I183" s="17" cm="1">
        <f t="array" ref="I183">IF(MONTH(A183) = LOOKUP(YEAR(A183), YEAR('CNY Dates'!A$2:A$34), 'CNY Dates'!B$2:B$34), LOOKUP(YEAR(A183), YEAR('Hongbao demand'!B$4:B$35), 'Hongbao demand'!F$4:F$35)  - O182, 0)</f>
        <v>0</v>
      </c>
      <c r="J183" s="18">
        <f t="shared" si="23"/>
        <v>-2.3737675612430587</v>
      </c>
      <c r="K183" s="19">
        <v>17672.5333333333</v>
      </c>
      <c r="L183" s="12">
        <v>0.75391999999999992</v>
      </c>
      <c r="M183" s="14">
        <v>3.3333333333333332E-4</v>
      </c>
      <c r="N183" s="19">
        <f t="shared" ca="1" si="24"/>
        <v>-194.18209864761064</v>
      </c>
      <c r="O183" s="12">
        <f t="shared" ca="1" si="26"/>
        <v>0</v>
      </c>
      <c r="P183" s="18">
        <f t="shared" ca="1" si="25"/>
        <v>-62.288098647610653</v>
      </c>
      <c r="Q183" s="19">
        <f t="shared" ca="1" si="27"/>
        <v>0</v>
      </c>
      <c r="R183" s="12">
        <f t="shared" ca="1" si="27"/>
        <v>0</v>
      </c>
      <c r="S183" s="12">
        <f t="shared" ca="1" si="28"/>
        <v>0</v>
      </c>
      <c r="T183" s="83">
        <f t="shared" ca="1" si="29"/>
        <v>0</v>
      </c>
      <c r="W183" s="1"/>
      <c r="Z183" s="6"/>
    </row>
    <row r="184" spans="1:26" x14ac:dyDescent="0.3">
      <c r="A184" s="11">
        <v>37895</v>
      </c>
      <c r="B184" s="94">
        <v>9172.66</v>
      </c>
      <c r="C184" s="97">
        <v>8954.75</v>
      </c>
      <c r="D184" s="109">
        <v>217.91</v>
      </c>
      <c r="E184" s="109">
        <v>152.34</v>
      </c>
      <c r="F184" s="16">
        <f t="shared" ca="1" si="20"/>
        <v>296.81164239742276</v>
      </c>
      <c r="G184" s="12">
        <f t="shared" si="21"/>
        <v>1.8450833333333334</v>
      </c>
      <c r="H184" s="12">
        <f t="shared" si="22"/>
        <v>149.19333333333333</v>
      </c>
      <c r="I184" s="17" cm="1">
        <f t="array" ref="I184">IF(MONTH(A184) = LOOKUP(YEAR(A184), YEAR('CNY Dates'!A$2:A$34), 'CNY Dates'!B$2:B$34), LOOKUP(YEAR(A184), YEAR('Hongbao demand'!B$4:B$35), 'Hongbao demand'!F$4:F$35)  - O183, 0)</f>
        <v>0</v>
      </c>
      <c r="J184" s="18">
        <f t="shared" si="23"/>
        <v>83.485127083145443</v>
      </c>
      <c r="K184" s="19">
        <v>18326.566666666698</v>
      </c>
      <c r="L184" s="12">
        <v>0.75340000000000007</v>
      </c>
      <c r="M184" s="14">
        <v>3.3333333333333332E-4</v>
      </c>
      <c r="N184" s="19">
        <f t="shared" ca="1" si="24"/>
        <v>-144.47164239742276</v>
      </c>
      <c r="O184" s="12">
        <f t="shared" ca="1" si="26"/>
        <v>0</v>
      </c>
      <c r="P184" s="18">
        <f t="shared" ca="1" si="25"/>
        <v>-16.109142397422758</v>
      </c>
      <c r="Q184" s="19">
        <f t="shared" ca="1" si="27"/>
        <v>0</v>
      </c>
      <c r="R184" s="12">
        <f t="shared" ca="1" si="27"/>
        <v>0</v>
      </c>
      <c r="S184" s="12">
        <f t="shared" ca="1" si="28"/>
        <v>0</v>
      </c>
      <c r="T184" s="83">
        <f t="shared" ca="1" si="29"/>
        <v>0</v>
      </c>
      <c r="W184" s="1"/>
      <c r="Z184" s="6"/>
    </row>
    <row r="185" spans="1:26" x14ac:dyDescent="0.3">
      <c r="A185" s="11">
        <v>37926</v>
      </c>
      <c r="B185" s="94">
        <v>9171.82</v>
      </c>
      <c r="C185" s="97">
        <v>8980.93</v>
      </c>
      <c r="D185" s="109">
        <v>190.89</v>
      </c>
      <c r="E185" s="109">
        <v>175.43</v>
      </c>
      <c r="F185" s="16">
        <f t="shared" ca="1" si="20"/>
        <v>164.05896888256945</v>
      </c>
      <c r="G185" s="12">
        <f t="shared" si="21"/>
        <v>1.8159166666666666</v>
      </c>
      <c r="H185" s="12">
        <f t="shared" si="22"/>
        <v>149.24583333333334</v>
      </c>
      <c r="I185" s="17" cm="1">
        <f t="array" ref="I185">IF(MONTH(A185) = LOOKUP(YEAR(A185), YEAR('CNY Dates'!A$2:A$34), 'CNY Dates'!B$2:B$34), LOOKUP(YEAR(A185), YEAR('Hongbao demand'!B$4:B$35), 'Hongbao demand'!F$4:F$35)  - O184, 0)</f>
        <v>0</v>
      </c>
      <c r="J185" s="18">
        <f t="shared" si="23"/>
        <v>-3.1119235148533351</v>
      </c>
      <c r="K185" s="19">
        <v>18326.566666666698</v>
      </c>
      <c r="L185" s="12">
        <v>0.75442999999999993</v>
      </c>
      <c r="M185" s="14">
        <v>3.3333333333333332E-4</v>
      </c>
      <c r="N185" s="19">
        <f t="shared" ca="1" si="24"/>
        <v>11.371031117430562</v>
      </c>
      <c r="O185" s="12">
        <f t="shared" ca="1" si="26"/>
        <v>0</v>
      </c>
      <c r="P185" s="18">
        <f t="shared" ca="1" si="25"/>
        <v>0</v>
      </c>
      <c r="Q185" s="19">
        <f t="shared" ca="1" si="27"/>
        <v>0</v>
      </c>
      <c r="R185" s="12">
        <f t="shared" ca="1" si="27"/>
        <v>0</v>
      </c>
      <c r="S185" s="12">
        <f t="shared" ca="1" si="28"/>
        <v>0</v>
      </c>
      <c r="T185" s="83">
        <f t="shared" ca="1" si="29"/>
        <v>0</v>
      </c>
      <c r="W185" s="1"/>
      <c r="Z185" s="6"/>
    </row>
    <row r="186" spans="1:26" x14ac:dyDescent="0.3">
      <c r="A186" s="11">
        <v>37956</v>
      </c>
      <c r="B186" s="94">
        <v>9372.09</v>
      </c>
      <c r="C186" s="97">
        <v>8975.0499999999993</v>
      </c>
      <c r="D186" s="109">
        <v>397.04</v>
      </c>
      <c r="E186" s="109">
        <v>143.80000000000001</v>
      </c>
      <c r="F186" s="16">
        <f t="shared" ca="1" si="20"/>
        <v>147.19653771081798</v>
      </c>
      <c r="G186" s="12">
        <f t="shared" si="21"/>
        <v>1.5907499999999999</v>
      </c>
      <c r="H186" s="12">
        <f t="shared" si="22"/>
        <v>149.68216666666666</v>
      </c>
      <c r="I186" s="17" cm="1">
        <f t="array" ref="I186">IF(MONTH(A186) = LOOKUP(YEAR(A186), YEAR('CNY Dates'!A$2:A$34), 'CNY Dates'!B$2:B$34), LOOKUP(YEAR(A186), YEAR('Hongbao demand'!B$4:B$35), 'Hongbao demand'!F$4:F$35)  - O185, 0)</f>
        <v>0</v>
      </c>
      <c r="J186" s="18">
        <f t="shared" si="23"/>
        <v>-4.0763789558487096</v>
      </c>
      <c r="K186" s="19">
        <v>18326.566666666698</v>
      </c>
      <c r="L186" s="12">
        <v>0.75578000000000001</v>
      </c>
      <c r="M186" s="14">
        <v>3.3333333333333332E-4</v>
      </c>
      <c r="N186" s="19">
        <f t="shared" ca="1" si="24"/>
        <v>-3.3965377108179666</v>
      </c>
      <c r="O186" s="12">
        <f t="shared" ca="1" si="26"/>
        <v>0</v>
      </c>
      <c r="P186" s="18">
        <f t="shared" ca="1" si="25"/>
        <v>0</v>
      </c>
      <c r="Q186" s="19">
        <f t="shared" ca="1" si="27"/>
        <v>0</v>
      </c>
      <c r="R186" s="12">
        <f t="shared" ca="1" si="27"/>
        <v>0</v>
      </c>
      <c r="S186" s="12">
        <f t="shared" ca="1" si="28"/>
        <v>0</v>
      </c>
      <c r="T186" s="83">
        <f t="shared" ca="1" si="29"/>
        <v>0</v>
      </c>
      <c r="W186" s="1"/>
      <c r="Z186" s="6"/>
    </row>
    <row r="187" spans="1:26" x14ac:dyDescent="0.3">
      <c r="A187" s="11">
        <v>37987</v>
      </c>
      <c r="B187" s="94">
        <v>10171.209999999999</v>
      </c>
      <c r="C187" s="97">
        <v>8977.7800000000007</v>
      </c>
      <c r="D187" s="109">
        <v>1193.43</v>
      </c>
      <c r="E187" s="109">
        <v>152.31</v>
      </c>
      <c r="F187" s="16">
        <f t="shared" ca="1" si="20"/>
        <v>163.44131178934572</v>
      </c>
      <c r="G187" s="12">
        <f t="shared" si="21"/>
        <v>3.3086666666666669</v>
      </c>
      <c r="H187" s="12">
        <f t="shared" si="22"/>
        <v>149.58416666666665</v>
      </c>
      <c r="I187" s="17" cm="1">
        <f t="array" aca="1" ref="I187" ca="1">IF(MONTH(A187) = LOOKUP(YEAR(A187), YEAR('CNY Dates'!A$2:A$34), 'CNY Dates'!B$2:B$34), LOOKUP(YEAR(A187), YEAR('Hongbao demand'!B$4:B$35), 'Hongbao demand'!F$4:F$35)  - O186, 0)</f>
        <v>9.4822517000022035</v>
      </c>
      <c r="J187" s="18">
        <f t="shared" si="23"/>
        <v>1.0662267560102099</v>
      </c>
      <c r="K187" s="19">
        <v>18374.666666666701</v>
      </c>
      <c r="L187" s="12">
        <v>0.75741000000000003</v>
      </c>
      <c r="M187" s="14">
        <v>3.3333333333333332E-4</v>
      </c>
      <c r="N187" s="19">
        <f t="shared" ca="1" si="24"/>
        <v>-11.131311789345716</v>
      </c>
      <c r="O187" s="12">
        <f t="shared" ca="1" si="26"/>
        <v>0</v>
      </c>
      <c r="P187" s="18">
        <f t="shared" ca="1" si="25"/>
        <v>284.52068821065416</v>
      </c>
      <c r="Q187" s="19">
        <f t="shared" ca="1" si="27"/>
        <v>42.678103231598122</v>
      </c>
      <c r="R187" s="12">
        <f t="shared" ca="1" si="27"/>
        <v>56.904137642130834</v>
      </c>
      <c r="S187" s="12">
        <f t="shared" ca="1" si="28"/>
        <v>0</v>
      </c>
      <c r="T187" s="83">
        <f t="shared" ca="1" si="29"/>
        <v>99.582240873728949</v>
      </c>
      <c r="W187" s="1"/>
      <c r="Z187" s="6"/>
    </row>
    <row r="188" spans="1:26" x14ac:dyDescent="0.3">
      <c r="A188" s="11">
        <v>38018</v>
      </c>
      <c r="B188" s="94">
        <v>9668.26</v>
      </c>
      <c r="C188" s="97">
        <v>9078.23</v>
      </c>
      <c r="D188" s="109">
        <v>590.03</v>
      </c>
      <c r="E188" s="109">
        <v>250.08</v>
      </c>
      <c r="F188" s="16">
        <f t="shared" ca="1" si="20"/>
        <v>133.19840152247875</v>
      </c>
      <c r="G188" s="12">
        <f t="shared" si="21"/>
        <v>9.9452499999999997</v>
      </c>
      <c r="H188" s="12">
        <f t="shared" si="22"/>
        <v>149.62966666666668</v>
      </c>
      <c r="I188" s="17" cm="1">
        <f t="array" ref="I188">IF(MONTH(A188) = LOOKUP(YEAR(A188), YEAR('CNY Dates'!A$2:A$34), 'CNY Dates'!B$2:B$34), LOOKUP(YEAR(A188), YEAR('Hongbao demand'!B$4:B$35), 'Hongbao demand'!F$4:F$35)  - O187, 0)</f>
        <v>0</v>
      </c>
      <c r="J188" s="18">
        <f t="shared" si="23"/>
        <v>-26.37651514418793</v>
      </c>
      <c r="K188" s="19">
        <v>18374.666666666701</v>
      </c>
      <c r="L188" s="12">
        <v>0.76612999999999998</v>
      </c>
      <c r="M188" s="14">
        <v>3.3333333333333332E-4</v>
      </c>
      <c r="N188" s="19">
        <f t="shared" ca="1" si="24"/>
        <v>116.88159847752127</v>
      </c>
      <c r="O188" s="12">
        <f t="shared" ca="1" si="26"/>
        <v>0</v>
      </c>
      <c r="P188" s="18">
        <f t="shared" ca="1" si="25"/>
        <v>0</v>
      </c>
      <c r="Q188" s="19">
        <f t="shared" ca="1" si="27"/>
        <v>0</v>
      </c>
      <c r="R188" s="12">
        <f t="shared" ca="1" si="27"/>
        <v>0</v>
      </c>
      <c r="S188" s="12">
        <f t="shared" ca="1" si="28"/>
        <v>0</v>
      </c>
      <c r="T188" s="83">
        <f t="shared" ca="1" si="29"/>
        <v>0</v>
      </c>
      <c r="W188" s="1"/>
      <c r="Z188" s="6"/>
    </row>
    <row r="189" spans="1:26" x14ac:dyDescent="0.3">
      <c r="A189" s="11">
        <v>38047</v>
      </c>
      <c r="B189" s="94">
        <v>9519.86</v>
      </c>
      <c r="C189" s="97">
        <v>9147.74</v>
      </c>
      <c r="D189" s="109">
        <v>372.12</v>
      </c>
      <c r="E189" s="109">
        <v>220.81</v>
      </c>
      <c r="F189" s="16">
        <f t="shared" ca="1" si="20"/>
        <v>173.04401667090136</v>
      </c>
      <c r="G189" s="12">
        <f t="shared" si="21"/>
        <v>4.9169166666666664</v>
      </c>
      <c r="H189" s="12">
        <f t="shared" si="22"/>
        <v>151.30383333333333</v>
      </c>
      <c r="I189" s="17" cm="1">
        <f t="array" ref="I189">IF(MONTH(A189) = LOOKUP(YEAR(A189), YEAR('CNY Dates'!A$2:A$34), 'CNY Dates'!B$2:B$34), LOOKUP(YEAR(A189), YEAR('Hongbao demand'!B$4:B$35), 'Hongbao demand'!F$4:F$35)  - O188, 0)</f>
        <v>0</v>
      </c>
      <c r="J189" s="18">
        <f t="shared" si="23"/>
        <v>16.823266670901351</v>
      </c>
      <c r="K189" s="19">
        <v>18374.666666666701</v>
      </c>
      <c r="L189" s="12">
        <v>0.76051000000000002</v>
      </c>
      <c r="M189" s="14">
        <v>3.3333333333333332E-4</v>
      </c>
      <c r="N189" s="19">
        <f t="shared" ca="1" si="24"/>
        <v>47.765983329098646</v>
      </c>
      <c r="O189" s="12">
        <f t="shared" ca="1" si="26"/>
        <v>0</v>
      </c>
      <c r="P189" s="18">
        <f t="shared" ca="1" si="25"/>
        <v>0</v>
      </c>
      <c r="Q189" s="19">
        <f t="shared" ca="1" si="27"/>
        <v>0</v>
      </c>
      <c r="R189" s="12">
        <f t="shared" ca="1" si="27"/>
        <v>0</v>
      </c>
      <c r="S189" s="12">
        <f t="shared" ca="1" si="28"/>
        <v>0</v>
      </c>
      <c r="T189" s="83">
        <f t="shared" ca="1" si="29"/>
        <v>0</v>
      </c>
      <c r="W189" s="1"/>
      <c r="Z189" s="6"/>
    </row>
    <row r="190" spans="1:26" x14ac:dyDescent="0.3">
      <c r="A190" s="11">
        <v>38078</v>
      </c>
      <c r="B190" s="94">
        <v>9636.83</v>
      </c>
      <c r="C190" s="97">
        <v>9182.39</v>
      </c>
      <c r="D190" s="109">
        <v>454.44</v>
      </c>
      <c r="E190" s="109">
        <v>187.11</v>
      </c>
      <c r="F190" s="16">
        <f t="shared" ca="1" si="20"/>
        <v>194.29794717010645</v>
      </c>
      <c r="G190" s="12">
        <f t="shared" si="21"/>
        <v>3.101</v>
      </c>
      <c r="H190" s="12">
        <f t="shared" si="22"/>
        <v>152.46233333333333</v>
      </c>
      <c r="I190" s="17" cm="1">
        <f t="array" ref="I190">IF(MONTH(A190) = LOOKUP(YEAR(A190), YEAR('CNY Dates'!A$2:A$34), 'CNY Dates'!B$2:B$34), LOOKUP(YEAR(A190), YEAR('Hongbao demand'!B$4:B$35), 'Hongbao demand'!F$4:F$35)  - O189, 0)</f>
        <v>0</v>
      </c>
      <c r="J190" s="18">
        <f t="shared" si="23"/>
        <v>38.734613836773136</v>
      </c>
      <c r="K190" s="19">
        <v>18810.833333333299</v>
      </c>
      <c r="L190" s="12">
        <v>0.76563999999999988</v>
      </c>
      <c r="M190" s="14">
        <v>3.3333333333333332E-4</v>
      </c>
      <c r="N190" s="19">
        <f t="shared" ca="1" si="24"/>
        <v>-7.1879471701064404</v>
      </c>
      <c r="O190" s="12">
        <f t="shared" ca="1" si="26"/>
        <v>0</v>
      </c>
      <c r="P190" s="18">
        <f t="shared" ca="1" si="25"/>
        <v>0</v>
      </c>
      <c r="Q190" s="19">
        <f t="shared" ca="1" si="27"/>
        <v>0</v>
      </c>
      <c r="R190" s="12">
        <f t="shared" ca="1" si="27"/>
        <v>0</v>
      </c>
      <c r="S190" s="12">
        <f t="shared" ca="1" si="28"/>
        <v>0</v>
      </c>
      <c r="T190" s="83">
        <f t="shared" ca="1" si="29"/>
        <v>0</v>
      </c>
      <c r="W190" s="1"/>
      <c r="Z190" s="6"/>
    </row>
    <row r="191" spans="1:26" x14ac:dyDescent="0.3">
      <c r="A191" s="11">
        <v>38108</v>
      </c>
      <c r="B191" s="94">
        <v>9634.7999999999993</v>
      </c>
      <c r="C191" s="97">
        <v>9283.68</v>
      </c>
      <c r="D191" s="109">
        <v>351.12</v>
      </c>
      <c r="E191" s="109">
        <v>254.33</v>
      </c>
      <c r="F191" s="16">
        <f t="shared" ca="1" si="20"/>
        <v>151.26884596901385</v>
      </c>
      <c r="G191" s="12">
        <f t="shared" si="21"/>
        <v>3.7869999999999999</v>
      </c>
      <c r="H191" s="12">
        <f t="shared" si="22"/>
        <v>153.03983333333332</v>
      </c>
      <c r="I191" s="17" cm="1">
        <f t="array" ref="I191">IF(MONTH(A191) = LOOKUP(YEAR(A191), YEAR('CNY Dates'!A$2:A$34), 'CNY Dates'!B$2:B$34), LOOKUP(YEAR(A191), YEAR('Hongbao demand'!B$4:B$35), 'Hongbao demand'!F$4:F$35)  - O190, 0)</f>
        <v>0</v>
      </c>
      <c r="J191" s="18">
        <f t="shared" si="23"/>
        <v>-5.5579873643194748</v>
      </c>
      <c r="K191" s="19">
        <v>18810.833333333299</v>
      </c>
      <c r="L191" s="12">
        <v>0.76746999999999999</v>
      </c>
      <c r="M191" s="14">
        <v>3.3333333333333332E-4</v>
      </c>
      <c r="N191" s="19">
        <f t="shared" ca="1" si="24"/>
        <v>103.06115403098616</v>
      </c>
      <c r="O191" s="12">
        <f t="shared" ca="1" si="26"/>
        <v>0</v>
      </c>
      <c r="P191" s="18">
        <f t="shared" ca="1" si="25"/>
        <v>0</v>
      </c>
      <c r="Q191" s="19">
        <f t="shared" ca="1" si="27"/>
        <v>0</v>
      </c>
      <c r="R191" s="12">
        <f t="shared" ca="1" si="27"/>
        <v>0</v>
      </c>
      <c r="S191" s="12">
        <f t="shared" ca="1" si="28"/>
        <v>0</v>
      </c>
      <c r="T191" s="83">
        <f t="shared" ca="1" si="29"/>
        <v>0</v>
      </c>
      <c r="W191" s="1"/>
      <c r="Z191" s="6"/>
    </row>
    <row r="192" spans="1:26" x14ac:dyDescent="0.3">
      <c r="A192" s="11">
        <v>38139</v>
      </c>
      <c r="B192" s="94">
        <v>9633.82</v>
      </c>
      <c r="C192" s="97">
        <v>9318.82</v>
      </c>
      <c r="D192" s="109">
        <v>315</v>
      </c>
      <c r="E192" s="109">
        <v>189.87</v>
      </c>
      <c r="F192" s="16">
        <f t="shared" ca="1" si="20"/>
        <v>175.80862193829057</v>
      </c>
      <c r="G192" s="12">
        <f t="shared" si="21"/>
        <v>2.9260000000000002</v>
      </c>
      <c r="H192" s="12">
        <f t="shared" si="22"/>
        <v>154.72800000000001</v>
      </c>
      <c r="I192" s="17" cm="1">
        <f t="array" ref="I192">IF(MONTH(A192) = LOOKUP(YEAR(A192), YEAR('CNY Dates'!A$2:A$34), 'CNY Dates'!B$2:B$34), LOOKUP(YEAR(A192), YEAR('Hongbao demand'!B$4:B$35), 'Hongbao demand'!F$4:F$35)  - O191, 0)</f>
        <v>0</v>
      </c>
      <c r="J192" s="18">
        <f t="shared" si="23"/>
        <v>18.154621938290568</v>
      </c>
      <c r="K192" s="19">
        <v>18810.833333333299</v>
      </c>
      <c r="L192" s="12">
        <v>0.76147000000000009</v>
      </c>
      <c r="M192" s="14">
        <v>3.3333333333333332E-4</v>
      </c>
      <c r="N192" s="19">
        <f t="shared" ca="1" si="24"/>
        <v>14.061378061709433</v>
      </c>
      <c r="O192" s="12">
        <f t="shared" ca="1" si="26"/>
        <v>0</v>
      </c>
      <c r="P192" s="18">
        <f t="shared" ca="1" si="25"/>
        <v>0</v>
      </c>
      <c r="Q192" s="19">
        <f t="shared" ca="1" si="27"/>
        <v>0</v>
      </c>
      <c r="R192" s="12">
        <f t="shared" ca="1" si="27"/>
        <v>0</v>
      </c>
      <c r="S192" s="12">
        <f t="shared" ca="1" si="28"/>
        <v>0</v>
      </c>
      <c r="T192" s="83">
        <f t="shared" ca="1" si="29"/>
        <v>0</v>
      </c>
      <c r="W192" s="1"/>
      <c r="Z192" s="6"/>
    </row>
    <row r="193" spans="1:26" x14ac:dyDescent="0.3">
      <c r="A193" s="11">
        <v>38169</v>
      </c>
      <c r="B193" s="94">
        <v>9632.14</v>
      </c>
      <c r="C193" s="97">
        <v>9477.02</v>
      </c>
      <c r="D193" s="109">
        <v>155.12</v>
      </c>
      <c r="E193" s="109">
        <v>313.51</v>
      </c>
      <c r="F193" s="16">
        <f t="shared" ca="1" si="20"/>
        <v>182.57637999449966</v>
      </c>
      <c r="G193" s="12">
        <f t="shared" si="21"/>
        <v>2.625</v>
      </c>
      <c r="H193" s="12">
        <f t="shared" si="22"/>
        <v>155.31366666666665</v>
      </c>
      <c r="I193" s="17" cm="1">
        <f t="array" ref="I193">IF(MONTH(A193) = LOOKUP(YEAR(A193), YEAR('CNY Dates'!A$2:A$34), 'CNY Dates'!B$2:B$34), LOOKUP(YEAR(A193), YEAR('Hongbao demand'!B$4:B$35), 'Hongbao demand'!F$4:F$35)  - O192, 0)</f>
        <v>0</v>
      </c>
      <c r="J193" s="18">
        <f t="shared" si="23"/>
        <v>24.637713327833001</v>
      </c>
      <c r="K193" s="19">
        <v>19162.266666666699</v>
      </c>
      <c r="L193" s="12">
        <v>0.76757999999999993</v>
      </c>
      <c r="M193" s="14">
        <v>3.3333333333333332E-4</v>
      </c>
      <c r="N193" s="19">
        <f t="shared" ca="1" si="24"/>
        <v>130.93362000550033</v>
      </c>
      <c r="O193" s="12">
        <f t="shared" ca="1" si="26"/>
        <v>0</v>
      </c>
      <c r="P193" s="18">
        <f t="shared" ca="1" si="25"/>
        <v>0</v>
      </c>
      <c r="Q193" s="19">
        <f t="shared" ca="1" si="27"/>
        <v>0</v>
      </c>
      <c r="R193" s="12">
        <f t="shared" ca="1" si="27"/>
        <v>0</v>
      </c>
      <c r="S193" s="12">
        <f t="shared" ca="1" si="28"/>
        <v>0</v>
      </c>
      <c r="T193" s="83">
        <f t="shared" ca="1" si="29"/>
        <v>0</v>
      </c>
      <c r="W193" s="1"/>
      <c r="Z193" s="6"/>
    </row>
    <row r="194" spans="1:26" x14ac:dyDescent="0.3">
      <c r="A194" s="11">
        <v>38200</v>
      </c>
      <c r="B194" s="94">
        <v>9775.57</v>
      </c>
      <c r="C194" s="97">
        <v>9436.7000000000007</v>
      </c>
      <c r="D194" s="109">
        <v>338.87</v>
      </c>
      <c r="E194" s="109">
        <v>117.63</v>
      </c>
      <c r="F194" s="16">
        <f t="shared" ca="1" si="20"/>
        <v>162.27111451788917</v>
      </c>
      <c r="G194" s="12">
        <f t="shared" si="21"/>
        <v>1.2926666666666666</v>
      </c>
      <c r="H194" s="12">
        <f t="shared" si="22"/>
        <v>157.95033333333333</v>
      </c>
      <c r="I194" s="17" cm="1">
        <f t="array" ref="I194">IF(MONTH(A194) = LOOKUP(YEAR(A194), YEAR('CNY Dates'!A$2:A$34), 'CNY Dates'!B$2:B$34), LOOKUP(YEAR(A194), YEAR('Hongbao demand'!B$4:B$35), 'Hongbao demand'!F$4:F$35)  - O193, 0)</f>
        <v>0</v>
      </c>
      <c r="J194" s="18">
        <f t="shared" si="23"/>
        <v>3.0281145178891777</v>
      </c>
      <c r="K194" s="19">
        <v>19162.266666666699</v>
      </c>
      <c r="L194" s="12">
        <v>0.7665900000000001</v>
      </c>
      <c r="M194" s="14">
        <v>3.3333333333333332E-4</v>
      </c>
      <c r="N194" s="19">
        <f t="shared" ca="1" si="24"/>
        <v>-44.641114517889179</v>
      </c>
      <c r="O194" s="12">
        <f t="shared" ca="1" si="26"/>
        <v>0</v>
      </c>
      <c r="P194" s="18">
        <f t="shared" ca="1" si="25"/>
        <v>0</v>
      </c>
      <c r="Q194" s="19">
        <f t="shared" ca="1" si="27"/>
        <v>0</v>
      </c>
      <c r="R194" s="12">
        <f t="shared" ca="1" si="27"/>
        <v>0</v>
      </c>
      <c r="S194" s="12">
        <f t="shared" ca="1" si="28"/>
        <v>0</v>
      </c>
      <c r="T194" s="83">
        <f t="shared" ca="1" si="29"/>
        <v>0</v>
      </c>
      <c r="W194" s="1"/>
      <c r="Z194" s="6"/>
    </row>
    <row r="195" spans="1:26" x14ac:dyDescent="0.3">
      <c r="A195" s="11">
        <v>38231</v>
      </c>
      <c r="B195" s="94">
        <v>9627.66</v>
      </c>
      <c r="C195" s="97">
        <v>9430.68</v>
      </c>
      <c r="D195" s="109">
        <v>196.98</v>
      </c>
      <c r="E195" s="109">
        <v>151.26</v>
      </c>
      <c r="F195" s="16">
        <f t="shared" ca="1" si="20"/>
        <v>97.635752056737971</v>
      </c>
      <c r="G195" s="12">
        <f t="shared" si="21"/>
        <v>2.8239166666666669</v>
      </c>
      <c r="H195" s="12">
        <f t="shared" si="22"/>
        <v>157.27833333333334</v>
      </c>
      <c r="I195" s="17" cm="1">
        <f t="array" ref="I195">IF(MONTH(A195) = LOOKUP(YEAR(A195), YEAR('CNY Dates'!A$2:A$34), 'CNY Dates'!B$2:B$34), LOOKUP(YEAR(A195), YEAR('Hongbao demand'!B$4:B$35), 'Hongbao demand'!F$4:F$35)  - O194, 0)</f>
        <v>0</v>
      </c>
      <c r="J195" s="18">
        <f t="shared" si="23"/>
        <v>-62.466497943262027</v>
      </c>
      <c r="K195" s="19">
        <v>19162.266666666699</v>
      </c>
      <c r="L195" s="12">
        <v>0.76816000000000006</v>
      </c>
      <c r="M195" s="14">
        <v>3.4166666666666661E-4</v>
      </c>
      <c r="N195" s="19">
        <f t="shared" ca="1" si="24"/>
        <v>53.62424794326202</v>
      </c>
      <c r="O195" s="12">
        <f t="shared" ca="1" si="26"/>
        <v>0</v>
      </c>
      <c r="P195" s="18">
        <f t="shared" ca="1" si="25"/>
        <v>0</v>
      </c>
      <c r="Q195" s="19">
        <f t="shared" ca="1" si="27"/>
        <v>0</v>
      </c>
      <c r="R195" s="12">
        <f t="shared" ca="1" si="27"/>
        <v>0</v>
      </c>
      <c r="S195" s="12">
        <f t="shared" ca="1" si="28"/>
        <v>0</v>
      </c>
      <c r="T195" s="83">
        <f t="shared" ca="1" si="29"/>
        <v>0</v>
      </c>
      <c r="W195" s="1"/>
      <c r="Z195" s="6"/>
    </row>
    <row r="196" spans="1:26" x14ac:dyDescent="0.3">
      <c r="A196" s="11">
        <v>38261</v>
      </c>
      <c r="B196" s="94">
        <v>9745.33</v>
      </c>
      <c r="C196" s="97">
        <v>9497.9500000000007</v>
      </c>
      <c r="D196" s="109">
        <v>247.38</v>
      </c>
      <c r="E196" s="109">
        <v>224.45</v>
      </c>
      <c r="F196" s="16">
        <f t="shared" ca="1" si="20"/>
        <v>231.1976730120727</v>
      </c>
      <c r="G196" s="12">
        <f t="shared" si="21"/>
        <v>1.6415</v>
      </c>
      <c r="H196" s="12">
        <f t="shared" si="22"/>
        <v>157.178</v>
      </c>
      <c r="I196" s="17" cm="1">
        <f t="array" ref="I196">IF(MONTH(A196) = LOOKUP(YEAR(A196), YEAR('CNY Dates'!A$2:A$34), 'CNY Dates'!B$2:B$34), LOOKUP(YEAR(A196), YEAR('Hongbao demand'!B$4:B$35), 'Hongbao demand'!F$4:F$35)  - O195, 0)</f>
        <v>0</v>
      </c>
      <c r="J196" s="18">
        <f t="shared" si="23"/>
        <v>72.378173012072708</v>
      </c>
      <c r="K196" s="19">
        <v>19757.599999999999</v>
      </c>
      <c r="L196" s="12">
        <v>0.76788000000000001</v>
      </c>
      <c r="M196" s="14">
        <v>3.4166666666666661E-4</v>
      </c>
      <c r="N196" s="19">
        <f t="shared" ca="1" si="24"/>
        <v>-6.7476730120727098</v>
      </c>
      <c r="O196" s="12">
        <f t="shared" ca="1" si="26"/>
        <v>0</v>
      </c>
      <c r="P196" s="18">
        <f t="shared" ca="1" si="25"/>
        <v>0</v>
      </c>
      <c r="Q196" s="19">
        <f t="shared" ca="1" si="27"/>
        <v>0</v>
      </c>
      <c r="R196" s="12">
        <f t="shared" ca="1" si="27"/>
        <v>0</v>
      </c>
      <c r="S196" s="12">
        <f t="shared" ca="1" si="28"/>
        <v>0</v>
      </c>
      <c r="T196" s="83">
        <f t="shared" ca="1" si="29"/>
        <v>0</v>
      </c>
      <c r="W196" s="1"/>
      <c r="Z196" s="6"/>
    </row>
    <row r="197" spans="1:26" x14ac:dyDescent="0.3">
      <c r="A197" s="11">
        <v>38292</v>
      </c>
      <c r="B197" s="94">
        <v>9894.36</v>
      </c>
      <c r="C197" s="97">
        <v>9531.69</v>
      </c>
      <c r="D197" s="109">
        <v>362.67</v>
      </c>
      <c r="E197" s="109">
        <v>192.04</v>
      </c>
      <c r="F197" s="16">
        <f t="shared" ca="1" si="20"/>
        <v>161.00493044370504</v>
      </c>
      <c r="G197" s="12">
        <f t="shared" si="21"/>
        <v>2.0615000000000001</v>
      </c>
      <c r="H197" s="12">
        <f t="shared" si="22"/>
        <v>158.29916666666668</v>
      </c>
      <c r="I197" s="17" cm="1">
        <f t="array" ref="I197">IF(MONTH(A197) = LOOKUP(YEAR(A197), YEAR('CNY Dates'!A$2:A$34), 'CNY Dates'!B$2:B$34), LOOKUP(YEAR(A197), YEAR('Hongbao demand'!B$4:B$35), 'Hongbao demand'!F$4:F$35)  - O196, 0)</f>
        <v>0</v>
      </c>
      <c r="J197" s="18">
        <f t="shared" si="23"/>
        <v>0.6442637770383538</v>
      </c>
      <c r="K197" s="19">
        <v>19757.599999999999</v>
      </c>
      <c r="L197" s="12">
        <v>0.76766999999999996</v>
      </c>
      <c r="M197" s="14">
        <v>3.4166666666666661E-4</v>
      </c>
      <c r="N197" s="19">
        <f t="shared" ca="1" si="24"/>
        <v>31.035069556294957</v>
      </c>
      <c r="O197" s="12">
        <f t="shared" ca="1" si="26"/>
        <v>0</v>
      </c>
      <c r="P197" s="18">
        <f t="shared" ca="1" si="25"/>
        <v>0</v>
      </c>
      <c r="Q197" s="19">
        <f t="shared" ca="1" si="27"/>
        <v>0</v>
      </c>
      <c r="R197" s="12">
        <f t="shared" ca="1" si="27"/>
        <v>0</v>
      </c>
      <c r="S197" s="12">
        <f t="shared" ca="1" si="28"/>
        <v>0</v>
      </c>
      <c r="T197" s="83">
        <f t="shared" ca="1" si="29"/>
        <v>0</v>
      </c>
      <c r="W197" s="1"/>
      <c r="Z197" s="6"/>
    </row>
    <row r="198" spans="1:26" x14ac:dyDescent="0.3">
      <c r="A198" s="11">
        <v>38322</v>
      </c>
      <c r="B198" s="94">
        <v>10040.799999999999</v>
      </c>
      <c r="C198" s="97">
        <v>9585.73</v>
      </c>
      <c r="D198" s="109">
        <v>455.07</v>
      </c>
      <c r="E198" s="109">
        <v>212.9</v>
      </c>
      <c r="F198" s="16">
        <f t="shared" ca="1" si="20"/>
        <v>167.95556054833594</v>
      </c>
      <c r="G198" s="12">
        <f t="shared" si="21"/>
        <v>3.0222500000000001</v>
      </c>
      <c r="H198" s="12">
        <f t="shared" si="22"/>
        <v>158.86150000000001</v>
      </c>
      <c r="I198" s="17" cm="1">
        <f t="array" ref="I198">IF(MONTH(A198) = LOOKUP(YEAR(A198), YEAR('CNY Dates'!A$2:A$34), 'CNY Dates'!B$2:B$34), LOOKUP(YEAR(A198), YEAR('Hongbao demand'!B$4:B$35), 'Hongbao demand'!F$4:F$35)  - O197, 0)</f>
        <v>0</v>
      </c>
      <c r="J198" s="18">
        <f t="shared" si="23"/>
        <v>6.0718105483359128</v>
      </c>
      <c r="K198" s="19">
        <v>19757.599999999999</v>
      </c>
      <c r="L198" s="12">
        <v>0.76568999999999998</v>
      </c>
      <c r="M198" s="14">
        <v>3.4166666666666661E-4</v>
      </c>
      <c r="N198" s="19">
        <f t="shared" ca="1" si="24"/>
        <v>44.944439451664067</v>
      </c>
      <c r="O198" s="12">
        <f t="shared" ca="1" si="26"/>
        <v>0</v>
      </c>
      <c r="P198" s="18">
        <f t="shared" ca="1" si="25"/>
        <v>0</v>
      </c>
      <c r="Q198" s="19">
        <f t="shared" ca="1" si="27"/>
        <v>0</v>
      </c>
      <c r="R198" s="12">
        <f t="shared" ca="1" si="27"/>
        <v>0</v>
      </c>
      <c r="S198" s="12">
        <f t="shared" ca="1" si="28"/>
        <v>0</v>
      </c>
      <c r="T198" s="83">
        <f t="shared" ca="1" si="29"/>
        <v>0</v>
      </c>
      <c r="W198" s="1"/>
      <c r="Z198" s="6"/>
    </row>
    <row r="199" spans="1:26" x14ac:dyDescent="0.3">
      <c r="A199" s="11">
        <v>38353</v>
      </c>
      <c r="B199" s="94">
        <v>11090.24</v>
      </c>
      <c r="C199" s="97">
        <v>9675.82</v>
      </c>
      <c r="D199" s="109">
        <v>1414.42</v>
      </c>
      <c r="E199" s="109">
        <v>249.85</v>
      </c>
      <c r="F199" s="16">
        <f t="shared" ca="1" si="20"/>
        <v>133.63291271841067</v>
      </c>
      <c r="G199" s="12">
        <f t="shared" si="21"/>
        <v>3.7922500000000001</v>
      </c>
      <c r="H199" s="12">
        <f t="shared" si="22"/>
        <v>159.76216666666667</v>
      </c>
      <c r="I199" s="17" cm="1">
        <f t="array" ref="I199">IF(MONTH(A199) = LOOKUP(YEAR(A199), YEAR('CNY Dates'!A$2:A$34), 'CNY Dates'!B$2:B$34), LOOKUP(YEAR(A199), YEAR('Hongbao demand'!B$4:B$35), 'Hongbao demand'!F$4:F$35)  - O198, 0)</f>
        <v>0</v>
      </c>
      <c r="J199" s="18">
        <f t="shared" si="23"/>
        <v>-29.921503948256007</v>
      </c>
      <c r="K199" s="19">
        <v>19370.099999999999</v>
      </c>
      <c r="L199" s="12">
        <v>0.76037999999999994</v>
      </c>
      <c r="M199" s="14">
        <v>3.4166666666666661E-4</v>
      </c>
      <c r="N199" s="19">
        <f t="shared" ca="1" si="24"/>
        <v>116.21708728158933</v>
      </c>
      <c r="O199" s="12">
        <f t="shared" ca="1" si="26"/>
        <v>0</v>
      </c>
      <c r="P199" s="18">
        <f t="shared" ca="1" si="25"/>
        <v>563.05508728158941</v>
      </c>
      <c r="Q199" s="19">
        <f t="shared" ca="1" si="27"/>
        <v>84.458263092238411</v>
      </c>
      <c r="R199" s="12">
        <f t="shared" ca="1" si="27"/>
        <v>112.61101745631788</v>
      </c>
      <c r="S199" s="12">
        <f t="shared" ca="1" si="28"/>
        <v>0</v>
      </c>
      <c r="T199" s="83">
        <f t="shared" ca="1" si="29"/>
        <v>197.06928054855629</v>
      </c>
      <c r="W199" s="1"/>
      <c r="Z199" s="6"/>
    </row>
    <row r="200" spans="1:26" x14ac:dyDescent="0.3">
      <c r="A200" s="11">
        <v>38384</v>
      </c>
      <c r="B200" s="94">
        <v>10762.64</v>
      </c>
      <c r="C200" s="97">
        <v>9674.6299999999992</v>
      </c>
      <c r="D200" s="109">
        <v>1088.01</v>
      </c>
      <c r="E200" s="109">
        <v>160.07</v>
      </c>
      <c r="F200" s="16">
        <f t="shared" ref="F200:F263" ca="1" si="30">SUM(G200:J200)-MIN(0, P199)</f>
        <v>165.7065521092365</v>
      </c>
      <c r="G200" s="12">
        <f t="shared" ref="G200:G263" si="31">D199/($I$1*12)</f>
        <v>11.786833333333334</v>
      </c>
      <c r="H200" s="12">
        <f t="shared" ref="H200:H263" si="32">C199/($I$2*12)</f>
        <v>161.26366666666667</v>
      </c>
      <c r="I200" s="17" cm="1">
        <f t="array" aca="1" ref="I200" ca="1">IF(MONTH(A200) = LOOKUP(YEAR(A200), YEAR('CNY Dates'!A$2:A$34), 'CNY Dates'!B$2:B$34), LOOKUP(YEAR(A200), YEAR('Hongbao demand'!B$4:B$35), 'Hongbao demand'!F$4:F$35)  - O199, 0)</f>
        <v>9.7526870516829494</v>
      </c>
      <c r="J200" s="18">
        <f t="shared" ref="J200:J263" si="33">(SQRT(K200/(2*L200*M200))-SQRT(K199/(2*L199*M199)))*L200</f>
        <v>-17.096634942446467</v>
      </c>
      <c r="K200" s="19">
        <v>19370.099999999999</v>
      </c>
      <c r="L200" s="12">
        <v>0.76596999999999993</v>
      </c>
      <c r="M200" s="14">
        <v>3.4166666666666661E-4</v>
      </c>
      <c r="N200" s="19">
        <f t="shared" ref="N200:N263" ca="1" si="34">E200-F200</f>
        <v>-5.6365521092365043</v>
      </c>
      <c r="O200" s="12">
        <f t="shared" ca="1" si="26"/>
        <v>0</v>
      </c>
      <c r="P200" s="18">
        <f t="shared" ref="P200:P263" ca="1" si="35">MAX(MIN(D200+N200 - D$1*C200, 0), D200+N200 - D$2*C200)</f>
        <v>114.91044789076363</v>
      </c>
      <c r="Q200" s="19">
        <f t="shared" ca="1" si="27"/>
        <v>17.236567183614543</v>
      </c>
      <c r="R200" s="12">
        <f t="shared" ca="1" si="27"/>
        <v>22.982089578152728</v>
      </c>
      <c r="S200" s="12">
        <f t="shared" ca="1" si="28"/>
        <v>0</v>
      </c>
      <c r="T200" s="83">
        <f t="shared" ca="1" si="29"/>
        <v>40.218656761767271</v>
      </c>
      <c r="W200" s="1"/>
      <c r="Z200" s="6"/>
    </row>
    <row r="201" spans="1:26" x14ac:dyDescent="0.3">
      <c r="A201" s="11">
        <v>38412</v>
      </c>
      <c r="B201" s="94">
        <v>10187.73</v>
      </c>
      <c r="C201" s="97">
        <v>9724.68</v>
      </c>
      <c r="D201" s="109">
        <v>463.05</v>
      </c>
      <c r="E201" s="109">
        <v>211.29</v>
      </c>
      <c r="F201" s="16">
        <f t="shared" ca="1" si="30"/>
        <v>177.11896160171509</v>
      </c>
      <c r="G201" s="12">
        <f t="shared" si="31"/>
        <v>9.0667500000000008</v>
      </c>
      <c r="H201" s="12">
        <f t="shared" si="32"/>
        <v>161.24383333333333</v>
      </c>
      <c r="I201" s="17" cm="1">
        <f t="array" ref="I201">IF(MONTH(A201) = LOOKUP(YEAR(A201), YEAR('CNY Dates'!A$2:A$34), 'CNY Dates'!B$2:B$34), LOOKUP(YEAR(A201), YEAR('Hongbao demand'!B$4:B$35), 'Hongbao demand'!F$4:F$35)  - O200, 0)</f>
        <v>0</v>
      </c>
      <c r="J201" s="18">
        <f t="shared" si="33"/>
        <v>6.8083782683817562</v>
      </c>
      <c r="K201" s="19">
        <v>19370.099999999999</v>
      </c>
      <c r="L201" s="12">
        <v>0.76373000000000002</v>
      </c>
      <c r="M201" s="14">
        <v>3.4166666666666661E-4</v>
      </c>
      <c r="N201" s="19">
        <f t="shared" ca="1" si="34"/>
        <v>34.171038398284907</v>
      </c>
      <c r="O201" s="12">
        <f t="shared" ref="O201:O264" ca="1" si="36">MIN(IF(I201=0, O200*(I$1*12-1)/(I$1*12), MAX(O$5*N201, 0)), D$2*O$5*C200)</f>
        <v>0</v>
      </c>
      <c r="P201" s="18">
        <f t="shared" ca="1" si="35"/>
        <v>0</v>
      </c>
      <c r="Q201" s="19">
        <f t="shared" ref="Q201:R264" ca="1" si="37">MAX(0,$P201)*Q$5</f>
        <v>0</v>
      </c>
      <c r="R201" s="12">
        <f t="shared" ca="1" si="37"/>
        <v>0</v>
      </c>
      <c r="S201" s="12">
        <f t="shared" ref="S201:S264" ca="1" si="38">O201*$S$5</f>
        <v>0</v>
      </c>
      <c r="T201" s="83">
        <f t="shared" ref="T201:T264" ca="1" si="39">SUM(Q201:S201)</f>
        <v>0</v>
      </c>
      <c r="W201" s="1"/>
      <c r="Z201" s="6"/>
    </row>
    <row r="202" spans="1:26" x14ac:dyDescent="0.3">
      <c r="A202" s="11">
        <v>38443</v>
      </c>
      <c r="B202" s="94">
        <v>10303.44</v>
      </c>
      <c r="C202" s="97">
        <v>9776.5499999999993</v>
      </c>
      <c r="D202" s="109">
        <v>526.89</v>
      </c>
      <c r="E202" s="109">
        <v>213.95</v>
      </c>
      <c r="F202" s="16">
        <f t="shared" ca="1" si="30"/>
        <v>168.47800472747619</v>
      </c>
      <c r="G202" s="12">
        <f t="shared" si="31"/>
        <v>3.8587500000000001</v>
      </c>
      <c r="H202" s="12">
        <f t="shared" si="32"/>
        <v>162.078</v>
      </c>
      <c r="I202" s="17" cm="1">
        <f t="array" ref="I202">IF(MONTH(A202) = LOOKUP(YEAR(A202), YEAR('CNY Dates'!A$2:A$34), 'CNY Dates'!B$2:B$34), LOOKUP(YEAR(A202), YEAR('Hongbao demand'!B$4:B$35), 'Hongbao demand'!F$4:F$35)  - O201, 0)</f>
        <v>0</v>
      </c>
      <c r="J202" s="18">
        <f t="shared" si="33"/>
        <v>2.5412547274762121</v>
      </c>
      <c r="K202" s="19">
        <v>19986.333333333299</v>
      </c>
      <c r="L202" s="12">
        <v>0.76843000000000006</v>
      </c>
      <c r="M202" s="14">
        <v>3.5E-4</v>
      </c>
      <c r="N202" s="19">
        <f t="shared" ca="1" si="34"/>
        <v>45.471995272523799</v>
      </c>
      <c r="O202" s="12">
        <f t="shared" ca="1" si="36"/>
        <v>0</v>
      </c>
      <c r="P202" s="18">
        <f t="shared" ca="1" si="35"/>
        <v>0</v>
      </c>
      <c r="Q202" s="19">
        <f t="shared" ca="1" si="37"/>
        <v>0</v>
      </c>
      <c r="R202" s="12">
        <f t="shared" ca="1" si="37"/>
        <v>0</v>
      </c>
      <c r="S202" s="12">
        <f t="shared" ca="1" si="38"/>
        <v>0</v>
      </c>
      <c r="T202" s="83">
        <f t="shared" ca="1" si="39"/>
        <v>0</v>
      </c>
      <c r="W202" s="1"/>
      <c r="Z202" s="6"/>
    </row>
    <row r="203" spans="1:26" x14ac:dyDescent="0.3">
      <c r="A203" s="11">
        <v>38473</v>
      </c>
      <c r="B203" s="94">
        <v>10302.39</v>
      </c>
      <c r="C203" s="97">
        <v>9803.2199999999993</v>
      </c>
      <c r="D203" s="109">
        <v>499.17</v>
      </c>
      <c r="E203" s="109">
        <v>189.61</v>
      </c>
      <c r="F203" s="16">
        <f t="shared" ca="1" si="30"/>
        <v>171.08053339733183</v>
      </c>
      <c r="G203" s="12">
        <f t="shared" si="31"/>
        <v>4.3907499999999997</v>
      </c>
      <c r="H203" s="12">
        <f t="shared" si="32"/>
        <v>162.9425</v>
      </c>
      <c r="I203" s="17" cm="1">
        <f t="array" ref="I203">IF(MONTH(A203) = LOOKUP(YEAR(A203), YEAR('CNY Dates'!A$2:A$34), 'CNY Dates'!B$2:B$34), LOOKUP(YEAR(A203), YEAR('Hongbao demand'!B$4:B$35), 'Hongbao demand'!F$4:F$35)  - O202, 0)</f>
        <v>0</v>
      </c>
      <c r="J203" s="18">
        <f t="shared" si="33"/>
        <v>3.7472833973318322</v>
      </c>
      <c r="K203" s="19">
        <v>19986.333333333299</v>
      </c>
      <c r="L203" s="12">
        <v>0.76719999999999999</v>
      </c>
      <c r="M203" s="14">
        <v>3.5E-4</v>
      </c>
      <c r="N203" s="19">
        <f t="shared" ca="1" si="34"/>
        <v>18.52946660266818</v>
      </c>
      <c r="O203" s="12">
        <f t="shared" ca="1" si="36"/>
        <v>0</v>
      </c>
      <c r="P203" s="18">
        <f t="shared" ca="1" si="35"/>
        <v>0</v>
      </c>
      <c r="Q203" s="19">
        <f t="shared" ca="1" si="37"/>
        <v>0</v>
      </c>
      <c r="R203" s="12">
        <f t="shared" ca="1" si="37"/>
        <v>0</v>
      </c>
      <c r="S203" s="12">
        <f t="shared" ca="1" si="38"/>
        <v>0</v>
      </c>
      <c r="T203" s="83">
        <f t="shared" ca="1" si="39"/>
        <v>0</v>
      </c>
      <c r="W203" s="1"/>
      <c r="Z203" s="6"/>
    </row>
    <row r="204" spans="1:26" x14ac:dyDescent="0.3">
      <c r="A204" s="11">
        <v>38504</v>
      </c>
      <c r="B204" s="94">
        <v>10301.41</v>
      </c>
      <c r="C204" s="97">
        <v>9839.48</v>
      </c>
      <c r="D204" s="109">
        <v>461.93</v>
      </c>
      <c r="E204" s="109">
        <v>199.65</v>
      </c>
      <c r="F204" s="16">
        <f t="shared" ca="1" si="30"/>
        <v>188.84946553027959</v>
      </c>
      <c r="G204" s="12">
        <f t="shared" si="31"/>
        <v>4.1597499999999998</v>
      </c>
      <c r="H204" s="12">
        <f t="shared" si="32"/>
        <v>163.387</v>
      </c>
      <c r="I204" s="17" cm="1">
        <f t="array" ref="I204">IF(MONTH(A204) = LOOKUP(YEAR(A204), YEAR('CNY Dates'!A$2:A$34), 'CNY Dates'!B$2:B$34), LOOKUP(YEAR(A204), YEAR('Hongbao demand'!B$4:B$35), 'Hongbao demand'!F$4:F$35)  - O203, 0)</f>
        <v>0</v>
      </c>
      <c r="J204" s="18">
        <f t="shared" si="33"/>
        <v>21.302715530279592</v>
      </c>
      <c r="K204" s="19">
        <v>19986.333333333299</v>
      </c>
      <c r="L204" s="12">
        <v>0.76019999999999999</v>
      </c>
      <c r="M204" s="14">
        <v>3.5E-4</v>
      </c>
      <c r="N204" s="19">
        <f t="shared" ca="1" si="34"/>
        <v>10.800534469720418</v>
      </c>
      <c r="O204" s="12">
        <f t="shared" ca="1" si="36"/>
        <v>0</v>
      </c>
      <c r="P204" s="18">
        <f t="shared" ca="1" si="35"/>
        <v>0</v>
      </c>
      <c r="Q204" s="19">
        <f t="shared" ca="1" si="37"/>
        <v>0</v>
      </c>
      <c r="R204" s="12">
        <f t="shared" ca="1" si="37"/>
        <v>0</v>
      </c>
      <c r="S204" s="12">
        <f t="shared" ca="1" si="38"/>
        <v>0</v>
      </c>
      <c r="T204" s="83">
        <f t="shared" ca="1" si="39"/>
        <v>0</v>
      </c>
      <c r="W204" s="1"/>
      <c r="Z204" s="6"/>
    </row>
    <row r="205" spans="1:26" x14ac:dyDescent="0.3">
      <c r="A205" s="11">
        <v>38534</v>
      </c>
      <c r="B205" s="94">
        <v>10299.73</v>
      </c>
      <c r="C205" s="97">
        <v>9968.07</v>
      </c>
      <c r="D205" s="109">
        <v>331.66</v>
      </c>
      <c r="E205" s="109">
        <v>292.58</v>
      </c>
      <c r="F205" s="16">
        <f t="shared" ca="1" si="30"/>
        <v>236.48205926694862</v>
      </c>
      <c r="G205" s="12">
        <f t="shared" si="31"/>
        <v>3.8494166666666669</v>
      </c>
      <c r="H205" s="12">
        <f t="shared" si="32"/>
        <v>163.99133333333333</v>
      </c>
      <c r="I205" s="17" cm="1">
        <f t="array" ref="I205">IF(MONTH(A205) = LOOKUP(YEAR(A205), YEAR('CNY Dates'!A$2:A$34), 'CNY Dates'!B$2:B$34), LOOKUP(YEAR(A205), YEAR('Hongbao demand'!B$4:B$35), 'Hongbao demand'!F$4:F$35)  - O204, 0)</f>
        <v>0</v>
      </c>
      <c r="J205" s="18">
        <f t="shared" si="33"/>
        <v>68.641309266948639</v>
      </c>
      <c r="K205" s="19">
        <v>20789.099999999999</v>
      </c>
      <c r="L205" s="12">
        <v>0.76816999999999991</v>
      </c>
      <c r="M205" s="14">
        <v>3.5E-4</v>
      </c>
      <c r="N205" s="19">
        <f t="shared" ca="1" si="34"/>
        <v>56.09794073305136</v>
      </c>
      <c r="O205" s="12">
        <f t="shared" ca="1" si="36"/>
        <v>0</v>
      </c>
      <c r="P205" s="18">
        <f t="shared" ca="1" si="35"/>
        <v>0</v>
      </c>
      <c r="Q205" s="19">
        <f t="shared" ca="1" si="37"/>
        <v>0</v>
      </c>
      <c r="R205" s="12">
        <f t="shared" ca="1" si="37"/>
        <v>0</v>
      </c>
      <c r="S205" s="12">
        <f t="shared" ca="1" si="38"/>
        <v>0</v>
      </c>
      <c r="T205" s="83">
        <f t="shared" ca="1" si="39"/>
        <v>0</v>
      </c>
      <c r="W205" s="1"/>
      <c r="Z205" s="6"/>
    </row>
    <row r="206" spans="1:26" x14ac:dyDescent="0.3">
      <c r="A206" s="11">
        <v>38565</v>
      </c>
      <c r="B206" s="94">
        <v>10298.68</v>
      </c>
      <c r="C206" s="97">
        <v>9974.23</v>
      </c>
      <c r="D206" s="109">
        <v>324.45</v>
      </c>
      <c r="E206" s="109">
        <v>172.29</v>
      </c>
      <c r="F206" s="16">
        <f t="shared" ca="1" si="30"/>
        <v>157.59963694455175</v>
      </c>
      <c r="G206" s="12">
        <f t="shared" si="31"/>
        <v>2.7638333333333334</v>
      </c>
      <c r="H206" s="12">
        <f t="shared" si="32"/>
        <v>166.1345</v>
      </c>
      <c r="I206" s="17" cm="1">
        <f t="array" ref="I206">IF(MONTH(A206) = LOOKUP(YEAR(A206), YEAR('CNY Dates'!A$2:A$34), 'CNY Dates'!B$2:B$34), LOOKUP(YEAR(A206), YEAR('Hongbao demand'!B$4:B$35), 'Hongbao demand'!F$4:F$35)  - O205, 0)</f>
        <v>0</v>
      </c>
      <c r="J206" s="18">
        <f t="shared" si="33"/>
        <v>-11.298696388781606</v>
      </c>
      <c r="K206" s="19">
        <v>20789.099999999999</v>
      </c>
      <c r="L206" s="12">
        <v>0.77180000000000004</v>
      </c>
      <c r="M206" s="14">
        <v>3.5E-4</v>
      </c>
      <c r="N206" s="19">
        <f t="shared" ca="1" si="34"/>
        <v>14.690363055448245</v>
      </c>
      <c r="O206" s="12">
        <f t="shared" ca="1" si="36"/>
        <v>0</v>
      </c>
      <c r="P206" s="18">
        <f t="shared" ca="1" si="35"/>
        <v>0</v>
      </c>
      <c r="Q206" s="19">
        <f t="shared" ca="1" si="37"/>
        <v>0</v>
      </c>
      <c r="R206" s="12">
        <f t="shared" ca="1" si="37"/>
        <v>0</v>
      </c>
      <c r="S206" s="12">
        <f t="shared" ca="1" si="38"/>
        <v>0</v>
      </c>
      <c r="T206" s="83">
        <f t="shared" ca="1" si="39"/>
        <v>0</v>
      </c>
      <c r="W206" s="1"/>
      <c r="Z206" s="6"/>
    </row>
    <row r="207" spans="1:26" x14ac:dyDescent="0.3">
      <c r="A207" s="11">
        <v>38596</v>
      </c>
      <c r="B207" s="94">
        <v>10297</v>
      </c>
      <c r="C207" s="97">
        <v>10076.15</v>
      </c>
      <c r="D207" s="109">
        <v>220.85</v>
      </c>
      <c r="E207" s="109">
        <v>268.16000000000003</v>
      </c>
      <c r="F207" s="16">
        <f t="shared" ca="1" si="30"/>
        <v>165.55897477915096</v>
      </c>
      <c r="G207" s="12">
        <f t="shared" si="31"/>
        <v>2.7037499999999999</v>
      </c>
      <c r="H207" s="12">
        <f t="shared" si="32"/>
        <v>166.23716666666667</v>
      </c>
      <c r="I207" s="17" cm="1">
        <f t="array" ref="I207">IF(MONTH(A207) = LOOKUP(YEAR(A207), YEAR('CNY Dates'!A$2:A$34), 'CNY Dates'!B$2:B$34), LOOKUP(YEAR(A207), YEAR('Hongbao demand'!B$4:B$35), 'Hongbao demand'!F$4:F$35)  - O206, 0)</f>
        <v>0</v>
      </c>
      <c r="J207" s="18">
        <f t="shared" si="33"/>
        <v>-3.3819418875157305</v>
      </c>
      <c r="K207" s="19">
        <v>20789.099999999999</v>
      </c>
      <c r="L207" s="12">
        <v>0.77288999999999997</v>
      </c>
      <c r="M207" s="14">
        <v>3.5E-4</v>
      </c>
      <c r="N207" s="19">
        <f t="shared" ca="1" si="34"/>
        <v>102.60102522084907</v>
      </c>
      <c r="O207" s="12">
        <f t="shared" ca="1" si="36"/>
        <v>0</v>
      </c>
      <c r="P207" s="18">
        <f t="shared" ca="1" si="35"/>
        <v>0</v>
      </c>
      <c r="Q207" s="19">
        <f t="shared" ca="1" si="37"/>
        <v>0</v>
      </c>
      <c r="R207" s="12">
        <f t="shared" ca="1" si="37"/>
        <v>0</v>
      </c>
      <c r="S207" s="12">
        <f t="shared" ca="1" si="38"/>
        <v>0</v>
      </c>
      <c r="T207" s="83">
        <f t="shared" ca="1" si="39"/>
        <v>0</v>
      </c>
      <c r="W207" s="1"/>
      <c r="Z207" s="6"/>
    </row>
    <row r="208" spans="1:26" x14ac:dyDescent="0.3">
      <c r="A208" s="11">
        <v>38626</v>
      </c>
      <c r="B208" s="94">
        <v>10686.27</v>
      </c>
      <c r="C208" s="97">
        <v>10185.209999999999</v>
      </c>
      <c r="D208" s="109">
        <v>501.06</v>
      </c>
      <c r="E208" s="109">
        <v>277</v>
      </c>
      <c r="F208" s="16">
        <f t="shared" ca="1" si="30"/>
        <v>83.084749174290934</v>
      </c>
      <c r="G208" s="12">
        <f t="shared" si="31"/>
        <v>1.8404166666666666</v>
      </c>
      <c r="H208" s="12">
        <f t="shared" si="32"/>
        <v>167.93583333333333</v>
      </c>
      <c r="I208" s="17" cm="1">
        <f t="array" ref="I208">IF(MONTH(A208) = LOOKUP(YEAR(A208), YEAR('CNY Dates'!A$2:A$34), 'CNY Dates'!B$2:B$34), LOOKUP(YEAR(A208), YEAR('Hongbao demand'!B$4:B$35), 'Hongbao demand'!F$4:F$35)  - O207, 0)</f>
        <v>0</v>
      </c>
      <c r="J208" s="18">
        <f t="shared" si="33"/>
        <v>-86.69150082570907</v>
      </c>
      <c r="K208" s="19">
        <v>21566</v>
      </c>
      <c r="L208" s="12">
        <v>0.77603999999999995</v>
      </c>
      <c r="M208" s="14">
        <v>3.7500000000000006E-4</v>
      </c>
      <c r="N208" s="19">
        <f t="shared" ca="1" si="34"/>
        <v>193.91525082570905</v>
      </c>
      <c r="O208" s="12">
        <f t="shared" ca="1" si="36"/>
        <v>0</v>
      </c>
      <c r="P208" s="18">
        <f t="shared" ca="1" si="35"/>
        <v>0</v>
      </c>
      <c r="Q208" s="19">
        <f t="shared" ca="1" si="37"/>
        <v>0</v>
      </c>
      <c r="R208" s="12">
        <f t="shared" ca="1" si="37"/>
        <v>0</v>
      </c>
      <c r="S208" s="12">
        <f t="shared" ca="1" si="38"/>
        <v>0</v>
      </c>
      <c r="T208" s="83">
        <f t="shared" ca="1" si="39"/>
        <v>0</v>
      </c>
      <c r="W208" s="1"/>
      <c r="Z208" s="6"/>
    </row>
    <row r="209" spans="1:26" x14ac:dyDescent="0.3">
      <c r="A209" s="11">
        <v>38657</v>
      </c>
      <c r="B209" s="94">
        <v>10369.66</v>
      </c>
      <c r="C209" s="97">
        <v>10166.030000000001</v>
      </c>
      <c r="D209" s="109">
        <v>203.63</v>
      </c>
      <c r="E209" s="109">
        <v>150.57</v>
      </c>
      <c r="F209" s="16">
        <f t="shared" ca="1" si="30"/>
        <v>-194.04641691939378</v>
      </c>
      <c r="G209" s="12">
        <f t="shared" si="31"/>
        <v>4.1755000000000004</v>
      </c>
      <c r="H209" s="12">
        <f t="shared" si="32"/>
        <v>169.75349999999997</v>
      </c>
      <c r="I209" s="17" cm="1">
        <f t="array" ref="I209">IF(MONTH(A209) = LOOKUP(YEAR(A209), YEAR('CNY Dates'!A$2:A$34), 'CNY Dates'!B$2:B$34), LOOKUP(YEAR(A209), YEAR('Hongbao demand'!B$4:B$35), 'Hongbao demand'!F$4:F$35)  - O208, 0)</f>
        <v>0</v>
      </c>
      <c r="J209" s="18">
        <f t="shared" si="33"/>
        <v>-367.97541691939375</v>
      </c>
      <c r="K209" s="19">
        <v>21566</v>
      </c>
      <c r="L209" s="12">
        <v>0.77509000000000006</v>
      </c>
      <c r="M209" s="14">
        <v>4.4166666666666665E-4</v>
      </c>
      <c r="N209" s="19">
        <f t="shared" ca="1" si="34"/>
        <v>344.61641691939377</v>
      </c>
      <c r="O209" s="12">
        <f t="shared" ca="1" si="36"/>
        <v>0</v>
      </c>
      <c r="P209" s="18">
        <f t="shared" ca="1" si="35"/>
        <v>0</v>
      </c>
      <c r="Q209" s="19">
        <f t="shared" ca="1" si="37"/>
        <v>0</v>
      </c>
      <c r="R209" s="12">
        <f t="shared" ca="1" si="37"/>
        <v>0</v>
      </c>
      <c r="S209" s="12">
        <f t="shared" ca="1" si="38"/>
        <v>0</v>
      </c>
      <c r="T209" s="83">
        <f t="shared" ca="1" si="39"/>
        <v>0</v>
      </c>
      <c r="W209" s="1"/>
      <c r="Z209" s="6"/>
    </row>
    <row r="210" spans="1:26" x14ac:dyDescent="0.3">
      <c r="A210" s="11">
        <v>38687</v>
      </c>
      <c r="B210" s="94">
        <v>10766.91</v>
      </c>
      <c r="C210" s="97">
        <v>10219.370000000001</v>
      </c>
      <c r="D210" s="109">
        <v>547.54</v>
      </c>
      <c r="E210" s="109">
        <v>222.77</v>
      </c>
      <c r="F210" s="16">
        <f t="shared" ca="1" si="30"/>
        <v>52.285951084147698</v>
      </c>
      <c r="G210" s="12">
        <f t="shared" si="31"/>
        <v>1.6969166666666666</v>
      </c>
      <c r="H210" s="12">
        <f t="shared" si="32"/>
        <v>169.43383333333335</v>
      </c>
      <c r="I210" s="17" cm="1">
        <f t="array" ref="I210">IF(MONTH(A210) = LOOKUP(YEAR(A210), YEAR('CNY Dates'!A$2:A$34), 'CNY Dates'!B$2:B$34), LOOKUP(YEAR(A210), YEAR('Hongbao demand'!B$4:B$35), 'Hongbao demand'!F$4:F$35)  - O209, 0)</f>
        <v>0</v>
      </c>
      <c r="J210" s="18">
        <f t="shared" si="33"/>
        <v>-118.84479891585234</v>
      </c>
      <c r="K210" s="19">
        <v>21566</v>
      </c>
      <c r="L210" s="12">
        <v>0.77534000000000003</v>
      </c>
      <c r="M210" s="14">
        <v>4.6666666666666672E-4</v>
      </c>
      <c r="N210" s="19">
        <f t="shared" ca="1" si="34"/>
        <v>170.48404891585233</v>
      </c>
      <c r="O210" s="12">
        <f t="shared" ca="1" si="36"/>
        <v>0</v>
      </c>
      <c r="P210" s="18">
        <f t="shared" ca="1" si="35"/>
        <v>0</v>
      </c>
      <c r="Q210" s="19">
        <f t="shared" ca="1" si="37"/>
        <v>0</v>
      </c>
      <c r="R210" s="12">
        <f t="shared" ca="1" si="37"/>
        <v>0</v>
      </c>
      <c r="S210" s="12">
        <f t="shared" ca="1" si="38"/>
        <v>0</v>
      </c>
      <c r="T210" s="83">
        <f t="shared" ca="1" si="39"/>
        <v>0</v>
      </c>
      <c r="W210" s="1"/>
      <c r="Z210" s="6"/>
    </row>
    <row r="211" spans="1:26" x14ac:dyDescent="0.3">
      <c r="A211" s="11">
        <v>38718</v>
      </c>
      <c r="B211" s="94">
        <v>12171.53</v>
      </c>
      <c r="C211" s="97">
        <v>10353.42</v>
      </c>
      <c r="D211" s="109">
        <v>1818.11</v>
      </c>
      <c r="E211" s="109">
        <v>304.37</v>
      </c>
      <c r="F211" s="16">
        <f t="shared" ca="1" si="30"/>
        <v>168.2089523338569</v>
      </c>
      <c r="G211" s="12">
        <f t="shared" si="31"/>
        <v>4.5628333333333329</v>
      </c>
      <c r="H211" s="12">
        <f t="shared" si="32"/>
        <v>170.32283333333334</v>
      </c>
      <c r="I211" s="17" cm="1">
        <f t="array" aca="1" ref="I211" ca="1">IF(MONTH(A211) = LOOKUP(YEAR(A211), YEAR('CNY Dates'!A$2:A$34), 'CNY Dates'!B$2:B$34), LOOKUP(YEAR(A211), YEAR('Hongbao demand'!B$4:B$35), 'Hongbao demand'!F$4:F$35)  - O210, 0)</f>
        <v>10.020308302467852</v>
      </c>
      <c r="J211" s="18">
        <f t="shared" si="33"/>
        <v>-16.69702263527763</v>
      </c>
      <c r="K211" s="19">
        <v>21346.400000000001</v>
      </c>
      <c r="L211" s="12">
        <v>0.77355000000000007</v>
      </c>
      <c r="M211" s="14">
        <v>4.6666666666666672E-4</v>
      </c>
      <c r="N211" s="19">
        <f t="shared" ca="1" si="34"/>
        <v>136.16104766614311</v>
      </c>
      <c r="O211" s="12">
        <f t="shared" ca="1" si="36"/>
        <v>27.232209533228623</v>
      </c>
      <c r="P211" s="18">
        <f t="shared" ca="1" si="35"/>
        <v>918.92904766614288</v>
      </c>
      <c r="Q211" s="19">
        <f t="shared" ca="1" si="37"/>
        <v>137.83935714992143</v>
      </c>
      <c r="R211" s="12">
        <f t="shared" ca="1" si="37"/>
        <v>183.78580953322859</v>
      </c>
      <c r="S211" s="12">
        <f t="shared" ca="1" si="38"/>
        <v>2.7232209533228624</v>
      </c>
      <c r="T211" s="83">
        <f t="shared" ca="1" si="39"/>
        <v>324.34838763647292</v>
      </c>
      <c r="W211" s="1"/>
      <c r="Z211" s="6"/>
    </row>
    <row r="212" spans="1:26" x14ac:dyDescent="0.3">
      <c r="A212" s="11">
        <v>38749</v>
      </c>
      <c r="B212" s="94">
        <v>11464.25</v>
      </c>
      <c r="C212" s="97">
        <v>10318.77</v>
      </c>
      <c r="D212" s="109">
        <v>1145.48</v>
      </c>
      <c r="E212" s="109">
        <v>137.91</v>
      </c>
      <c r="F212" s="16">
        <f t="shared" ca="1" si="30"/>
        <v>146.42248376533016</v>
      </c>
      <c r="G212" s="12">
        <f t="shared" si="31"/>
        <v>15.150916666666665</v>
      </c>
      <c r="H212" s="12">
        <f t="shared" si="32"/>
        <v>172.55699999999999</v>
      </c>
      <c r="I212" s="17" cm="1">
        <f t="array" ref="I212">IF(MONTH(A212) = LOOKUP(YEAR(A212), YEAR('CNY Dates'!A$2:A$34), 'CNY Dates'!B$2:B$34), LOOKUP(YEAR(A212), YEAR('Hongbao demand'!B$4:B$35), 'Hongbao demand'!F$4:F$35)  - O211, 0)</f>
        <v>0</v>
      </c>
      <c r="J212" s="18">
        <f t="shared" si="33"/>
        <v>-41.285432901336485</v>
      </c>
      <c r="K212" s="19">
        <v>21346.400000000001</v>
      </c>
      <c r="L212" s="12">
        <v>0.77509000000000006</v>
      </c>
      <c r="M212" s="14">
        <v>4.7499999999999994E-4</v>
      </c>
      <c r="N212" s="19">
        <f t="shared" ca="1" si="34"/>
        <v>-8.5124837653301597</v>
      </c>
      <c r="O212" s="12">
        <f t="shared" ca="1" si="36"/>
        <v>27.005274453785049</v>
      </c>
      <c r="P212" s="18">
        <f t="shared" ca="1" si="35"/>
        <v>105.09051623466962</v>
      </c>
      <c r="Q212" s="19">
        <f t="shared" ca="1" si="37"/>
        <v>15.763577435200443</v>
      </c>
      <c r="R212" s="12">
        <f t="shared" ca="1" si="37"/>
        <v>21.018103246933926</v>
      </c>
      <c r="S212" s="12">
        <f t="shared" ca="1" si="38"/>
        <v>2.7005274453785049</v>
      </c>
      <c r="T212" s="83">
        <f t="shared" ca="1" si="39"/>
        <v>39.48220812751287</v>
      </c>
      <c r="W212" s="1"/>
      <c r="Z212" s="6"/>
    </row>
    <row r="213" spans="1:26" x14ac:dyDescent="0.3">
      <c r="A213" s="11">
        <v>38777</v>
      </c>
      <c r="B213" s="94">
        <v>10748.15</v>
      </c>
      <c r="C213" s="97">
        <v>10306.94</v>
      </c>
      <c r="D213" s="109">
        <v>441.21</v>
      </c>
      <c r="E213" s="109">
        <v>160.15</v>
      </c>
      <c r="F213" s="16">
        <f t="shared" ca="1" si="30"/>
        <v>188.43817100680576</v>
      </c>
      <c r="G213" s="12">
        <f t="shared" si="31"/>
        <v>9.5456666666666674</v>
      </c>
      <c r="H213" s="12">
        <f t="shared" si="32"/>
        <v>171.9795</v>
      </c>
      <c r="I213" s="17" cm="1">
        <f t="array" ref="I213">IF(MONTH(A213) = LOOKUP(YEAR(A213), YEAR('CNY Dates'!A$2:A$34), 'CNY Dates'!B$2:B$34), LOOKUP(YEAR(A213), YEAR('Hongbao demand'!B$4:B$35), 'Hongbao demand'!F$4:F$35)  - O212, 0)</f>
        <v>0</v>
      </c>
      <c r="J213" s="18">
        <f t="shared" si="33"/>
        <v>6.9130043401390857</v>
      </c>
      <c r="K213" s="19">
        <v>21346.400000000001</v>
      </c>
      <c r="L213" s="12">
        <v>0.77251999999999998</v>
      </c>
      <c r="M213" s="14">
        <v>4.7499999999999994E-4</v>
      </c>
      <c r="N213" s="19">
        <f t="shared" ca="1" si="34"/>
        <v>-28.288171006805754</v>
      </c>
      <c r="O213" s="12">
        <f t="shared" ca="1" si="36"/>
        <v>26.780230500003505</v>
      </c>
      <c r="P213" s="18">
        <f t="shared" ca="1" si="35"/>
        <v>0</v>
      </c>
      <c r="Q213" s="19">
        <f t="shared" ca="1" si="37"/>
        <v>0</v>
      </c>
      <c r="R213" s="12">
        <f t="shared" ca="1" si="37"/>
        <v>0</v>
      </c>
      <c r="S213" s="12">
        <f t="shared" ca="1" si="38"/>
        <v>2.6780230500003506</v>
      </c>
      <c r="T213" s="83">
        <f t="shared" ca="1" si="39"/>
        <v>2.6780230500003506</v>
      </c>
      <c r="W213" s="1"/>
      <c r="Z213" s="6"/>
    </row>
    <row r="214" spans="1:26" x14ac:dyDescent="0.3">
      <c r="A214" s="11">
        <v>38808</v>
      </c>
      <c r="B214" s="94">
        <v>10847.06</v>
      </c>
      <c r="C214" s="97">
        <v>10396.049999999999</v>
      </c>
      <c r="D214" s="109">
        <v>451.01</v>
      </c>
      <c r="E214" s="109">
        <v>260.89</v>
      </c>
      <c r="F214" s="16">
        <f t="shared" ca="1" si="30"/>
        <v>202.43061066713631</v>
      </c>
      <c r="G214" s="12">
        <f t="shared" si="31"/>
        <v>3.6767499999999997</v>
      </c>
      <c r="H214" s="12">
        <f t="shared" si="32"/>
        <v>171.78233333333336</v>
      </c>
      <c r="I214" s="17" cm="1">
        <f t="array" ref="I214">IF(MONTH(A214) = LOOKUP(YEAR(A214), YEAR('CNY Dates'!A$2:A$34), 'CNY Dates'!B$2:B$34), LOOKUP(YEAR(A214), YEAR('Hongbao demand'!B$4:B$35), 'Hongbao demand'!F$4:F$35)  - O213, 0)</f>
        <v>0</v>
      </c>
      <c r="J214" s="18">
        <f t="shared" si="33"/>
        <v>26.971527333802946</v>
      </c>
      <c r="K214" s="19">
        <v>21740</v>
      </c>
      <c r="L214" s="12">
        <v>0.77673000000000003</v>
      </c>
      <c r="M214" s="14">
        <v>4.7499999999999994E-4</v>
      </c>
      <c r="N214" s="19">
        <f t="shared" ca="1" si="34"/>
        <v>58.45938933286368</v>
      </c>
      <c r="O214" s="12">
        <f t="shared" ca="1" si="36"/>
        <v>26.557061912503475</v>
      </c>
      <c r="P214" s="18">
        <f t="shared" ca="1" si="35"/>
        <v>0</v>
      </c>
      <c r="Q214" s="19">
        <f t="shared" ca="1" si="37"/>
        <v>0</v>
      </c>
      <c r="R214" s="12">
        <f t="shared" ca="1" si="37"/>
        <v>0</v>
      </c>
      <c r="S214" s="12">
        <f t="shared" ca="1" si="38"/>
        <v>2.6557061912503475</v>
      </c>
      <c r="T214" s="83">
        <f t="shared" ca="1" si="39"/>
        <v>2.6557061912503475</v>
      </c>
      <c r="W214" s="1"/>
      <c r="Z214" s="6"/>
    </row>
    <row r="215" spans="1:26" x14ac:dyDescent="0.3">
      <c r="A215" s="11">
        <v>38838</v>
      </c>
      <c r="B215" s="94">
        <v>11132.59</v>
      </c>
      <c r="C215" s="97">
        <v>10382.19</v>
      </c>
      <c r="D215" s="109">
        <v>750.4</v>
      </c>
      <c r="E215" s="109">
        <v>159.41</v>
      </c>
      <c r="F215" s="16">
        <f t="shared" ca="1" si="30"/>
        <v>180.20004947025981</v>
      </c>
      <c r="G215" s="12">
        <f t="shared" si="31"/>
        <v>3.7584166666666667</v>
      </c>
      <c r="H215" s="12">
        <f t="shared" si="32"/>
        <v>173.26749999999998</v>
      </c>
      <c r="I215" s="17" cm="1">
        <f t="array" ref="I215">IF(MONTH(A215) = LOOKUP(YEAR(A215), YEAR('CNY Dates'!A$2:A$34), 'CNY Dates'!B$2:B$34), LOOKUP(YEAR(A215), YEAR('Hongbao demand'!B$4:B$35), 'Hongbao demand'!F$4:F$35)  - O214, 0)</f>
        <v>0</v>
      </c>
      <c r="J215" s="18">
        <f t="shared" si="33"/>
        <v>3.1741328035931526</v>
      </c>
      <c r="K215" s="19">
        <v>21740</v>
      </c>
      <c r="L215" s="12">
        <v>0.77556000000000003</v>
      </c>
      <c r="M215" s="14">
        <v>4.7499999999999994E-4</v>
      </c>
      <c r="N215" s="19">
        <f t="shared" ca="1" si="34"/>
        <v>-20.790049470259817</v>
      </c>
      <c r="O215" s="12">
        <f t="shared" ca="1" si="36"/>
        <v>26.335753063232612</v>
      </c>
      <c r="P215" s="18">
        <f t="shared" ca="1" si="35"/>
        <v>0</v>
      </c>
      <c r="Q215" s="19">
        <f t="shared" ca="1" si="37"/>
        <v>0</v>
      </c>
      <c r="R215" s="12">
        <f t="shared" ca="1" si="37"/>
        <v>0</v>
      </c>
      <c r="S215" s="12">
        <f t="shared" ca="1" si="38"/>
        <v>2.6335753063232614</v>
      </c>
      <c r="T215" s="83">
        <f t="shared" ca="1" si="39"/>
        <v>2.6335753063232614</v>
      </c>
      <c r="W215" s="1"/>
      <c r="Z215" s="6"/>
    </row>
    <row r="216" spans="1:26" x14ac:dyDescent="0.3">
      <c r="A216" s="11">
        <v>38869</v>
      </c>
      <c r="B216" s="94">
        <v>11131.26</v>
      </c>
      <c r="C216" s="97">
        <v>10412.780000000001</v>
      </c>
      <c r="D216" s="109">
        <v>718.48</v>
      </c>
      <c r="E216" s="109">
        <v>203.63</v>
      </c>
      <c r="F216" s="16">
        <f t="shared" ca="1" si="30"/>
        <v>192.49593917848773</v>
      </c>
      <c r="G216" s="12">
        <f t="shared" si="31"/>
        <v>6.253333333333333</v>
      </c>
      <c r="H216" s="12">
        <f t="shared" si="32"/>
        <v>173.03650000000002</v>
      </c>
      <c r="I216" s="17" cm="1">
        <f t="array" ref="I216">IF(MONTH(A216) = LOOKUP(YEAR(A216), YEAR('CNY Dates'!A$2:A$34), 'CNY Dates'!B$2:B$34), LOOKUP(YEAR(A216), YEAR('Hongbao demand'!B$4:B$35), 'Hongbao demand'!F$4:F$35)  - O215, 0)</f>
        <v>0</v>
      </c>
      <c r="J216" s="18">
        <f t="shared" si="33"/>
        <v>13.206105845154381</v>
      </c>
      <c r="K216" s="19">
        <v>21740</v>
      </c>
      <c r="L216" s="12">
        <v>0.77068999999999999</v>
      </c>
      <c r="M216" s="14">
        <v>4.7499999999999994E-4</v>
      </c>
      <c r="N216" s="19">
        <f t="shared" ca="1" si="34"/>
        <v>11.134060821512264</v>
      </c>
      <c r="O216" s="12">
        <f t="shared" ca="1" si="36"/>
        <v>26.116288454372341</v>
      </c>
      <c r="P216" s="18">
        <f t="shared" ca="1" si="35"/>
        <v>0</v>
      </c>
      <c r="Q216" s="19">
        <f t="shared" ca="1" si="37"/>
        <v>0</v>
      </c>
      <c r="R216" s="12">
        <f t="shared" ca="1" si="37"/>
        <v>0</v>
      </c>
      <c r="S216" s="12">
        <f t="shared" ca="1" si="38"/>
        <v>2.6116288454372345</v>
      </c>
      <c r="T216" s="83">
        <f t="shared" ca="1" si="39"/>
        <v>2.6116288454372345</v>
      </c>
      <c r="W216" s="1"/>
      <c r="Z216" s="6"/>
    </row>
    <row r="217" spans="1:26" x14ac:dyDescent="0.3">
      <c r="A217" s="11">
        <v>38899</v>
      </c>
      <c r="B217" s="94">
        <v>11129.16</v>
      </c>
      <c r="C217" s="97">
        <v>10446.379999999999</v>
      </c>
      <c r="D217" s="109">
        <v>682.78</v>
      </c>
      <c r="E217" s="109">
        <v>207.15</v>
      </c>
      <c r="F217" s="16">
        <f t="shared" ca="1" si="30"/>
        <v>244.17743464367231</v>
      </c>
      <c r="G217" s="12">
        <f t="shared" si="31"/>
        <v>5.9873333333333338</v>
      </c>
      <c r="H217" s="12">
        <f t="shared" si="32"/>
        <v>173.54633333333334</v>
      </c>
      <c r="I217" s="17" cm="1">
        <f t="array" ref="I217">IF(MONTH(A217) = LOOKUP(YEAR(A217), YEAR('CNY Dates'!A$2:A$34), 'CNY Dates'!B$2:B$34), LOOKUP(YEAR(A217), YEAR('Hongbao demand'!B$4:B$35), 'Hongbao demand'!F$4:F$35)  - O216, 0)</f>
        <v>0</v>
      </c>
      <c r="J217" s="18">
        <f t="shared" si="33"/>
        <v>64.643767977005638</v>
      </c>
      <c r="K217" s="19">
        <v>22578.566666666698</v>
      </c>
      <c r="L217" s="12">
        <v>0.77650999999999992</v>
      </c>
      <c r="M217" s="14">
        <v>4.7499999999999994E-4</v>
      </c>
      <c r="N217" s="19">
        <f t="shared" ca="1" si="34"/>
        <v>-37.027434643672308</v>
      </c>
      <c r="O217" s="12">
        <f t="shared" ca="1" si="36"/>
        <v>25.89865271725257</v>
      </c>
      <c r="P217" s="18">
        <f t="shared" ca="1" si="35"/>
        <v>0</v>
      </c>
      <c r="Q217" s="19">
        <f t="shared" ca="1" si="37"/>
        <v>0</v>
      </c>
      <c r="R217" s="12">
        <f t="shared" ca="1" si="37"/>
        <v>0</v>
      </c>
      <c r="S217" s="12">
        <f t="shared" ca="1" si="38"/>
        <v>2.589865271725257</v>
      </c>
      <c r="T217" s="83">
        <f t="shared" ca="1" si="39"/>
        <v>2.589865271725257</v>
      </c>
      <c r="W217" s="1"/>
      <c r="Z217" s="6"/>
    </row>
    <row r="218" spans="1:26" x14ac:dyDescent="0.3">
      <c r="A218" s="11">
        <v>38930</v>
      </c>
      <c r="B218" s="94">
        <v>11127.55</v>
      </c>
      <c r="C218" s="97">
        <v>10437.77</v>
      </c>
      <c r="D218" s="109">
        <v>689.78</v>
      </c>
      <c r="E218" s="109">
        <v>165.5</v>
      </c>
      <c r="F218" s="16">
        <f t="shared" ca="1" si="30"/>
        <v>141.40110936045573</v>
      </c>
      <c r="G218" s="12">
        <f t="shared" si="31"/>
        <v>5.6898333333333335</v>
      </c>
      <c r="H218" s="12">
        <f t="shared" si="32"/>
        <v>174.10633333333331</v>
      </c>
      <c r="I218" s="17" cm="1">
        <f t="array" ref="I218">IF(MONTH(A218) = LOOKUP(YEAR(A218), YEAR('CNY Dates'!A$2:A$34), 'CNY Dates'!B$2:B$34), LOOKUP(YEAR(A218), YEAR('Hongbao demand'!B$4:B$35), 'Hongbao demand'!F$4:F$35)  - O217, 0)</f>
        <v>0</v>
      </c>
      <c r="J218" s="18">
        <f t="shared" si="33"/>
        <v>-38.395057306210887</v>
      </c>
      <c r="K218" s="19">
        <v>22578.566666666698</v>
      </c>
      <c r="L218" s="12">
        <v>0.77694000000000007</v>
      </c>
      <c r="M218" s="14">
        <v>4.8333333333333328E-4</v>
      </c>
      <c r="N218" s="19">
        <f t="shared" ca="1" si="34"/>
        <v>24.098890639544265</v>
      </c>
      <c r="O218" s="12">
        <f t="shared" ca="1" si="36"/>
        <v>25.682830611275463</v>
      </c>
      <c r="P218" s="18">
        <f t="shared" ca="1" si="35"/>
        <v>0</v>
      </c>
      <c r="Q218" s="19">
        <f t="shared" ca="1" si="37"/>
        <v>0</v>
      </c>
      <c r="R218" s="12">
        <f t="shared" ca="1" si="37"/>
        <v>0</v>
      </c>
      <c r="S218" s="12">
        <f t="shared" ca="1" si="38"/>
        <v>2.5682830611275467</v>
      </c>
      <c r="T218" s="83">
        <f t="shared" ca="1" si="39"/>
        <v>2.5682830611275467</v>
      </c>
      <c r="W218" s="1"/>
      <c r="Z218" s="6"/>
    </row>
    <row r="219" spans="1:26" x14ac:dyDescent="0.3">
      <c r="A219" s="11">
        <v>38961</v>
      </c>
      <c r="B219" s="94">
        <v>11125.8</v>
      </c>
      <c r="C219" s="97">
        <v>10633.14</v>
      </c>
      <c r="D219" s="109">
        <v>492.66</v>
      </c>
      <c r="E219" s="109">
        <v>369.33</v>
      </c>
      <c r="F219" s="16">
        <f t="shared" ca="1" si="30"/>
        <v>218.73678263985343</v>
      </c>
      <c r="G219" s="12">
        <f t="shared" si="31"/>
        <v>5.7481666666666662</v>
      </c>
      <c r="H219" s="12">
        <f t="shared" si="32"/>
        <v>173.96283333333335</v>
      </c>
      <c r="I219" s="17" cm="1">
        <f t="array" ref="I219">IF(MONTH(A219) = LOOKUP(YEAR(A219), YEAR('CNY Dates'!A$2:A$34), 'CNY Dates'!B$2:B$34), LOOKUP(YEAR(A219), YEAR('Hongbao demand'!B$4:B$35), 'Hongbao demand'!F$4:F$35)  - O218, 0)</f>
        <v>0</v>
      </c>
      <c r="J219" s="18">
        <f t="shared" si="33"/>
        <v>39.025782639853418</v>
      </c>
      <c r="K219" s="19">
        <v>22578.566666666698</v>
      </c>
      <c r="L219" s="12">
        <v>0.7762699999999999</v>
      </c>
      <c r="M219" s="14">
        <v>4.7499999999999994E-4</v>
      </c>
      <c r="N219" s="19">
        <f t="shared" ca="1" si="34"/>
        <v>150.59321736014655</v>
      </c>
      <c r="O219" s="12">
        <f t="shared" ca="1" si="36"/>
        <v>25.468807022848168</v>
      </c>
      <c r="P219" s="18">
        <f t="shared" ca="1" si="35"/>
        <v>0</v>
      </c>
      <c r="Q219" s="19">
        <f t="shared" ca="1" si="37"/>
        <v>0</v>
      </c>
      <c r="R219" s="12">
        <f t="shared" ca="1" si="37"/>
        <v>0</v>
      </c>
      <c r="S219" s="12">
        <f t="shared" ca="1" si="38"/>
        <v>2.5468807022848168</v>
      </c>
      <c r="T219" s="83">
        <f t="shared" ca="1" si="39"/>
        <v>2.5468807022848168</v>
      </c>
      <c r="W219" s="1"/>
      <c r="Z219" s="6"/>
    </row>
    <row r="220" spans="1:26" x14ac:dyDescent="0.3">
      <c r="A220" s="11">
        <v>38991</v>
      </c>
      <c r="B220" s="94">
        <v>11124.19</v>
      </c>
      <c r="C220" s="97">
        <v>10516.31</v>
      </c>
      <c r="D220" s="109">
        <v>607.88</v>
      </c>
      <c r="E220" s="109">
        <v>60.39</v>
      </c>
      <c r="F220" s="16">
        <f t="shared" ca="1" si="30"/>
        <v>251.09434665746468</v>
      </c>
      <c r="G220" s="12">
        <f t="shared" si="31"/>
        <v>4.1055000000000001</v>
      </c>
      <c r="H220" s="12">
        <f t="shared" si="32"/>
        <v>177.21899999999999</v>
      </c>
      <c r="I220" s="17" cm="1">
        <f t="array" ref="I220">IF(MONTH(A220) = LOOKUP(YEAR(A220), YEAR('CNY Dates'!A$2:A$34), 'CNY Dates'!B$2:B$34), LOOKUP(YEAR(A220), YEAR('Hongbao demand'!B$4:B$35), 'Hongbao demand'!F$4:F$35)  - O219, 0)</f>
        <v>0</v>
      </c>
      <c r="J220" s="18">
        <f t="shared" si="33"/>
        <v>69.769846657464683</v>
      </c>
      <c r="K220" s="19">
        <v>23406.133333333299</v>
      </c>
      <c r="L220" s="12">
        <v>0.7793000000000001</v>
      </c>
      <c r="M220" s="14">
        <v>4.7499999999999994E-4</v>
      </c>
      <c r="N220" s="19">
        <f t="shared" ca="1" si="34"/>
        <v>-190.70434665746467</v>
      </c>
      <c r="O220" s="12">
        <f t="shared" ca="1" si="36"/>
        <v>25.256566964324431</v>
      </c>
      <c r="P220" s="18">
        <f t="shared" ca="1" si="35"/>
        <v>0</v>
      </c>
      <c r="Q220" s="19">
        <f t="shared" ca="1" si="37"/>
        <v>0</v>
      </c>
      <c r="R220" s="12">
        <f t="shared" ca="1" si="37"/>
        <v>0</v>
      </c>
      <c r="S220" s="12">
        <f t="shared" ca="1" si="38"/>
        <v>2.5256566964324434</v>
      </c>
      <c r="T220" s="83">
        <f t="shared" ca="1" si="39"/>
        <v>2.5256566964324434</v>
      </c>
      <c r="W220" s="1"/>
      <c r="Z220" s="6"/>
    </row>
    <row r="221" spans="1:26" x14ac:dyDescent="0.3">
      <c r="A221" s="11">
        <v>39022</v>
      </c>
      <c r="B221" s="94">
        <v>11123.28</v>
      </c>
      <c r="C221" s="97">
        <v>10593.66</v>
      </c>
      <c r="D221" s="109">
        <v>529.62</v>
      </c>
      <c r="E221" s="109">
        <v>252.62</v>
      </c>
      <c r="F221" s="16">
        <f t="shared" ca="1" si="30"/>
        <v>180.33749999999998</v>
      </c>
      <c r="G221" s="12">
        <f t="shared" si="31"/>
        <v>5.065666666666667</v>
      </c>
      <c r="H221" s="12">
        <f t="shared" si="32"/>
        <v>175.27183333333332</v>
      </c>
      <c r="I221" s="17" cm="1">
        <f t="array" ref="I221">IF(MONTH(A221) = LOOKUP(YEAR(A221), YEAR('CNY Dates'!A$2:A$34), 'CNY Dates'!B$2:B$34), LOOKUP(YEAR(A221), YEAR('Hongbao demand'!B$4:B$35), 'Hongbao demand'!F$4:F$35)  - O220, 0)</f>
        <v>0</v>
      </c>
      <c r="J221" s="18">
        <f t="shared" si="33"/>
        <v>0</v>
      </c>
      <c r="K221" s="19">
        <v>23406.133333333299</v>
      </c>
      <c r="L221" s="12">
        <v>0.7793000000000001</v>
      </c>
      <c r="M221" s="14">
        <v>4.7499999999999994E-4</v>
      </c>
      <c r="N221" s="19">
        <f t="shared" ca="1" si="34"/>
        <v>72.282500000000027</v>
      </c>
      <c r="O221" s="12">
        <f t="shared" ca="1" si="36"/>
        <v>25.046095572955061</v>
      </c>
      <c r="P221" s="18">
        <f t="shared" ca="1" si="35"/>
        <v>0</v>
      </c>
      <c r="Q221" s="19">
        <f t="shared" ca="1" si="37"/>
        <v>0</v>
      </c>
      <c r="R221" s="12">
        <f t="shared" ca="1" si="37"/>
        <v>0</v>
      </c>
      <c r="S221" s="12">
        <f t="shared" ca="1" si="38"/>
        <v>2.5046095572955061</v>
      </c>
      <c r="T221" s="83">
        <f t="shared" ca="1" si="39"/>
        <v>2.5046095572955061</v>
      </c>
      <c r="W221" s="1"/>
      <c r="Z221" s="6"/>
    </row>
    <row r="222" spans="1:26" x14ac:dyDescent="0.3">
      <c r="A222" s="11">
        <v>39052</v>
      </c>
      <c r="B222" s="94">
        <v>11605.37</v>
      </c>
      <c r="C222" s="97">
        <v>10720.5</v>
      </c>
      <c r="D222" s="109">
        <v>884.87</v>
      </c>
      <c r="E222" s="109">
        <v>303.39999999999998</v>
      </c>
      <c r="F222" s="16">
        <f t="shared" ca="1" si="30"/>
        <v>174.47538952117543</v>
      </c>
      <c r="G222" s="12">
        <f t="shared" si="31"/>
        <v>4.4135</v>
      </c>
      <c r="H222" s="12">
        <f t="shared" si="32"/>
        <v>176.56100000000001</v>
      </c>
      <c r="I222" s="17" cm="1">
        <f t="array" ref="I222">IF(MONTH(A222) = LOOKUP(YEAR(A222), YEAR('CNY Dates'!A$2:A$34), 'CNY Dates'!B$2:B$34), LOOKUP(YEAR(A222), YEAR('Hongbao demand'!B$4:B$35), 'Hongbao demand'!F$4:F$35)  - O221, 0)</f>
        <v>0</v>
      </c>
      <c r="J222" s="18">
        <f t="shared" si="33"/>
        <v>-6.4991104788245702</v>
      </c>
      <c r="K222" s="19">
        <v>23406.133333333299</v>
      </c>
      <c r="L222" s="12">
        <v>0.78161000000000003</v>
      </c>
      <c r="M222" s="14">
        <v>4.7499999999999994E-4</v>
      </c>
      <c r="N222" s="19">
        <f t="shared" ca="1" si="34"/>
        <v>128.92461047882455</v>
      </c>
      <c r="O222" s="12">
        <f t="shared" ca="1" si="36"/>
        <v>24.837378109847101</v>
      </c>
      <c r="P222" s="18">
        <f t="shared" ca="1" si="35"/>
        <v>0</v>
      </c>
      <c r="Q222" s="19">
        <f t="shared" ca="1" si="37"/>
        <v>0</v>
      </c>
      <c r="R222" s="12">
        <f t="shared" ca="1" si="37"/>
        <v>0</v>
      </c>
      <c r="S222" s="12">
        <f t="shared" ca="1" si="38"/>
        <v>2.4837378109847101</v>
      </c>
      <c r="T222" s="83">
        <f t="shared" ca="1" si="39"/>
        <v>2.4837378109847101</v>
      </c>
      <c r="W222" s="1"/>
      <c r="Z222" s="6"/>
    </row>
    <row r="223" spans="1:26" x14ac:dyDescent="0.3">
      <c r="A223" s="11">
        <v>39083</v>
      </c>
      <c r="B223" s="94">
        <v>11602.15</v>
      </c>
      <c r="C223" s="97">
        <v>10667.93</v>
      </c>
      <c r="D223" s="109">
        <v>934.22</v>
      </c>
      <c r="E223" s="109">
        <v>126.1</v>
      </c>
      <c r="F223" s="16">
        <f t="shared" ca="1" si="30"/>
        <v>199.54759319239668</v>
      </c>
      <c r="G223" s="12">
        <f t="shared" si="31"/>
        <v>7.3739166666666671</v>
      </c>
      <c r="H223" s="12">
        <f t="shared" si="32"/>
        <v>178.67500000000001</v>
      </c>
      <c r="I223" s="17" cm="1">
        <f t="array" ref="I223">IF(MONTH(A223) = LOOKUP(YEAR(A223), YEAR('CNY Dates'!A$2:A$34), 'CNY Dates'!B$2:B$34), LOOKUP(YEAR(A223), YEAR('Hongbao demand'!B$4:B$35), 'Hongbao demand'!F$4:F$35)  - O222, 0)</f>
        <v>0</v>
      </c>
      <c r="J223" s="18">
        <f t="shared" si="33"/>
        <v>13.498676525730005</v>
      </c>
      <c r="K223" s="19">
        <v>23173.933333333302</v>
      </c>
      <c r="L223" s="12">
        <v>0.76903999999999995</v>
      </c>
      <c r="M223" s="14">
        <v>4.7499999999999994E-4</v>
      </c>
      <c r="N223" s="19">
        <f t="shared" ca="1" si="34"/>
        <v>-73.447593192396681</v>
      </c>
      <c r="O223" s="12">
        <f t="shared" ca="1" si="36"/>
        <v>24.630399958931708</v>
      </c>
      <c r="P223" s="18">
        <f t="shared" ca="1" si="35"/>
        <v>0</v>
      </c>
      <c r="Q223" s="19">
        <f t="shared" ca="1" si="37"/>
        <v>0</v>
      </c>
      <c r="R223" s="12">
        <f t="shared" ca="1" si="37"/>
        <v>0</v>
      </c>
      <c r="S223" s="12">
        <f t="shared" ca="1" si="38"/>
        <v>2.4630399958931708</v>
      </c>
      <c r="T223" s="83">
        <f t="shared" ca="1" si="39"/>
        <v>2.4630399958931708</v>
      </c>
      <c r="W223" s="1"/>
      <c r="Z223" s="6"/>
    </row>
    <row r="224" spans="1:26" x14ac:dyDescent="0.3">
      <c r="A224" s="11">
        <v>39114</v>
      </c>
      <c r="B224" s="94">
        <v>13007.47</v>
      </c>
      <c r="C224" s="97">
        <v>10764.6</v>
      </c>
      <c r="D224" s="109">
        <v>2242.87</v>
      </c>
      <c r="E224" s="109">
        <v>274.47000000000003</v>
      </c>
      <c r="F224" s="16">
        <f t="shared" ca="1" si="30"/>
        <v>155.2140360230652</v>
      </c>
      <c r="G224" s="12">
        <f t="shared" si="31"/>
        <v>7.785166666666667</v>
      </c>
      <c r="H224" s="12">
        <f t="shared" si="32"/>
        <v>177.79883333333333</v>
      </c>
      <c r="I224" s="17" cm="1">
        <f t="array" aca="1" ref="I224" ca="1">IF(MONTH(A224) = LOOKUP(YEAR(A224), YEAR('CNY Dates'!A$2:A$34), 'CNY Dates'!B$2:B$34), LOOKUP(YEAR(A224), YEAR('Hongbao demand'!B$4:B$35), 'Hongbao demand'!F$4:F$35)  - O223, 0)</f>
        <v>-14.147774315061048</v>
      </c>
      <c r="J224" s="18">
        <f t="shared" si="33"/>
        <v>-16.222189661873742</v>
      </c>
      <c r="K224" s="19">
        <v>23173.933333333302</v>
      </c>
      <c r="L224" s="12">
        <v>0.77478999999999998</v>
      </c>
      <c r="M224" s="14">
        <v>4.7499999999999994E-4</v>
      </c>
      <c r="N224" s="19">
        <f t="shared" ca="1" si="34"/>
        <v>119.25596397693482</v>
      </c>
      <c r="O224" s="12">
        <f t="shared" ca="1" si="36"/>
        <v>23.851192795386964</v>
      </c>
      <c r="P224" s="18">
        <f t="shared" ca="1" si="35"/>
        <v>1285.6659639769346</v>
      </c>
      <c r="Q224" s="19">
        <f t="shared" ca="1" si="37"/>
        <v>192.84989459654017</v>
      </c>
      <c r="R224" s="12">
        <f t="shared" ca="1" si="37"/>
        <v>257.13319279538695</v>
      </c>
      <c r="S224" s="12">
        <f t="shared" ca="1" si="38"/>
        <v>2.3851192795386966</v>
      </c>
      <c r="T224" s="83">
        <f t="shared" ca="1" si="39"/>
        <v>452.36820667146583</v>
      </c>
      <c r="W224" s="1"/>
      <c r="Z224" s="6"/>
    </row>
    <row r="225" spans="1:26" x14ac:dyDescent="0.3">
      <c r="A225" s="11">
        <v>39142</v>
      </c>
      <c r="B225" s="94">
        <v>11618.32</v>
      </c>
      <c r="C225" s="97">
        <v>10863.02</v>
      </c>
      <c r="D225" s="109">
        <v>755.3</v>
      </c>
      <c r="E225" s="109">
        <v>277.83</v>
      </c>
      <c r="F225" s="16">
        <f t="shared" ca="1" si="30"/>
        <v>238.10721535191544</v>
      </c>
      <c r="G225" s="12">
        <f t="shared" si="31"/>
        <v>18.690583333333333</v>
      </c>
      <c r="H225" s="12">
        <f t="shared" si="32"/>
        <v>179.41</v>
      </c>
      <c r="I225" s="17" cm="1">
        <f t="array" ref="I225">IF(MONTH(A225) = LOOKUP(YEAR(A225), YEAR('CNY Dates'!A$2:A$34), 'CNY Dates'!B$2:B$34), LOOKUP(YEAR(A225), YEAR('Hongbao demand'!B$4:B$35), 'Hongbao demand'!F$4:F$35)  - O224, 0)</f>
        <v>0</v>
      </c>
      <c r="J225" s="18">
        <f t="shared" si="33"/>
        <v>40.006632018582103</v>
      </c>
      <c r="K225" s="19">
        <v>23173.933333333302</v>
      </c>
      <c r="L225" s="12">
        <v>0.7743000000000001</v>
      </c>
      <c r="M225" s="14">
        <v>4.6666666666666672E-4</v>
      </c>
      <c r="N225" s="19">
        <f t="shared" ca="1" si="34"/>
        <v>39.722784648084541</v>
      </c>
      <c r="O225" s="12">
        <f t="shared" ca="1" si="36"/>
        <v>23.652432855425406</v>
      </c>
      <c r="P225" s="18">
        <f t="shared" ca="1" si="35"/>
        <v>0</v>
      </c>
      <c r="Q225" s="19">
        <f t="shared" ca="1" si="37"/>
        <v>0</v>
      </c>
      <c r="R225" s="12">
        <f t="shared" ca="1" si="37"/>
        <v>0</v>
      </c>
      <c r="S225" s="12">
        <f t="shared" ca="1" si="38"/>
        <v>2.3652432855425407</v>
      </c>
      <c r="T225" s="83">
        <f t="shared" ca="1" si="39"/>
        <v>2.3652432855425407</v>
      </c>
      <c r="W225" s="1"/>
      <c r="Z225" s="6"/>
    </row>
    <row r="226" spans="1:26" x14ac:dyDescent="0.3">
      <c r="A226" s="11">
        <v>39173</v>
      </c>
      <c r="B226" s="94">
        <v>11616.43</v>
      </c>
      <c r="C226" s="97">
        <v>11029.55</v>
      </c>
      <c r="D226" s="109">
        <v>586.88</v>
      </c>
      <c r="E226" s="109">
        <v>347.58</v>
      </c>
      <c r="F226" s="16">
        <f t="shared" ca="1" si="30"/>
        <v>365.84186512959309</v>
      </c>
      <c r="G226" s="12">
        <f t="shared" si="31"/>
        <v>6.2941666666666665</v>
      </c>
      <c r="H226" s="12">
        <f t="shared" si="32"/>
        <v>181.05033333333333</v>
      </c>
      <c r="I226" s="17" cm="1">
        <f t="array" ref="I226">IF(MONTH(A226) = LOOKUP(YEAR(A226), YEAR('CNY Dates'!A$2:A$34), 'CNY Dates'!B$2:B$34), LOOKUP(YEAR(A226), YEAR('Hongbao demand'!B$4:B$35), 'Hongbao demand'!F$4:F$35)  - O225, 0)</f>
        <v>0</v>
      </c>
      <c r="J226" s="18">
        <f t="shared" si="33"/>
        <v>178.49736512959308</v>
      </c>
      <c r="K226" s="19">
        <v>23922.799999999999</v>
      </c>
      <c r="L226" s="12">
        <v>0.78025000000000011</v>
      </c>
      <c r="M226" s="14">
        <v>4.4166666666666665E-4</v>
      </c>
      <c r="N226" s="19">
        <f t="shared" ca="1" si="34"/>
        <v>-18.261865129593104</v>
      </c>
      <c r="O226" s="12">
        <f t="shared" ca="1" si="36"/>
        <v>23.455329248296859</v>
      </c>
      <c r="P226" s="18">
        <f t="shared" ca="1" si="35"/>
        <v>0</v>
      </c>
      <c r="Q226" s="19">
        <f t="shared" ca="1" si="37"/>
        <v>0</v>
      </c>
      <c r="R226" s="12">
        <f t="shared" ca="1" si="37"/>
        <v>0</v>
      </c>
      <c r="S226" s="12">
        <f t="shared" ca="1" si="38"/>
        <v>2.3455329248296861</v>
      </c>
      <c r="T226" s="83">
        <f t="shared" ca="1" si="39"/>
        <v>2.3455329248296861</v>
      </c>
      <c r="W226" s="1"/>
      <c r="Z226" s="6"/>
    </row>
    <row r="227" spans="1:26" x14ac:dyDescent="0.3">
      <c r="A227" s="11">
        <v>39203</v>
      </c>
      <c r="B227" s="94">
        <v>11613.56</v>
      </c>
      <c r="C227" s="97">
        <v>11141.76</v>
      </c>
      <c r="D227" s="109">
        <v>471.8</v>
      </c>
      <c r="E227" s="109">
        <v>296.04000000000002</v>
      </c>
      <c r="F227" s="16">
        <f t="shared" ca="1" si="30"/>
        <v>217.74368449988151</v>
      </c>
      <c r="G227" s="12">
        <f t="shared" si="31"/>
        <v>4.8906666666666663</v>
      </c>
      <c r="H227" s="12">
        <f t="shared" si="32"/>
        <v>183.82583333333332</v>
      </c>
      <c r="I227" s="17" cm="1">
        <f t="array" ref="I227">IF(MONTH(A227) = LOOKUP(YEAR(A227), YEAR('CNY Dates'!A$2:A$34), 'CNY Dates'!B$2:B$34), LOOKUP(YEAR(A227), YEAR('Hongbao demand'!B$4:B$35), 'Hongbao demand'!F$4:F$35)  - O226, 0)</f>
        <v>0</v>
      </c>
      <c r="J227" s="18">
        <f t="shared" si="33"/>
        <v>29.027184499881521</v>
      </c>
      <c r="K227" s="19">
        <v>23922.799999999999</v>
      </c>
      <c r="L227" s="12">
        <v>0.78537000000000001</v>
      </c>
      <c r="M227" s="14">
        <v>4.3333333333333331E-4</v>
      </c>
      <c r="N227" s="19">
        <f t="shared" ca="1" si="34"/>
        <v>78.29631550011851</v>
      </c>
      <c r="O227" s="12">
        <f t="shared" ca="1" si="36"/>
        <v>23.259868171227719</v>
      </c>
      <c r="P227" s="18">
        <f t="shared" ca="1" si="35"/>
        <v>0</v>
      </c>
      <c r="Q227" s="19">
        <f t="shared" ca="1" si="37"/>
        <v>0</v>
      </c>
      <c r="R227" s="12">
        <f t="shared" ca="1" si="37"/>
        <v>0</v>
      </c>
      <c r="S227" s="12">
        <f t="shared" ca="1" si="38"/>
        <v>2.325986817122772</v>
      </c>
      <c r="T227" s="83">
        <f t="shared" ca="1" si="39"/>
        <v>2.325986817122772</v>
      </c>
      <c r="W227" s="1"/>
      <c r="Z227" s="6"/>
    </row>
    <row r="228" spans="1:26" x14ac:dyDescent="0.3">
      <c r="A228" s="11">
        <v>39234</v>
      </c>
      <c r="B228" s="94">
        <v>12103.49</v>
      </c>
      <c r="C228" s="97">
        <v>11323.69</v>
      </c>
      <c r="D228" s="109">
        <v>779.8</v>
      </c>
      <c r="E228" s="109">
        <v>367.63</v>
      </c>
      <c r="F228" s="16">
        <f t="shared" ca="1" si="30"/>
        <v>239.54236683366747</v>
      </c>
      <c r="G228" s="12">
        <f t="shared" si="31"/>
        <v>3.9316666666666666</v>
      </c>
      <c r="H228" s="12">
        <f t="shared" si="32"/>
        <v>185.696</v>
      </c>
      <c r="I228" s="17" cm="1">
        <f t="array" ref="I228">IF(MONTH(A228) = LOOKUP(YEAR(A228), YEAR('CNY Dates'!A$2:A$34), 'CNY Dates'!B$2:B$34), LOOKUP(YEAR(A228), YEAR('Hongbao demand'!B$4:B$35), 'Hongbao demand'!F$4:F$35)  - O227, 0)</f>
        <v>0</v>
      </c>
      <c r="J228" s="18">
        <f t="shared" si="33"/>
        <v>49.914700167000817</v>
      </c>
      <c r="K228" s="19">
        <v>23922.799999999999</v>
      </c>
      <c r="L228" s="12">
        <v>0.78383999999999998</v>
      </c>
      <c r="M228" s="14">
        <v>4.2500000000000003E-4</v>
      </c>
      <c r="N228" s="19">
        <f t="shared" ca="1" si="34"/>
        <v>128.08763316633252</v>
      </c>
      <c r="O228" s="12">
        <f t="shared" ca="1" si="36"/>
        <v>23.066035936467486</v>
      </c>
      <c r="P228" s="18">
        <f t="shared" ca="1" si="35"/>
        <v>0</v>
      </c>
      <c r="Q228" s="19">
        <f t="shared" ca="1" si="37"/>
        <v>0</v>
      </c>
      <c r="R228" s="12">
        <f t="shared" ca="1" si="37"/>
        <v>0</v>
      </c>
      <c r="S228" s="12">
        <f t="shared" ca="1" si="38"/>
        <v>2.3066035936467486</v>
      </c>
      <c r="T228" s="83">
        <f t="shared" ca="1" si="39"/>
        <v>2.3066035936467486</v>
      </c>
      <c r="W228" s="1"/>
      <c r="Z228" s="6"/>
    </row>
    <row r="229" spans="1:26" x14ac:dyDescent="0.3">
      <c r="A229" s="11">
        <v>39264</v>
      </c>
      <c r="B229" s="94">
        <v>12101.25</v>
      </c>
      <c r="C229" s="97">
        <v>11323.34</v>
      </c>
      <c r="D229" s="109">
        <v>777.91</v>
      </c>
      <c r="E229" s="109">
        <v>188.38</v>
      </c>
      <c r="F229" s="16">
        <f t="shared" ca="1" si="30"/>
        <v>258.86947840352758</v>
      </c>
      <c r="G229" s="12">
        <f t="shared" si="31"/>
        <v>6.4983333333333331</v>
      </c>
      <c r="H229" s="12">
        <f t="shared" si="32"/>
        <v>188.72816666666668</v>
      </c>
      <c r="I229" s="17" cm="1">
        <f t="array" ref="I229">IF(MONTH(A229) = LOOKUP(YEAR(A229), YEAR('CNY Dates'!A$2:A$34), 'CNY Dates'!B$2:B$34), LOOKUP(YEAR(A229), YEAR('Hongbao demand'!B$4:B$35), 'Hongbao demand'!F$4:F$35)  - O228, 0)</f>
        <v>0</v>
      </c>
      <c r="J229" s="18">
        <f t="shared" si="33"/>
        <v>63.642978403527565</v>
      </c>
      <c r="K229" s="19">
        <v>25055.8</v>
      </c>
      <c r="L229" s="12">
        <v>0.79957999999999996</v>
      </c>
      <c r="M229" s="14">
        <v>4.2500000000000003E-4</v>
      </c>
      <c r="N229" s="19">
        <f t="shared" ca="1" si="34"/>
        <v>-70.489478403527585</v>
      </c>
      <c r="O229" s="12">
        <f t="shared" ca="1" si="36"/>
        <v>22.873818970330259</v>
      </c>
      <c r="P229" s="18">
        <f t="shared" ca="1" si="35"/>
        <v>0</v>
      </c>
      <c r="Q229" s="19">
        <f t="shared" ca="1" si="37"/>
        <v>0</v>
      </c>
      <c r="R229" s="12">
        <f t="shared" ca="1" si="37"/>
        <v>0</v>
      </c>
      <c r="S229" s="12">
        <f t="shared" ca="1" si="38"/>
        <v>2.287381897033026</v>
      </c>
      <c r="T229" s="83">
        <f t="shared" ca="1" si="39"/>
        <v>2.287381897033026</v>
      </c>
      <c r="W229" s="1"/>
      <c r="Z229" s="6"/>
    </row>
    <row r="230" spans="1:26" x14ac:dyDescent="0.3">
      <c r="A230" s="11">
        <v>39295</v>
      </c>
      <c r="B230" s="94">
        <v>12097.33</v>
      </c>
      <c r="C230" s="97">
        <v>11368</v>
      </c>
      <c r="D230" s="109">
        <v>729.33</v>
      </c>
      <c r="E230" s="109">
        <v>233.38</v>
      </c>
      <c r="F230" s="16">
        <f t="shared" ca="1" si="30"/>
        <v>135.52958756081583</v>
      </c>
      <c r="G230" s="12">
        <f t="shared" si="31"/>
        <v>6.4825833333333334</v>
      </c>
      <c r="H230" s="12">
        <f t="shared" si="32"/>
        <v>188.72233333333332</v>
      </c>
      <c r="I230" s="17" cm="1">
        <f t="array" ref="I230">IF(MONTH(A230) = LOOKUP(YEAR(A230), YEAR('CNY Dates'!A$2:A$34), 'CNY Dates'!B$2:B$34), LOOKUP(YEAR(A230), YEAR('Hongbao demand'!B$4:B$35), 'Hongbao demand'!F$4:F$35)  - O229, 0)</f>
        <v>0</v>
      </c>
      <c r="J230" s="18">
        <f t="shared" si="33"/>
        <v>-59.675329105850828</v>
      </c>
      <c r="K230" s="19">
        <v>25055.8</v>
      </c>
      <c r="L230" s="12">
        <v>0.8037399999999999</v>
      </c>
      <c r="M230" s="14">
        <v>4.3333333333333331E-4</v>
      </c>
      <c r="N230" s="19">
        <f t="shared" ca="1" si="34"/>
        <v>97.850412439184169</v>
      </c>
      <c r="O230" s="12">
        <f t="shared" ca="1" si="36"/>
        <v>22.683203812244173</v>
      </c>
      <c r="P230" s="18">
        <f t="shared" ca="1" si="35"/>
        <v>0</v>
      </c>
      <c r="Q230" s="19">
        <f t="shared" ca="1" si="37"/>
        <v>0</v>
      </c>
      <c r="R230" s="12">
        <f t="shared" ca="1" si="37"/>
        <v>0</v>
      </c>
      <c r="S230" s="12">
        <f t="shared" ca="1" si="38"/>
        <v>2.2683203812244175</v>
      </c>
      <c r="T230" s="83">
        <f t="shared" ca="1" si="39"/>
        <v>2.2683203812244175</v>
      </c>
      <c r="W230" s="1"/>
      <c r="Z230" s="6"/>
    </row>
    <row r="231" spans="1:26" x14ac:dyDescent="0.3">
      <c r="A231" s="11">
        <v>39326</v>
      </c>
      <c r="B231" s="94">
        <v>12094.39</v>
      </c>
      <c r="C231" s="97">
        <v>11524.38</v>
      </c>
      <c r="D231" s="109">
        <v>570.01</v>
      </c>
      <c r="E231" s="109">
        <v>345.85</v>
      </c>
      <c r="F231" s="16">
        <f t="shared" ca="1" si="30"/>
        <v>162.2781381321667</v>
      </c>
      <c r="G231" s="12">
        <f t="shared" si="31"/>
        <v>6.07775</v>
      </c>
      <c r="H231" s="12">
        <f t="shared" si="32"/>
        <v>189.46666666666667</v>
      </c>
      <c r="I231" s="17" cm="1">
        <f t="array" ref="I231">IF(MONTH(A231) = LOOKUP(YEAR(A231), YEAR('CNY Dates'!A$2:A$34), 'CNY Dates'!B$2:B$34), LOOKUP(YEAR(A231), YEAR('Hongbao demand'!B$4:B$35), 'Hongbao demand'!F$4:F$35)  - O230, 0)</f>
        <v>0</v>
      </c>
      <c r="J231" s="18">
        <f t="shared" si="33"/>
        <v>-33.266278534499989</v>
      </c>
      <c r="K231" s="19">
        <v>25055.8</v>
      </c>
      <c r="L231" s="12">
        <v>0.79962999999999995</v>
      </c>
      <c r="M231" s="14">
        <v>4.4166666666666665E-4</v>
      </c>
      <c r="N231" s="19">
        <f t="shared" ca="1" si="34"/>
        <v>183.57186186783332</v>
      </c>
      <c r="O231" s="12">
        <f t="shared" ca="1" si="36"/>
        <v>22.494177113808806</v>
      </c>
      <c r="P231" s="18">
        <f t="shared" ca="1" si="35"/>
        <v>0</v>
      </c>
      <c r="Q231" s="19">
        <f t="shared" ca="1" si="37"/>
        <v>0</v>
      </c>
      <c r="R231" s="12">
        <f t="shared" ca="1" si="37"/>
        <v>0</v>
      </c>
      <c r="S231" s="12">
        <f t="shared" ca="1" si="38"/>
        <v>2.2494177113808806</v>
      </c>
      <c r="T231" s="83">
        <f t="shared" ca="1" si="39"/>
        <v>2.2494177113808806</v>
      </c>
      <c r="W231" s="1"/>
      <c r="Z231" s="6"/>
    </row>
    <row r="232" spans="1:26" x14ac:dyDescent="0.3">
      <c r="A232" s="11">
        <v>39356</v>
      </c>
      <c r="B232" s="94">
        <v>12091.87</v>
      </c>
      <c r="C232" s="97">
        <v>11390.89</v>
      </c>
      <c r="D232" s="109">
        <v>700.98</v>
      </c>
      <c r="E232" s="109">
        <v>58.58</v>
      </c>
      <c r="F232" s="16">
        <f t="shared" ca="1" si="30"/>
        <v>246.20181100753928</v>
      </c>
      <c r="G232" s="12">
        <f t="shared" si="31"/>
        <v>4.7500833333333334</v>
      </c>
      <c r="H232" s="12">
        <f t="shared" si="32"/>
        <v>192.07299999999998</v>
      </c>
      <c r="I232" s="17" cm="1">
        <f t="array" ref="I232">IF(MONTH(A232) = LOOKUP(YEAR(A232), YEAR('CNY Dates'!A$2:A$34), 'CNY Dates'!B$2:B$34), LOOKUP(YEAR(A232), YEAR('Hongbao demand'!B$4:B$35), 'Hongbao demand'!F$4:F$35)  - O231, 0)</f>
        <v>0</v>
      </c>
      <c r="J232" s="18">
        <f t="shared" si="33"/>
        <v>49.378727674205983</v>
      </c>
      <c r="K232" s="19">
        <v>24954.133333333299</v>
      </c>
      <c r="L232" s="12">
        <v>0.81094999999999995</v>
      </c>
      <c r="M232" s="14">
        <v>4.2500000000000003E-4</v>
      </c>
      <c r="N232" s="19">
        <f t="shared" ca="1" si="34"/>
        <v>-187.62181100753929</v>
      </c>
      <c r="O232" s="12">
        <f t="shared" ca="1" si="36"/>
        <v>22.306725637860399</v>
      </c>
      <c r="P232" s="18">
        <f t="shared" ca="1" si="35"/>
        <v>0</v>
      </c>
      <c r="Q232" s="19">
        <f t="shared" ca="1" si="37"/>
        <v>0</v>
      </c>
      <c r="R232" s="12">
        <f t="shared" ca="1" si="37"/>
        <v>0</v>
      </c>
      <c r="S232" s="12">
        <f t="shared" ca="1" si="38"/>
        <v>2.2306725637860398</v>
      </c>
      <c r="T232" s="83">
        <f t="shared" ca="1" si="39"/>
        <v>2.2306725637860398</v>
      </c>
      <c r="W232" s="1"/>
      <c r="Z232" s="6"/>
    </row>
    <row r="233" spans="1:26" x14ac:dyDescent="0.3">
      <c r="A233" s="11">
        <v>39387</v>
      </c>
      <c r="B233" s="94">
        <v>12088.72</v>
      </c>
      <c r="C233" s="97">
        <v>11528.65</v>
      </c>
      <c r="D233" s="109">
        <v>560.07000000000005</v>
      </c>
      <c r="E233" s="109">
        <v>327.61</v>
      </c>
      <c r="F233" s="16">
        <f t="shared" ca="1" si="30"/>
        <v>176.97190927899322</v>
      </c>
      <c r="G233" s="12">
        <f t="shared" si="31"/>
        <v>5.8414999999999999</v>
      </c>
      <c r="H233" s="12">
        <f t="shared" si="32"/>
        <v>189.84816666666666</v>
      </c>
      <c r="I233" s="17" cm="1">
        <f t="array" ref="I233">IF(MONTH(A233) = LOOKUP(YEAR(A233), YEAR('CNY Dates'!A$2:A$34), 'CNY Dates'!B$2:B$34), LOOKUP(YEAR(A233), YEAR('Hongbao demand'!B$4:B$35), 'Hongbao demand'!F$4:F$35)  - O232, 0)</f>
        <v>0</v>
      </c>
      <c r="J233" s="18">
        <f t="shared" si="33"/>
        <v>-18.717757387673416</v>
      </c>
      <c r="K233" s="19">
        <v>24954.133333333299</v>
      </c>
      <c r="L233" s="12">
        <v>0.81715999999999989</v>
      </c>
      <c r="M233" s="14">
        <v>4.2500000000000003E-4</v>
      </c>
      <c r="N233" s="19">
        <f t="shared" ca="1" si="34"/>
        <v>150.63809072100679</v>
      </c>
      <c r="O233" s="12">
        <f t="shared" ca="1" si="36"/>
        <v>22.120836257544898</v>
      </c>
      <c r="P233" s="18">
        <f t="shared" ca="1" si="35"/>
        <v>0</v>
      </c>
      <c r="Q233" s="19">
        <f t="shared" ca="1" si="37"/>
        <v>0</v>
      </c>
      <c r="R233" s="12">
        <f t="shared" ca="1" si="37"/>
        <v>0</v>
      </c>
      <c r="S233" s="12">
        <f t="shared" ca="1" si="38"/>
        <v>2.2120836257544898</v>
      </c>
      <c r="T233" s="83">
        <f t="shared" ca="1" si="39"/>
        <v>2.2120836257544898</v>
      </c>
      <c r="W233" s="1"/>
      <c r="Z233" s="6"/>
    </row>
    <row r="234" spans="1:26" x14ac:dyDescent="0.3">
      <c r="A234" s="11">
        <v>39417</v>
      </c>
      <c r="B234" s="94">
        <v>12435.01</v>
      </c>
      <c r="C234" s="97">
        <v>11700.15</v>
      </c>
      <c r="D234" s="109">
        <v>734.86</v>
      </c>
      <c r="E234" s="109">
        <v>363.64</v>
      </c>
      <c r="F234" s="16">
        <f t="shared" ca="1" si="30"/>
        <v>213.83422397770863</v>
      </c>
      <c r="G234" s="12">
        <f t="shared" si="31"/>
        <v>4.6672500000000001</v>
      </c>
      <c r="H234" s="12">
        <f t="shared" si="32"/>
        <v>192.14416666666665</v>
      </c>
      <c r="I234" s="17" cm="1">
        <f t="array" ref="I234">IF(MONTH(A234) = LOOKUP(YEAR(A234), YEAR('CNY Dates'!A$2:A$34), 'CNY Dates'!B$2:B$34), LOOKUP(YEAR(A234), YEAR('Hongbao demand'!B$4:B$35), 'Hongbao demand'!F$4:F$35)  - O233, 0)</f>
        <v>0</v>
      </c>
      <c r="J234" s="18">
        <f t="shared" si="33"/>
        <v>17.022807311041976</v>
      </c>
      <c r="K234" s="19">
        <v>24954.133333333299</v>
      </c>
      <c r="L234" s="12">
        <v>0.81147000000000002</v>
      </c>
      <c r="M234" s="14">
        <v>4.2500000000000003E-4</v>
      </c>
      <c r="N234" s="19">
        <f t="shared" ca="1" si="34"/>
        <v>149.80577602229135</v>
      </c>
      <c r="O234" s="12">
        <f t="shared" ca="1" si="36"/>
        <v>21.936495955398691</v>
      </c>
      <c r="P234" s="18">
        <f t="shared" ca="1" si="35"/>
        <v>0</v>
      </c>
      <c r="Q234" s="19">
        <f t="shared" ca="1" si="37"/>
        <v>0</v>
      </c>
      <c r="R234" s="12">
        <f t="shared" ca="1" si="37"/>
        <v>0</v>
      </c>
      <c r="S234" s="12">
        <f t="shared" ca="1" si="38"/>
        <v>2.1936495955398692</v>
      </c>
      <c r="T234" s="83">
        <f t="shared" ca="1" si="39"/>
        <v>2.1936495955398692</v>
      </c>
      <c r="W234" s="1"/>
      <c r="Z234" s="6"/>
    </row>
    <row r="235" spans="1:26" x14ac:dyDescent="0.3">
      <c r="A235" s="11">
        <v>39448</v>
      </c>
      <c r="B235" s="94">
        <v>13835.5</v>
      </c>
      <c r="C235" s="97">
        <v>11770.85</v>
      </c>
      <c r="D235" s="109">
        <v>2064.65</v>
      </c>
      <c r="E235" s="109">
        <v>265.7</v>
      </c>
      <c r="F235" s="16">
        <f t="shared" ca="1" si="30"/>
        <v>337.62357837893319</v>
      </c>
      <c r="G235" s="12">
        <f t="shared" si="31"/>
        <v>6.1238333333333337</v>
      </c>
      <c r="H235" s="12">
        <f t="shared" si="32"/>
        <v>195.0025</v>
      </c>
      <c r="I235" s="17" cm="1">
        <f t="array" ref="I235">IF(MONTH(A235) = LOOKUP(YEAR(A235), YEAR('CNY Dates'!A$2:A$34), 'CNY Dates'!B$2:B$34), LOOKUP(YEAR(A235), YEAR('Hongbao demand'!B$4:B$35), 'Hongbao demand'!F$4:F$35)  - O234, 0)</f>
        <v>0</v>
      </c>
      <c r="J235" s="18">
        <f t="shared" si="33"/>
        <v>136.49724504559987</v>
      </c>
      <c r="K235" s="19">
        <v>25065.5</v>
      </c>
      <c r="L235" s="12">
        <v>0.82001999999999997</v>
      </c>
      <c r="M235" s="14">
        <v>3.9999999999999996E-4</v>
      </c>
      <c r="N235" s="19">
        <f t="shared" ca="1" si="34"/>
        <v>-71.9235783789332</v>
      </c>
      <c r="O235" s="12">
        <f t="shared" ca="1" si="36"/>
        <v>21.753691822437034</v>
      </c>
      <c r="P235" s="18">
        <f t="shared" ca="1" si="35"/>
        <v>815.64142162106691</v>
      </c>
      <c r="Q235" s="19">
        <f t="shared" ca="1" si="37"/>
        <v>122.34621324316004</v>
      </c>
      <c r="R235" s="12">
        <f t="shared" ca="1" si="37"/>
        <v>163.12828432421338</v>
      </c>
      <c r="S235" s="12">
        <f t="shared" ca="1" si="38"/>
        <v>2.1753691822437036</v>
      </c>
      <c r="T235" s="83">
        <f t="shared" ca="1" si="39"/>
        <v>287.6498667496171</v>
      </c>
      <c r="W235" s="1"/>
      <c r="Z235" s="6"/>
    </row>
    <row r="236" spans="1:26" x14ac:dyDescent="0.3">
      <c r="A236" s="11">
        <v>39479</v>
      </c>
      <c r="B236" s="94">
        <v>13833.19</v>
      </c>
      <c r="C236" s="97">
        <v>11930.66</v>
      </c>
      <c r="D236" s="109">
        <v>1902.53</v>
      </c>
      <c r="E236" s="109">
        <v>355.99</v>
      </c>
      <c r="F236" s="16">
        <f t="shared" ca="1" si="30"/>
        <v>294.83090953709006</v>
      </c>
      <c r="G236" s="12">
        <f t="shared" si="31"/>
        <v>17.205416666666668</v>
      </c>
      <c r="H236" s="12">
        <f t="shared" si="32"/>
        <v>196.18083333333334</v>
      </c>
      <c r="I236" s="17" cm="1">
        <f t="array" aca="1" ref="I236" ca="1">IF(MONTH(A236) = LOOKUP(YEAR(A236), YEAR('CNY Dates'!A$2:A$34), 'CNY Dates'!B$2:B$34), LOOKUP(YEAR(A236), YEAR('Hongbao demand'!B$4:B$35), 'Hongbao demand'!F$4:F$35)  - O235, 0)</f>
        <v>-10.730207429166088</v>
      </c>
      <c r="J236" s="18">
        <f t="shared" si="33"/>
        <v>92.174866966256147</v>
      </c>
      <c r="K236" s="19">
        <v>25065.5</v>
      </c>
      <c r="L236" s="12">
        <v>0.82558000000000009</v>
      </c>
      <c r="M236" s="14">
        <v>3.8333333333333334E-4</v>
      </c>
      <c r="N236" s="19">
        <f t="shared" ca="1" si="34"/>
        <v>61.159090462909944</v>
      </c>
      <c r="O236" s="12">
        <f t="shared" ca="1" si="36"/>
        <v>12.231818092581989</v>
      </c>
      <c r="P236" s="18">
        <f t="shared" ca="1" si="35"/>
        <v>770.62309046290989</v>
      </c>
      <c r="Q236" s="19">
        <f t="shared" ca="1" si="37"/>
        <v>115.59346356943648</v>
      </c>
      <c r="R236" s="12">
        <f t="shared" ca="1" si="37"/>
        <v>154.12461809258198</v>
      </c>
      <c r="S236" s="12">
        <f t="shared" ca="1" si="38"/>
        <v>1.223181809258199</v>
      </c>
      <c r="T236" s="83">
        <f t="shared" ca="1" si="39"/>
        <v>270.94126347127667</v>
      </c>
      <c r="W236" s="1"/>
      <c r="Z236" s="6"/>
    </row>
    <row r="237" spans="1:26" x14ac:dyDescent="0.3">
      <c r="A237" s="11">
        <v>39508</v>
      </c>
      <c r="B237" s="94">
        <v>12814.13</v>
      </c>
      <c r="C237" s="97">
        <v>12130.3</v>
      </c>
      <c r="D237" s="109">
        <v>683.83</v>
      </c>
      <c r="E237" s="109">
        <v>398.48</v>
      </c>
      <c r="F237" s="16">
        <f t="shared" ca="1" si="30"/>
        <v>454.25001511805385</v>
      </c>
      <c r="G237" s="12">
        <f t="shared" si="31"/>
        <v>15.854416666666667</v>
      </c>
      <c r="H237" s="12">
        <f t="shared" si="32"/>
        <v>198.84433333333334</v>
      </c>
      <c r="I237" s="17" cm="1">
        <f t="array" ref="I237">IF(MONTH(A237) = LOOKUP(YEAR(A237), YEAR('CNY Dates'!A$2:A$34), 'CNY Dates'!B$2:B$34), LOOKUP(YEAR(A237), YEAR('Hongbao demand'!B$4:B$35), 'Hongbao demand'!F$4:F$35)  - O236, 0)</f>
        <v>0</v>
      </c>
      <c r="J237" s="18">
        <f t="shared" si="33"/>
        <v>239.55126511805383</v>
      </c>
      <c r="K237" s="19">
        <v>25065.5</v>
      </c>
      <c r="L237" s="12">
        <v>0.82632000000000005</v>
      </c>
      <c r="M237" s="14">
        <v>3.5E-4</v>
      </c>
      <c r="N237" s="19">
        <f t="shared" ca="1" si="34"/>
        <v>-55.770015118053834</v>
      </c>
      <c r="O237" s="12">
        <f t="shared" ca="1" si="36"/>
        <v>12.129886275143805</v>
      </c>
      <c r="P237" s="18">
        <f t="shared" ca="1" si="35"/>
        <v>0</v>
      </c>
      <c r="Q237" s="19">
        <f t="shared" ca="1" si="37"/>
        <v>0</v>
      </c>
      <c r="R237" s="12">
        <f t="shared" ca="1" si="37"/>
        <v>0</v>
      </c>
      <c r="S237" s="12">
        <f t="shared" ca="1" si="38"/>
        <v>1.2129886275143806</v>
      </c>
      <c r="T237" s="83">
        <f t="shared" ca="1" si="39"/>
        <v>1.2129886275143806</v>
      </c>
      <c r="W237" s="1"/>
      <c r="Z237" s="6"/>
    </row>
    <row r="238" spans="1:26" x14ac:dyDescent="0.3">
      <c r="A238" s="11">
        <v>39539</v>
      </c>
      <c r="B238" s="94">
        <v>12812.38</v>
      </c>
      <c r="C238" s="97">
        <v>12094.67</v>
      </c>
      <c r="D238" s="109">
        <v>717.71</v>
      </c>
      <c r="E238" s="109">
        <v>166.54</v>
      </c>
      <c r="F238" s="16">
        <f t="shared" ca="1" si="30"/>
        <v>192.50416885203381</v>
      </c>
      <c r="G238" s="12">
        <f t="shared" si="31"/>
        <v>5.6985833333333336</v>
      </c>
      <c r="H238" s="12">
        <f t="shared" si="32"/>
        <v>202.17166666666665</v>
      </c>
      <c r="I238" s="17" cm="1">
        <f t="array" ref="I238">IF(MONTH(A238) = LOOKUP(YEAR(A238), YEAR('CNY Dates'!A$2:A$34), 'CNY Dates'!B$2:B$34), LOOKUP(YEAR(A238), YEAR('Hongbao demand'!B$4:B$35), 'Hongbao demand'!F$4:F$35)  - O237, 0)</f>
        <v>0</v>
      </c>
      <c r="J238" s="18">
        <f t="shared" si="33"/>
        <v>-15.366081147966177</v>
      </c>
      <c r="K238" s="19">
        <v>24715.9</v>
      </c>
      <c r="L238" s="12">
        <v>0.83933000000000002</v>
      </c>
      <c r="M238" s="14">
        <v>3.4166666666666661E-4</v>
      </c>
      <c r="N238" s="19">
        <f t="shared" ca="1" si="34"/>
        <v>-25.964168852033822</v>
      </c>
      <c r="O238" s="12">
        <f t="shared" ca="1" si="36"/>
        <v>12.028803889517606</v>
      </c>
      <c r="P238" s="18">
        <f t="shared" ca="1" si="35"/>
        <v>0</v>
      </c>
      <c r="Q238" s="19">
        <f t="shared" ca="1" si="37"/>
        <v>0</v>
      </c>
      <c r="R238" s="12">
        <f t="shared" ca="1" si="37"/>
        <v>0</v>
      </c>
      <c r="S238" s="12">
        <f t="shared" ca="1" si="38"/>
        <v>1.2028803889517607</v>
      </c>
      <c r="T238" s="83">
        <f t="shared" ca="1" si="39"/>
        <v>1.2028803889517607</v>
      </c>
      <c r="W238" s="1"/>
      <c r="Z238" s="6"/>
    </row>
    <row r="239" spans="1:26" x14ac:dyDescent="0.3">
      <c r="A239" s="11">
        <v>39569</v>
      </c>
      <c r="B239" s="94">
        <v>13049.33</v>
      </c>
      <c r="C239" s="97">
        <v>12267.08</v>
      </c>
      <c r="D239" s="109">
        <v>782.25</v>
      </c>
      <c r="E239" s="109">
        <v>373.99</v>
      </c>
      <c r="F239" s="16">
        <f t="shared" ca="1" si="30"/>
        <v>124.33869603831207</v>
      </c>
      <c r="G239" s="12">
        <f t="shared" si="31"/>
        <v>5.9809166666666673</v>
      </c>
      <c r="H239" s="12">
        <f t="shared" si="32"/>
        <v>201.57783333333333</v>
      </c>
      <c r="I239" s="17" cm="1">
        <f t="array" ref="I239">IF(MONTH(A239) = LOOKUP(YEAR(A239), YEAR('CNY Dates'!A$2:A$34), 'CNY Dates'!B$2:B$34), LOOKUP(YEAR(A239), YEAR('Hongbao demand'!B$4:B$35), 'Hongbao demand'!F$4:F$35)  - O238, 0)</f>
        <v>0</v>
      </c>
      <c r="J239" s="18">
        <f t="shared" si="33"/>
        <v>-83.220053961687938</v>
      </c>
      <c r="K239" s="19">
        <v>24715.9</v>
      </c>
      <c r="L239" s="12">
        <v>0.84450999999999998</v>
      </c>
      <c r="M239" s="14">
        <v>3.5E-4</v>
      </c>
      <c r="N239" s="19">
        <f t="shared" ca="1" si="34"/>
        <v>249.65130396168794</v>
      </c>
      <c r="O239" s="12">
        <f t="shared" ca="1" si="36"/>
        <v>11.92856385710496</v>
      </c>
      <c r="P239" s="18">
        <f t="shared" ca="1" si="35"/>
        <v>0</v>
      </c>
      <c r="Q239" s="19">
        <f t="shared" ca="1" si="37"/>
        <v>0</v>
      </c>
      <c r="R239" s="12">
        <f t="shared" ca="1" si="37"/>
        <v>0</v>
      </c>
      <c r="S239" s="12">
        <f t="shared" ca="1" si="38"/>
        <v>1.1928563857104961</v>
      </c>
      <c r="T239" s="83">
        <f t="shared" ca="1" si="39"/>
        <v>1.1928563857104961</v>
      </c>
      <c r="W239" s="1"/>
      <c r="Z239" s="6"/>
    </row>
    <row r="240" spans="1:26" x14ac:dyDescent="0.3">
      <c r="A240" s="11">
        <v>39600</v>
      </c>
      <c r="B240" s="94">
        <v>13047.72</v>
      </c>
      <c r="C240" s="97">
        <v>12375.51</v>
      </c>
      <c r="D240" s="109">
        <v>672.21</v>
      </c>
      <c r="E240" s="109">
        <v>312.88</v>
      </c>
      <c r="F240" s="16">
        <f t="shared" ca="1" si="30"/>
        <v>282.10986785463695</v>
      </c>
      <c r="G240" s="12">
        <f t="shared" si="31"/>
        <v>6.5187499999999998</v>
      </c>
      <c r="H240" s="12">
        <f t="shared" si="32"/>
        <v>204.45133333333334</v>
      </c>
      <c r="I240" s="17" cm="1">
        <f t="array" ref="I240">IF(MONTH(A240) = LOOKUP(YEAR(A240), YEAR('CNY Dates'!A$2:A$34), 'CNY Dates'!B$2:B$34), LOOKUP(YEAR(A240), YEAR('Hongbao demand'!B$4:B$35), 'Hongbao demand'!F$4:F$35)  - O239, 0)</f>
        <v>0</v>
      </c>
      <c r="J240" s="18">
        <f t="shared" si="33"/>
        <v>71.139784521303596</v>
      </c>
      <c r="K240" s="19">
        <v>24715.9</v>
      </c>
      <c r="L240" s="12">
        <v>0.84296000000000004</v>
      </c>
      <c r="M240" s="14">
        <v>3.4166666666666661E-4</v>
      </c>
      <c r="N240" s="19">
        <f t="shared" ca="1" si="34"/>
        <v>30.77013214536305</v>
      </c>
      <c r="O240" s="12">
        <f t="shared" ca="1" si="36"/>
        <v>11.82915915829575</v>
      </c>
      <c r="P240" s="18">
        <f t="shared" ca="1" si="35"/>
        <v>0</v>
      </c>
      <c r="Q240" s="19">
        <f t="shared" ca="1" si="37"/>
        <v>0</v>
      </c>
      <c r="R240" s="12">
        <f t="shared" ca="1" si="37"/>
        <v>0</v>
      </c>
      <c r="S240" s="12">
        <f t="shared" ca="1" si="38"/>
        <v>1.182915915829575</v>
      </c>
      <c r="T240" s="83">
        <f t="shared" ca="1" si="39"/>
        <v>1.182915915829575</v>
      </c>
      <c r="W240" s="1"/>
      <c r="Z240" s="6"/>
    </row>
    <row r="241" spans="1:26" x14ac:dyDescent="0.3">
      <c r="A241" s="11">
        <v>39630</v>
      </c>
      <c r="B241" s="94">
        <v>13045.55</v>
      </c>
      <c r="C241" s="97">
        <v>12465.6</v>
      </c>
      <c r="D241" s="109">
        <v>579.95000000000005</v>
      </c>
      <c r="E241" s="109">
        <v>296.35000000000002</v>
      </c>
      <c r="F241" s="16">
        <f t="shared" ca="1" si="30"/>
        <v>286.8923120888503</v>
      </c>
      <c r="G241" s="12">
        <f t="shared" si="31"/>
        <v>5.60175</v>
      </c>
      <c r="H241" s="12">
        <f t="shared" si="32"/>
        <v>206.2585</v>
      </c>
      <c r="I241" s="17" cm="1">
        <f t="array" ref="I241">IF(MONTH(A241) = LOOKUP(YEAR(A241), YEAR('CNY Dates'!A$2:A$34), 'CNY Dates'!B$2:B$34), LOOKUP(YEAR(A241), YEAR('Hongbao demand'!B$4:B$35), 'Hongbao demand'!F$4:F$35)  - O240, 0)</f>
        <v>0</v>
      </c>
      <c r="J241" s="18">
        <f t="shared" si="33"/>
        <v>75.03206208885031</v>
      </c>
      <c r="K241" s="19">
        <v>25035.9666666667</v>
      </c>
      <c r="L241" s="12">
        <v>0.85215999999999992</v>
      </c>
      <c r="M241" s="14">
        <v>3.3333333333333332E-4</v>
      </c>
      <c r="N241" s="19">
        <f t="shared" ca="1" si="34"/>
        <v>9.4576879111497192</v>
      </c>
      <c r="O241" s="12">
        <f t="shared" ca="1" si="36"/>
        <v>11.730582831976619</v>
      </c>
      <c r="P241" s="18">
        <f t="shared" ca="1" si="35"/>
        <v>0</v>
      </c>
      <c r="Q241" s="19">
        <f t="shared" ca="1" si="37"/>
        <v>0</v>
      </c>
      <c r="R241" s="12">
        <f t="shared" ca="1" si="37"/>
        <v>0</v>
      </c>
      <c r="S241" s="12">
        <f t="shared" ca="1" si="38"/>
        <v>1.1730582831976619</v>
      </c>
      <c r="T241" s="83">
        <f t="shared" ca="1" si="39"/>
        <v>1.1730582831976619</v>
      </c>
      <c r="W241" s="1"/>
      <c r="Z241" s="6"/>
    </row>
    <row r="242" spans="1:26" x14ac:dyDescent="0.3">
      <c r="A242" s="11">
        <v>39661</v>
      </c>
      <c r="B242" s="94">
        <v>13390.3</v>
      </c>
      <c r="C242" s="97">
        <v>12733.28</v>
      </c>
      <c r="D242" s="109">
        <v>657.02</v>
      </c>
      <c r="E242" s="109">
        <v>475.44</v>
      </c>
      <c r="F242" s="16">
        <f t="shared" ca="1" si="30"/>
        <v>273.90091554089696</v>
      </c>
      <c r="G242" s="12">
        <f t="shared" si="31"/>
        <v>4.8329166666666667</v>
      </c>
      <c r="H242" s="12">
        <f t="shared" si="32"/>
        <v>207.76000000000002</v>
      </c>
      <c r="I242" s="17" cm="1">
        <f t="array" ref="I242">IF(MONTH(A242) = LOOKUP(YEAR(A242), YEAR('CNY Dates'!A$2:A$34), 'CNY Dates'!B$2:B$34), LOOKUP(YEAR(A242), YEAR('Hongbao demand'!B$4:B$35), 'Hongbao demand'!F$4:F$35)  - O241, 0)</f>
        <v>0</v>
      </c>
      <c r="J242" s="18">
        <f t="shared" si="33"/>
        <v>61.307998874230265</v>
      </c>
      <c r="K242" s="19">
        <v>25035.9666666667</v>
      </c>
      <c r="L242" s="12">
        <v>0.85543999999999998</v>
      </c>
      <c r="M242" s="14">
        <v>3.2500000000000004E-4</v>
      </c>
      <c r="N242" s="19">
        <f t="shared" ca="1" si="34"/>
        <v>201.53908445910304</v>
      </c>
      <c r="O242" s="12">
        <f t="shared" ca="1" si="36"/>
        <v>11.632827975043481</v>
      </c>
      <c r="P242" s="18">
        <f t="shared" ca="1" si="35"/>
        <v>0</v>
      </c>
      <c r="Q242" s="19">
        <f t="shared" ca="1" si="37"/>
        <v>0</v>
      </c>
      <c r="R242" s="12">
        <f t="shared" ca="1" si="37"/>
        <v>0</v>
      </c>
      <c r="S242" s="12">
        <f t="shared" ca="1" si="38"/>
        <v>1.1632827975043483</v>
      </c>
      <c r="T242" s="83">
        <f t="shared" ca="1" si="39"/>
        <v>1.1632827975043483</v>
      </c>
      <c r="W242" s="1"/>
      <c r="Z242" s="6"/>
    </row>
    <row r="243" spans="1:26" x14ac:dyDescent="0.3">
      <c r="A243" s="11">
        <v>39692</v>
      </c>
      <c r="B243" s="94">
        <v>14086.03</v>
      </c>
      <c r="C243" s="97">
        <v>12899.53</v>
      </c>
      <c r="D243" s="109">
        <v>1186.5</v>
      </c>
      <c r="E243" s="109">
        <v>378.47</v>
      </c>
      <c r="F243" s="16">
        <f t="shared" ca="1" si="30"/>
        <v>82.231671127905884</v>
      </c>
      <c r="G243" s="12">
        <f t="shared" si="31"/>
        <v>5.4751666666666665</v>
      </c>
      <c r="H243" s="12">
        <f t="shared" si="32"/>
        <v>212.22133333333335</v>
      </c>
      <c r="I243" s="17" cm="1">
        <f t="array" ref="I243">IF(MONTH(A243) = LOOKUP(YEAR(A243), YEAR('CNY Dates'!A$2:A$34), 'CNY Dates'!B$2:B$34), LOOKUP(YEAR(A243), YEAR('Hongbao demand'!B$4:B$35), 'Hongbao demand'!F$4:F$35)  - O242, 0)</f>
        <v>0</v>
      </c>
      <c r="J243" s="18">
        <f t="shared" si="33"/>
        <v>-135.46482887209413</v>
      </c>
      <c r="K243" s="19">
        <v>25035.9666666667</v>
      </c>
      <c r="L243" s="12">
        <v>0.85361000000000009</v>
      </c>
      <c r="M243" s="14">
        <v>3.4166666666666661E-4</v>
      </c>
      <c r="N243" s="19">
        <f t="shared" ca="1" si="34"/>
        <v>296.23832887209414</v>
      </c>
      <c r="O243" s="12">
        <f t="shared" ca="1" si="36"/>
        <v>11.535887741918119</v>
      </c>
      <c r="P243" s="18">
        <f t="shared" ca="1" si="35"/>
        <v>192.78532887209394</v>
      </c>
      <c r="Q243" s="19">
        <f t="shared" ca="1" si="37"/>
        <v>28.917799330814091</v>
      </c>
      <c r="R243" s="12">
        <f t="shared" ca="1" si="37"/>
        <v>38.557065774418788</v>
      </c>
      <c r="S243" s="12">
        <f t="shared" ca="1" si="38"/>
        <v>1.1535887741918118</v>
      </c>
      <c r="T243" s="83">
        <f t="shared" ca="1" si="39"/>
        <v>68.628453879424697</v>
      </c>
      <c r="W243" s="1"/>
      <c r="Z243" s="6"/>
    </row>
    <row r="244" spans="1:26" x14ac:dyDescent="0.3">
      <c r="A244" s="11">
        <v>39722</v>
      </c>
      <c r="B244" s="94">
        <v>14083.37</v>
      </c>
      <c r="C244" s="97">
        <v>13152.09</v>
      </c>
      <c r="D244" s="109">
        <v>931.28</v>
      </c>
      <c r="E244" s="109">
        <v>467.55</v>
      </c>
      <c r="F244" s="16">
        <f t="shared" ca="1" si="30"/>
        <v>-42.165196511915525</v>
      </c>
      <c r="G244" s="12">
        <f t="shared" si="31"/>
        <v>9.8874999999999993</v>
      </c>
      <c r="H244" s="12">
        <f t="shared" si="32"/>
        <v>214.99216666666669</v>
      </c>
      <c r="I244" s="17" cm="1">
        <f t="array" ref="I244">IF(MONTH(A244) = LOOKUP(YEAR(A244), YEAR('CNY Dates'!A$2:A$34), 'CNY Dates'!B$2:B$34), LOOKUP(YEAR(A244), YEAR('Hongbao demand'!B$4:B$35), 'Hongbao demand'!F$4:F$35)  - O243, 0)</f>
        <v>0</v>
      </c>
      <c r="J244" s="18">
        <f t="shared" si="33"/>
        <v>-267.0448631785822</v>
      </c>
      <c r="K244" s="19">
        <v>24098.866666666701</v>
      </c>
      <c r="L244" s="12">
        <v>0.86304000000000003</v>
      </c>
      <c r="M244" s="14">
        <v>3.5833333333333333E-4</v>
      </c>
      <c r="N244" s="19">
        <f t="shared" ca="1" si="34"/>
        <v>509.71519651191556</v>
      </c>
      <c r="O244" s="12">
        <f t="shared" ca="1" si="36"/>
        <v>11.439755344068802</v>
      </c>
      <c r="P244" s="18">
        <f t="shared" ca="1" si="35"/>
        <v>125.78619651191548</v>
      </c>
      <c r="Q244" s="19">
        <f t="shared" ca="1" si="37"/>
        <v>18.867929476787321</v>
      </c>
      <c r="R244" s="12">
        <f t="shared" ca="1" si="37"/>
        <v>25.157239302383097</v>
      </c>
      <c r="S244" s="12">
        <f t="shared" ca="1" si="38"/>
        <v>1.1439755344068803</v>
      </c>
      <c r="T244" s="83">
        <f t="shared" ca="1" si="39"/>
        <v>45.169144313577291</v>
      </c>
      <c r="W244" s="1"/>
      <c r="Z244" s="6"/>
    </row>
    <row r="245" spans="1:26" x14ac:dyDescent="0.3">
      <c r="A245" s="11">
        <v>39753</v>
      </c>
      <c r="B245" s="94">
        <v>14081.55</v>
      </c>
      <c r="C245" s="97">
        <v>13329.75</v>
      </c>
      <c r="D245" s="109">
        <v>751.8</v>
      </c>
      <c r="E245" s="109">
        <v>396.86</v>
      </c>
      <c r="F245" s="16">
        <f t="shared" ca="1" si="30"/>
        <v>358.5871610278939</v>
      </c>
      <c r="G245" s="12">
        <f t="shared" si="31"/>
        <v>7.7606666666666664</v>
      </c>
      <c r="H245" s="12">
        <f t="shared" si="32"/>
        <v>219.20150000000001</v>
      </c>
      <c r="I245" s="17" cm="1">
        <f t="array" ref="I245">IF(MONTH(A245) = LOOKUP(YEAR(A245), YEAR('CNY Dates'!A$2:A$34), 'CNY Dates'!B$2:B$34), LOOKUP(YEAR(A245), YEAR('Hongbao demand'!B$4:B$35), 'Hongbao demand'!F$4:F$35)  - O244, 0)</f>
        <v>0</v>
      </c>
      <c r="J245" s="18">
        <f t="shared" si="33"/>
        <v>131.62499436122721</v>
      </c>
      <c r="K245" s="19">
        <v>24098.866666666701</v>
      </c>
      <c r="L245" s="12">
        <v>0.86245000000000005</v>
      </c>
      <c r="M245" s="14">
        <v>3.4166666666666661E-4</v>
      </c>
      <c r="N245" s="19">
        <f t="shared" ca="1" si="34"/>
        <v>38.272838972106115</v>
      </c>
      <c r="O245" s="12">
        <f t="shared" ca="1" si="36"/>
        <v>11.344424049534895</v>
      </c>
      <c r="P245" s="18">
        <f t="shared" ca="1" si="35"/>
        <v>0</v>
      </c>
      <c r="Q245" s="19">
        <f t="shared" ca="1" si="37"/>
        <v>0</v>
      </c>
      <c r="R245" s="12">
        <f t="shared" ca="1" si="37"/>
        <v>0</v>
      </c>
      <c r="S245" s="12">
        <f t="shared" ca="1" si="38"/>
        <v>1.1344424049534896</v>
      </c>
      <c r="T245" s="83">
        <f t="shared" ca="1" si="39"/>
        <v>1.1344424049534896</v>
      </c>
      <c r="W245" s="1"/>
      <c r="Z245" s="6"/>
    </row>
    <row r="246" spans="1:26" x14ac:dyDescent="0.3">
      <c r="A246" s="11">
        <v>39783</v>
      </c>
      <c r="B246" s="94">
        <v>14678.09</v>
      </c>
      <c r="C246" s="97">
        <v>13342.91</v>
      </c>
      <c r="D246" s="109">
        <v>1335.18</v>
      </c>
      <c r="E246" s="109">
        <v>235.32</v>
      </c>
      <c r="F246" s="16">
        <f t="shared" ca="1" si="30"/>
        <v>391.20381235026605</v>
      </c>
      <c r="G246" s="12">
        <f t="shared" si="31"/>
        <v>6.2649999999999997</v>
      </c>
      <c r="H246" s="12">
        <f t="shared" si="32"/>
        <v>222.16249999999999</v>
      </c>
      <c r="I246" s="17" cm="1">
        <f t="array" ref="I246">IF(MONTH(A246) = LOOKUP(YEAR(A246), YEAR('CNY Dates'!A$2:A$34), 'CNY Dates'!B$2:B$34), LOOKUP(YEAR(A246), YEAR('Hongbao demand'!B$4:B$35), 'Hongbao demand'!F$4:F$35)  - O245, 0)</f>
        <v>0</v>
      </c>
      <c r="J246" s="18">
        <f t="shared" si="33"/>
        <v>162.7763123502661</v>
      </c>
      <c r="K246" s="19">
        <v>24098.866666666701</v>
      </c>
      <c r="L246" s="12">
        <v>0.85501000000000005</v>
      </c>
      <c r="M246" s="14">
        <v>3.2500000000000004E-4</v>
      </c>
      <c r="N246" s="19">
        <f t="shared" ca="1" si="34"/>
        <v>-155.88381235026606</v>
      </c>
      <c r="O246" s="12">
        <f t="shared" ca="1" si="36"/>
        <v>11.249887182455439</v>
      </c>
      <c r="P246" s="18">
        <f t="shared" ca="1" si="35"/>
        <v>0</v>
      </c>
      <c r="Q246" s="19">
        <f t="shared" ca="1" si="37"/>
        <v>0</v>
      </c>
      <c r="R246" s="12">
        <f t="shared" ca="1" si="37"/>
        <v>0</v>
      </c>
      <c r="S246" s="12">
        <f t="shared" ca="1" si="38"/>
        <v>1.1249887182455438</v>
      </c>
      <c r="T246" s="83">
        <f t="shared" ca="1" si="39"/>
        <v>1.1249887182455438</v>
      </c>
      <c r="W246" s="1"/>
      <c r="Z246" s="6"/>
    </row>
    <row r="247" spans="1:26" x14ac:dyDescent="0.3">
      <c r="A247" s="11">
        <v>39814</v>
      </c>
      <c r="B247" s="94">
        <v>15813.7</v>
      </c>
      <c r="C247" s="97">
        <v>13457.85</v>
      </c>
      <c r="D247" s="109">
        <v>2355.85</v>
      </c>
      <c r="E247" s="109">
        <v>337.32</v>
      </c>
      <c r="F247" s="16">
        <f t="shared" ca="1" si="30"/>
        <v>191.55698829887828</v>
      </c>
      <c r="G247" s="12">
        <f t="shared" si="31"/>
        <v>11.1265</v>
      </c>
      <c r="H247" s="12">
        <f t="shared" si="32"/>
        <v>222.38183333333333</v>
      </c>
      <c r="I247" s="17" cm="1">
        <f t="array" aca="1" ref="I247" ca="1">IF(MONTH(A247) = LOOKUP(YEAR(A247), YEAR('CNY Dates'!A$2:A$34), 'CNY Dates'!B$2:B$34), LOOKUP(YEAR(A247), YEAR('Hongbao demand'!B$4:B$35), 'Hongbao demand'!F$4:F$35)  - O246, 0)</f>
        <v>0.25148172928975754</v>
      </c>
      <c r="J247" s="18">
        <f t="shared" si="33"/>
        <v>-42.20282676374481</v>
      </c>
      <c r="K247" s="19">
        <v>23131.9</v>
      </c>
      <c r="L247" s="12">
        <v>0.85507</v>
      </c>
      <c r="M247" s="14">
        <v>3.1666666666666665E-4</v>
      </c>
      <c r="N247" s="19">
        <f t="shared" ca="1" si="34"/>
        <v>145.76301170112171</v>
      </c>
      <c r="O247" s="12">
        <f t="shared" ca="1" si="36"/>
        <v>29.152602340224345</v>
      </c>
      <c r="P247" s="18">
        <f t="shared" ca="1" si="35"/>
        <v>1155.8280117011216</v>
      </c>
      <c r="Q247" s="19">
        <f t="shared" ca="1" si="37"/>
        <v>173.37420175516823</v>
      </c>
      <c r="R247" s="12">
        <f t="shared" ca="1" si="37"/>
        <v>231.16560234022432</v>
      </c>
      <c r="S247" s="12">
        <f t="shared" ca="1" si="38"/>
        <v>2.9152602340224347</v>
      </c>
      <c r="T247" s="83">
        <f t="shared" ca="1" si="39"/>
        <v>407.45506432941499</v>
      </c>
      <c r="W247" s="1"/>
      <c r="Z247" s="6"/>
    </row>
    <row r="248" spans="1:26" x14ac:dyDescent="0.3">
      <c r="A248" s="11">
        <v>39845</v>
      </c>
      <c r="B248" s="94">
        <v>15813.77</v>
      </c>
      <c r="C248" s="97">
        <v>13568.59</v>
      </c>
      <c r="D248" s="109">
        <v>2245.1799999999998</v>
      </c>
      <c r="E248" s="109">
        <v>335.04</v>
      </c>
      <c r="F248" s="16">
        <f t="shared" ca="1" si="30"/>
        <v>327.67531485928146</v>
      </c>
      <c r="G248" s="12">
        <f t="shared" si="31"/>
        <v>19.632083333333334</v>
      </c>
      <c r="H248" s="12">
        <f t="shared" si="32"/>
        <v>224.29750000000001</v>
      </c>
      <c r="I248" s="17" cm="1">
        <f t="array" ref="I248">IF(MONTH(A248) = LOOKUP(YEAR(A248), YEAR('CNY Dates'!A$2:A$34), 'CNY Dates'!B$2:B$34), LOOKUP(YEAR(A248), YEAR('Hongbao demand'!B$4:B$35), 'Hongbao demand'!F$4:F$35)  - O247, 0)</f>
        <v>0</v>
      </c>
      <c r="J248" s="18">
        <f t="shared" si="33"/>
        <v>83.745731525948102</v>
      </c>
      <c r="K248" s="19">
        <v>23131.9</v>
      </c>
      <c r="L248" s="12">
        <v>0.85236000000000001</v>
      </c>
      <c r="M248" s="14">
        <v>3.0833333333333337E-4</v>
      </c>
      <c r="N248" s="19">
        <f t="shared" ca="1" si="34"/>
        <v>7.3646851407185636</v>
      </c>
      <c r="O248" s="12">
        <f t="shared" ca="1" si="36"/>
        <v>28.909663987389141</v>
      </c>
      <c r="P248" s="18">
        <f t="shared" ca="1" si="35"/>
        <v>895.68568514071808</v>
      </c>
      <c r="Q248" s="19">
        <f t="shared" ca="1" si="37"/>
        <v>134.35285277110771</v>
      </c>
      <c r="R248" s="12">
        <f t="shared" ca="1" si="37"/>
        <v>179.13713702814363</v>
      </c>
      <c r="S248" s="12">
        <f t="shared" ca="1" si="38"/>
        <v>2.8909663987389145</v>
      </c>
      <c r="T248" s="83">
        <f t="shared" ca="1" si="39"/>
        <v>316.38095619799026</v>
      </c>
      <c r="W248" s="1"/>
      <c r="Z248" s="6"/>
    </row>
    <row r="249" spans="1:26" x14ac:dyDescent="0.3">
      <c r="A249" s="11">
        <v>39873</v>
      </c>
      <c r="B249" s="94">
        <v>14736.4</v>
      </c>
      <c r="C249" s="97">
        <v>13608.56</v>
      </c>
      <c r="D249" s="109">
        <v>1127.8399999999999</v>
      </c>
      <c r="E249" s="109">
        <v>266.11</v>
      </c>
      <c r="F249" s="16">
        <f t="shared" ca="1" si="30"/>
        <v>685.43312284831791</v>
      </c>
      <c r="G249" s="12">
        <f t="shared" si="31"/>
        <v>18.709833333333332</v>
      </c>
      <c r="H249" s="12">
        <f t="shared" si="32"/>
        <v>226.14316666666667</v>
      </c>
      <c r="I249" s="17" cm="1">
        <f t="array" ref="I249">IF(MONTH(A249) = LOOKUP(YEAR(A249), YEAR('CNY Dates'!A$2:A$34), 'CNY Dates'!B$2:B$34), LOOKUP(YEAR(A249), YEAR('Hongbao demand'!B$4:B$35), 'Hongbao demand'!F$4:F$35)  - O248, 0)</f>
        <v>0</v>
      </c>
      <c r="J249" s="18">
        <f t="shared" si="33"/>
        <v>440.58012284831784</v>
      </c>
      <c r="K249" s="19">
        <v>23131.9</v>
      </c>
      <c r="L249" s="12">
        <v>0.8475100000000001</v>
      </c>
      <c r="M249" s="14">
        <v>2.6666666666666668E-4</v>
      </c>
      <c r="N249" s="19">
        <f t="shared" ca="1" si="34"/>
        <v>-419.32312284831789</v>
      </c>
      <c r="O249" s="12">
        <f t="shared" ca="1" si="36"/>
        <v>28.668750120827564</v>
      </c>
      <c r="P249" s="18">
        <f t="shared" ca="1" si="35"/>
        <v>0</v>
      </c>
      <c r="Q249" s="19">
        <f t="shared" ca="1" si="37"/>
        <v>0</v>
      </c>
      <c r="R249" s="12">
        <f t="shared" ca="1" si="37"/>
        <v>0</v>
      </c>
      <c r="S249" s="12">
        <f t="shared" ca="1" si="38"/>
        <v>2.8668750120827564</v>
      </c>
      <c r="T249" s="83">
        <f t="shared" ca="1" si="39"/>
        <v>2.8668750120827564</v>
      </c>
      <c r="W249" s="1"/>
      <c r="Z249" s="6"/>
    </row>
    <row r="250" spans="1:26" x14ac:dyDescent="0.3">
      <c r="A250" s="11">
        <v>39904</v>
      </c>
      <c r="B250" s="94">
        <v>14734.3</v>
      </c>
      <c r="C250" s="97">
        <v>13595.33</v>
      </c>
      <c r="D250" s="109">
        <v>1138.97</v>
      </c>
      <c r="E250" s="109">
        <v>213.58</v>
      </c>
      <c r="F250" s="16">
        <f t="shared" ca="1" si="30"/>
        <v>422.4116978032655</v>
      </c>
      <c r="G250" s="12">
        <f t="shared" si="31"/>
        <v>9.3986666666666654</v>
      </c>
      <c r="H250" s="12">
        <f t="shared" si="32"/>
        <v>226.80933333333331</v>
      </c>
      <c r="I250" s="17" cm="1">
        <f t="array" ref="I250">IF(MONTH(A250) = LOOKUP(YEAR(A250), YEAR('CNY Dates'!A$2:A$34), 'CNY Dates'!B$2:B$34), LOOKUP(YEAR(A250), YEAR('Hongbao demand'!B$4:B$35), 'Hongbao demand'!F$4:F$35)  - O249, 0)</f>
        <v>0</v>
      </c>
      <c r="J250" s="18">
        <f t="shared" si="33"/>
        <v>186.2036978032655</v>
      </c>
      <c r="K250" s="19">
        <v>24425.9666666667</v>
      </c>
      <c r="L250" s="12">
        <v>0.84206000000000003</v>
      </c>
      <c r="M250" s="14">
        <v>2.6666666666666668E-4</v>
      </c>
      <c r="N250" s="19">
        <f t="shared" ca="1" si="34"/>
        <v>-208.83169780326548</v>
      </c>
      <c r="O250" s="12">
        <f t="shared" ca="1" si="36"/>
        <v>28.429843869820669</v>
      </c>
      <c r="P250" s="18">
        <f t="shared" ca="1" si="35"/>
        <v>0</v>
      </c>
      <c r="Q250" s="19">
        <f t="shared" ca="1" si="37"/>
        <v>0</v>
      </c>
      <c r="R250" s="12">
        <f t="shared" ca="1" si="37"/>
        <v>0</v>
      </c>
      <c r="S250" s="12">
        <f t="shared" ca="1" si="38"/>
        <v>2.8429843869820672</v>
      </c>
      <c r="T250" s="83">
        <f t="shared" ca="1" si="39"/>
        <v>2.8429843869820672</v>
      </c>
      <c r="W250" s="1"/>
      <c r="Z250" s="6"/>
    </row>
    <row r="251" spans="1:26" x14ac:dyDescent="0.3">
      <c r="A251" s="11">
        <v>39934</v>
      </c>
      <c r="B251" s="94">
        <v>14732.97</v>
      </c>
      <c r="C251" s="97">
        <v>13670.37</v>
      </c>
      <c r="D251" s="109">
        <v>1062.5999999999999</v>
      </c>
      <c r="E251" s="109">
        <v>301.63</v>
      </c>
      <c r="F251" s="16">
        <f t="shared" ca="1" si="30"/>
        <v>219.4646584992978</v>
      </c>
      <c r="G251" s="12">
        <f t="shared" si="31"/>
        <v>9.4914166666666677</v>
      </c>
      <c r="H251" s="12">
        <f t="shared" si="32"/>
        <v>226.58883333333333</v>
      </c>
      <c r="I251" s="17" cm="1">
        <f t="array" ref="I251">IF(MONTH(A251) = LOOKUP(YEAR(A251), YEAR('CNY Dates'!A$2:A$34), 'CNY Dates'!B$2:B$34), LOOKUP(YEAR(A251), YEAR('Hongbao demand'!B$4:B$35), 'Hongbao demand'!F$4:F$35)  - O250, 0)</f>
        <v>0</v>
      </c>
      <c r="J251" s="18">
        <f t="shared" si="33"/>
        <v>-16.615591500702216</v>
      </c>
      <c r="K251" s="19">
        <v>24425.9666666667</v>
      </c>
      <c r="L251" s="12">
        <v>0.84656000000000009</v>
      </c>
      <c r="M251" s="14">
        <v>2.6666666666666668E-4</v>
      </c>
      <c r="N251" s="19">
        <f t="shared" ca="1" si="34"/>
        <v>82.165341500702198</v>
      </c>
      <c r="O251" s="12">
        <f t="shared" ca="1" si="36"/>
        <v>28.192928504238829</v>
      </c>
      <c r="P251" s="18">
        <f t="shared" ca="1" si="35"/>
        <v>0</v>
      </c>
      <c r="Q251" s="19">
        <f t="shared" ca="1" si="37"/>
        <v>0</v>
      </c>
      <c r="R251" s="12">
        <f t="shared" ca="1" si="37"/>
        <v>0</v>
      </c>
      <c r="S251" s="12">
        <f t="shared" ca="1" si="38"/>
        <v>2.8192928504238832</v>
      </c>
      <c r="T251" s="83">
        <f t="shared" ca="1" si="39"/>
        <v>2.8192928504238832</v>
      </c>
      <c r="W251" s="1"/>
      <c r="Z251" s="6"/>
    </row>
    <row r="252" spans="1:26" x14ac:dyDescent="0.3">
      <c r="A252" s="11">
        <v>39965</v>
      </c>
      <c r="B252" s="94">
        <v>14731.99</v>
      </c>
      <c r="C252" s="97">
        <v>13704.67</v>
      </c>
      <c r="D252" s="109">
        <v>1027.32</v>
      </c>
      <c r="E252" s="109">
        <v>262.14</v>
      </c>
      <c r="F252" s="16">
        <f t="shared" ca="1" si="30"/>
        <v>801.24843567246444</v>
      </c>
      <c r="G252" s="12">
        <f t="shared" si="31"/>
        <v>8.8549999999999986</v>
      </c>
      <c r="H252" s="12">
        <f t="shared" si="32"/>
        <v>227.83950000000002</v>
      </c>
      <c r="I252" s="17" cm="1">
        <f t="array" ref="I252">IF(MONTH(A252) = LOOKUP(YEAR(A252), YEAR('CNY Dates'!A$2:A$34), 'CNY Dates'!B$2:B$34), LOOKUP(YEAR(A252), YEAR('Hongbao demand'!B$4:B$35), 'Hongbao demand'!F$4:F$35)  - O251, 0)</f>
        <v>0</v>
      </c>
      <c r="J252" s="18">
        <f t="shared" si="33"/>
        <v>564.55393567246449</v>
      </c>
      <c r="K252" s="19">
        <v>24425.9666666667</v>
      </c>
      <c r="L252" s="12">
        <v>0.84282999999999997</v>
      </c>
      <c r="M252" s="14">
        <v>2.2500000000000002E-4</v>
      </c>
      <c r="N252" s="19">
        <f t="shared" ca="1" si="34"/>
        <v>-539.10843567246445</v>
      </c>
      <c r="O252" s="12">
        <f t="shared" ca="1" si="36"/>
        <v>27.957987433370175</v>
      </c>
      <c r="P252" s="18">
        <f t="shared" ca="1" si="35"/>
        <v>0</v>
      </c>
      <c r="Q252" s="19">
        <f t="shared" ca="1" si="37"/>
        <v>0</v>
      </c>
      <c r="R252" s="12">
        <f t="shared" ca="1" si="37"/>
        <v>0</v>
      </c>
      <c r="S252" s="12">
        <f t="shared" ca="1" si="38"/>
        <v>2.7957987433370177</v>
      </c>
      <c r="T252" s="83">
        <f t="shared" ca="1" si="39"/>
        <v>2.7957987433370177</v>
      </c>
      <c r="W252" s="1"/>
      <c r="Z252" s="6"/>
    </row>
    <row r="253" spans="1:26" x14ac:dyDescent="0.3">
      <c r="A253" s="11">
        <v>39995</v>
      </c>
      <c r="B253" s="94">
        <v>14728.77</v>
      </c>
      <c r="C253" s="97">
        <v>13787.13</v>
      </c>
      <c r="D253" s="109">
        <v>941.64</v>
      </c>
      <c r="E253" s="109">
        <v>310.87</v>
      </c>
      <c r="F253" s="16">
        <f t="shared" ca="1" si="30"/>
        <v>522.03122631034444</v>
      </c>
      <c r="G253" s="12">
        <f t="shared" si="31"/>
        <v>8.5609999999999999</v>
      </c>
      <c r="H253" s="12">
        <f t="shared" si="32"/>
        <v>228.41116666666667</v>
      </c>
      <c r="I253" s="17" cm="1">
        <f t="array" ref="I253">IF(MONTH(A253) = LOOKUP(YEAR(A253), YEAR('CNY Dates'!A$2:A$34), 'CNY Dates'!B$2:B$34), LOOKUP(YEAR(A253), YEAR('Hongbao demand'!B$4:B$35), 'Hongbao demand'!F$4:F$35)  - O252, 0)</f>
        <v>0</v>
      </c>
      <c r="J253" s="18">
        <f t="shared" si="33"/>
        <v>285.05905964367776</v>
      </c>
      <c r="K253" s="19">
        <v>25746.266666666699</v>
      </c>
      <c r="L253" s="12">
        <v>0.85002999999999995</v>
      </c>
      <c r="M253" s="14">
        <v>2.1666666666666666E-4</v>
      </c>
      <c r="N253" s="19">
        <f t="shared" ca="1" si="34"/>
        <v>-211.16122631034443</v>
      </c>
      <c r="O253" s="12">
        <f t="shared" ca="1" si="36"/>
        <v>27.725004204758758</v>
      </c>
      <c r="P253" s="18">
        <f t="shared" ca="1" si="35"/>
        <v>0</v>
      </c>
      <c r="Q253" s="19">
        <f t="shared" ca="1" si="37"/>
        <v>0</v>
      </c>
      <c r="R253" s="12">
        <f t="shared" ca="1" si="37"/>
        <v>0</v>
      </c>
      <c r="S253" s="12">
        <f t="shared" ca="1" si="38"/>
        <v>2.7725004204758759</v>
      </c>
      <c r="T253" s="83">
        <f t="shared" ca="1" si="39"/>
        <v>2.7725004204758759</v>
      </c>
      <c r="W253" s="1"/>
      <c r="Z253" s="6"/>
    </row>
    <row r="254" spans="1:26" x14ac:dyDescent="0.3">
      <c r="A254" s="11">
        <v>40026</v>
      </c>
      <c r="B254" s="94">
        <v>14727.3</v>
      </c>
      <c r="C254" s="97">
        <v>13935.88</v>
      </c>
      <c r="D254" s="109">
        <v>791.42</v>
      </c>
      <c r="E254" s="109">
        <v>378.54</v>
      </c>
      <c r="F254" s="16">
        <f t="shared" ca="1" si="30"/>
        <v>224.91329476808011</v>
      </c>
      <c r="G254" s="12">
        <f t="shared" si="31"/>
        <v>7.8469999999999995</v>
      </c>
      <c r="H254" s="12">
        <f t="shared" si="32"/>
        <v>229.78549999999998</v>
      </c>
      <c r="I254" s="17" cm="1">
        <f t="array" ref="I254">IF(MONTH(A254) = LOOKUP(YEAR(A254), YEAR('CNY Dates'!A$2:A$34), 'CNY Dates'!B$2:B$34), LOOKUP(YEAR(A254), YEAR('Hongbao demand'!B$4:B$35), 'Hongbao demand'!F$4:F$35)  - O253, 0)</f>
        <v>0</v>
      </c>
      <c r="J254" s="18">
        <f t="shared" si="33"/>
        <v>-12.719205231919883</v>
      </c>
      <c r="K254" s="19">
        <v>25746.266666666699</v>
      </c>
      <c r="L254" s="12">
        <v>0.85306999999999999</v>
      </c>
      <c r="M254" s="14">
        <v>2.1666666666666666E-4</v>
      </c>
      <c r="N254" s="19">
        <f t="shared" ca="1" si="34"/>
        <v>153.62670523191991</v>
      </c>
      <c r="O254" s="12">
        <f t="shared" ca="1" si="36"/>
        <v>27.493962503052437</v>
      </c>
      <c r="P254" s="18">
        <f t="shared" ca="1" si="35"/>
        <v>0</v>
      </c>
      <c r="Q254" s="19">
        <f t="shared" ca="1" si="37"/>
        <v>0</v>
      </c>
      <c r="R254" s="12">
        <f t="shared" ca="1" si="37"/>
        <v>0</v>
      </c>
      <c r="S254" s="12">
        <f t="shared" ca="1" si="38"/>
        <v>2.749396250305244</v>
      </c>
      <c r="T254" s="83">
        <f t="shared" ca="1" si="39"/>
        <v>2.749396250305244</v>
      </c>
      <c r="W254" s="1"/>
      <c r="Z254" s="6"/>
    </row>
    <row r="255" spans="1:26" x14ac:dyDescent="0.3">
      <c r="A255" s="11">
        <v>40057</v>
      </c>
      <c r="B255" s="94">
        <v>14725.97</v>
      </c>
      <c r="C255" s="97">
        <v>13945.75</v>
      </c>
      <c r="D255" s="109">
        <v>780.22</v>
      </c>
      <c r="E255" s="109">
        <v>242.13</v>
      </c>
      <c r="F255" s="16">
        <f t="shared" ca="1" si="30"/>
        <v>251.32544391760314</v>
      </c>
      <c r="G255" s="12">
        <f t="shared" si="31"/>
        <v>6.5951666666666666</v>
      </c>
      <c r="H255" s="12">
        <f t="shared" si="32"/>
        <v>232.26466666666664</v>
      </c>
      <c r="I255" s="17" cm="1">
        <f t="array" ref="I255">IF(MONTH(A255) = LOOKUP(YEAR(A255), YEAR('CNY Dates'!A$2:A$34), 'CNY Dates'!B$2:B$34), LOOKUP(YEAR(A255), YEAR('Hongbao demand'!B$4:B$35), 'Hongbao demand'!F$4:F$35)  - O254, 0)</f>
        <v>0</v>
      </c>
      <c r="J255" s="18">
        <f t="shared" si="33"/>
        <v>12.465610584269818</v>
      </c>
      <c r="K255" s="19">
        <v>25746.266666666699</v>
      </c>
      <c r="L255" s="12">
        <v>0.85007999999999995</v>
      </c>
      <c r="M255" s="14">
        <v>2.1666666666666666E-4</v>
      </c>
      <c r="N255" s="19">
        <f t="shared" ca="1" si="34"/>
        <v>-9.1954439176031428</v>
      </c>
      <c r="O255" s="12">
        <f t="shared" ca="1" si="36"/>
        <v>27.264846148860332</v>
      </c>
      <c r="P255" s="18">
        <f t="shared" ca="1" si="35"/>
        <v>0</v>
      </c>
      <c r="Q255" s="19">
        <f t="shared" ca="1" si="37"/>
        <v>0</v>
      </c>
      <c r="R255" s="12">
        <f t="shared" ca="1" si="37"/>
        <v>0</v>
      </c>
      <c r="S255" s="12">
        <f t="shared" ca="1" si="38"/>
        <v>2.7264846148860333</v>
      </c>
      <c r="T255" s="83">
        <f t="shared" ca="1" si="39"/>
        <v>2.7264846148860333</v>
      </c>
      <c r="W255" s="1"/>
      <c r="Z255" s="6"/>
    </row>
    <row r="256" spans="1:26" x14ac:dyDescent="0.3">
      <c r="A256" s="11">
        <v>40087</v>
      </c>
      <c r="B256" s="94">
        <v>14723.45</v>
      </c>
      <c r="C256" s="97">
        <v>14094.43</v>
      </c>
      <c r="D256" s="109">
        <v>629.02</v>
      </c>
      <c r="E256" s="109">
        <v>381.11</v>
      </c>
      <c r="F256" s="16">
        <f t="shared" ca="1" si="30"/>
        <v>357.54887588715218</v>
      </c>
      <c r="G256" s="12">
        <f t="shared" si="31"/>
        <v>6.5018333333333338</v>
      </c>
      <c r="H256" s="12">
        <f t="shared" si="32"/>
        <v>232.42916666666667</v>
      </c>
      <c r="I256" s="17" cm="1">
        <f t="array" ref="I256">IF(MONTH(A256) = LOOKUP(YEAR(A256), YEAR('CNY Dates'!A$2:A$34), 'CNY Dates'!B$2:B$34), LOOKUP(YEAR(A256), YEAR('Hongbao demand'!B$4:B$35), 'Hongbao demand'!F$4:F$35)  - O255, 0)</f>
        <v>0</v>
      </c>
      <c r="J256" s="18">
        <f t="shared" si="33"/>
        <v>118.61787588715217</v>
      </c>
      <c r="K256" s="19">
        <v>25738.666666666701</v>
      </c>
      <c r="L256" s="12">
        <v>0.85521000000000003</v>
      </c>
      <c r="M256" s="14">
        <v>2.0833333333333335E-4</v>
      </c>
      <c r="N256" s="19">
        <f t="shared" ca="1" si="34"/>
        <v>23.561124112847835</v>
      </c>
      <c r="O256" s="12">
        <f t="shared" ca="1" si="36"/>
        <v>27.037639097619831</v>
      </c>
      <c r="P256" s="18">
        <f t="shared" ca="1" si="35"/>
        <v>0</v>
      </c>
      <c r="Q256" s="19">
        <f t="shared" ca="1" si="37"/>
        <v>0</v>
      </c>
      <c r="R256" s="12">
        <f t="shared" ca="1" si="37"/>
        <v>0</v>
      </c>
      <c r="S256" s="12">
        <f t="shared" ca="1" si="38"/>
        <v>2.7037639097619834</v>
      </c>
      <c r="T256" s="83">
        <f t="shared" ca="1" si="39"/>
        <v>2.7037639097619834</v>
      </c>
      <c r="W256" s="1"/>
      <c r="Z256" s="6"/>
    </row>
    <row r="257" spans="1:26" x14ac:dyDescent="0.3">
      <c r="A257" s="11">
        <v>40118</v>
      </c>
      <c r="B257" s="94">
        <v>14722.26</v>
      </c>
      <c r="C257" s="97">
        <v>14179.97</v>
      </c>
      <c r="D257" s="109">
        <v>542.29</v>
      </c>
      <c r="E257" s="109">
        <v>320.45</v>
      </c>
      <c r="F257" s="16">
        <f t="shared" ca="1" si="30"/>
        <v>238.23649804533679</v>
      </c>
      <c r="G257" s="12">
        <f t="shared" si="31"/>
        <v>5.2418333333333331</v>
      </c>
      <c r="H257" s="12">
        <f t="shared" si="32"/>
        <v>234.90716666666668</v>
      </c>
      <c r="I257" s="17" cm="1">
        <f t="array" ref="I257">IF(MONTH(A257) = LOOKUP(YEAR(A257), YEAR('CNY Dates'!A$2:A$34), 'CNY Dates'!B$2:B$34), LOOKUP(YEAR(A257), YEAR('Hongbao demand'!B$4:B$35), 'Hongbao demand'!F$4:F$35)  - O256, 0)</f>
        <v>0</v>
      </c>
      <c r="J257" s="18">
        <f t="shared" si="33"/>
        <v>-1.9125019546632309</v>
      </c>
      <c r="K257" s="19">
        <v>25738.666666666701</v>
      </c>
      <c r="L257" s="12">
        <v>0.85565999999999998</v>
      </c>
      <c r="M257" s="14">
        <v>2.0833333333333335E-4</v>
      </c>
      <c r="N257" s="19">
        <f t="shared" ca="1" si="34"/>
        <v>82.213501954663201</v>
      </c>
      <c r="O257" s="12">
        <f t="shared" ca="1" si="36"/>
        <v>26.812325438473</v>
      </c>
      <c r="P257" s="18">
        <f t="shared" ca="1" si="35"/>
        <v>0</v>
      </c>
      <c r="Q257" s="19">
        <f t="shared" ca="1" si="37"/>
        <v>0</v>
      </c>
      <c r="R257" s="12">
        <f t="shared" ca="1" si="37"/>
        <v>0</v>
      </c>
      <c r="S257" s="12">
        <f t="shared" ca="1" si="38"/>
        <v>2.6812325438473001</v>
      </c>
      <c r="T257" s="83">
        <f t="shared" ca="1" si="39"/>
        <v>2.6812325438473001</v>
      </c>
      <c r="W257" s="1"/>
      <c r="Z257" s="6"/>
    </row>
    <row r="258" spans="1:26" x14ac:dyDescent="0.3">
      <c r="A258" s="11">
        <v>40148</v>
      </c>
      <c r="B258" s="94">
        <v>15506.19</v>
      </c>
      <c r="C258" s="97">
        <v>14208.67</v>
      </c>
      <c r="D258" s="109">
        <v>1297.52</v>
      </c>
      <c r="E258" s="109">
        <v>265.02999999999997</v>
      </c>
      <c r="F258" s="16">
        <f t="shared" ca="1" si="30"/>
        <v>262.74013992415888</v>
      </c>
      <c r="G258" s="12">
        <f t="shared" si="31"/>
        <v>4.5190833333333327</v>
      </c>
      <c r="H258" s="12">
        <f t="shared" si="32"/>
        <v>236.33283333333333</v>
      </c>
      <c r="I258" s="17" cm="1">
        <f t="array" ref="I258">IF(MONTH(A258) = LOOKUP(YEAR(A258), YEAR('CNY Dates'!A$2:A$34), 'CNY Dates'!B$2:B$34), LOOKUP(YEAR(A258), YEAR('Hongbao demand'!B$4:B$35), 'Hongbao demand'!F$4:F$35)  - O257, 0)</f>
        <v>0</v>
      </c>
      <c r="J258" s="18">
        <f t="shared" si="33"/>
        <v>21.888223257492236</v>
      </c>
      <c r="K258" s="19">
        <v>25738.666666666701</v>
      </c>
      <c r="L258" s="12">
        <v>0.85049999999999992</v>
      </c>
      <c r="M258" s="14">
        <v>2.0833333333333335E-4</v>
      </c>
      <c r="N258" s="19">
        <f t="shared" ca="1" si="34"/>
        <v>2.2898600758410907</v>
      </c>
      <c r="O258" s="12">
        <f t="shared" ca="1" si="36"/>
        <v>26.588889393152392</v>
      </c>
      <c r="P258" s="18">
        <f t="shared" ca="1" si="35"/>
        <v>0</v>
      </c>
      <c r="Q258" s="19">
        <f t="shared" ca="1" si="37"/>
        <v>0</v>
      </c>
      <c r="R258" s="12">
        <f t="shared" ca="1" si="37"/>
        <v>0</v>
      </c>
      <c r="S258" s="12">
        <f t="shared" ca="1" si="38"/>
        <v>2.6588889393152395</v>
      </c>
      <c r="T258" s="83">
        <f t="shared" ca="1" si="39"/>
        <v>2.6588889393152395</v>
      </c>
      <c r="W258" s="1"/>
      <c r="Z258" s="6"/>
    </row>
    <row r="259" spans="1:26" x14ac:dyDescent="0.3">
      <c r="A259" s="11">
        <v>40179</v>
      </c>
      <c r="B259" s="94">
        <v>15503.74</v>
      </c>
      <c r="C259" s="97">
        <v>14372.12</v>
      </c>
      <c r="D259" s="109">
        <v>1131.6199999999999</v>
      </c>
      <c r="E259" s="109">
        <v>400.26</v>
      </c>
      <c r="F259" s="16">
        <f t="shared" ca="1" si="30"/>
        <v>873.79348064885005</v>
      </c>
      <c r="G259" s="12">
        <f t="shared" si="31"/>
        <v>10.812666666666667</v>
      </c>
      <c r="H259" s="12">
        <f t="shared" si="32"/>
        <v>236.81116666666668</v>
      </c>
      <c r="I259" s="17" cm="1">
        <f t="array" ref="I259">IF(MONTH(A259) = LOOKUP(YEAR(A259), YEAR('CNY Dates'!A$2:A$34), 'CNY Dates'!B$2:B$34), LOOKUP(YEAR(A259), YEAR('Hongbao demand'!B$4:B$35), 'Hongbao demand'!F$4:F$35)  - O258, 0)</f>
        <v>0</v>
      </c>
      <c r="J259" s="18">
        <f t="shared" si="33"/>
        <v>626.16964731551673</v>
      </c>
      <c r="K259" s="19">
        <v>26899.5333333333</v>
      </c>
      <c r="L259" s="12">
        <v>0.85682000000000003</v>
      </c>
      <c r="M259" s="14">
        <v>1.8333333333333334E-4</v>
      </c>
      <c r="N259" s="19">
        <f t="shared" ca="1" si="34"/>
        <v>-473.53348064885006</v>
      </c>
      <c r="O259" s="12">
        <f t="shared" ca="1" si="36"/>
        <v>26.367315314876123</v>
      </c>
      <c r="P259" s="18">
        <f t="shared" ca="1" si="35"/>
        <v>0</v>
      </c>
      <c r="Q259" s="19">
        <f t="shared" ca="1" si="37"/>
        <v>0</v>
      </c>
      <c r="R259" s="12">
        <f t="shared" ca="1" si="37"/>
        <v>0</v>
      </c>
      <c r="S259" s="12">
        <f t="shared" ca="1" si="38"/>
        <v>2.6367315314876123</v>
      </c>
      <c r="T259" s="83">
        <f t="shared" ca="1" si="39"/>
        <v>2.6367315314876123</v>
      </c>
      <c r="W259" s="1"/>
      <c r="Z259" s="6"/>
    </row>
    <row r="260" spans="1:26" x14ac:dyDescent="0.3">
      <c r="A260" s="11">
        <v>40210</v>
      </c>
      <c r="B260" s="94">
        <v>17083.29</v>
      </c>
      <c r="C260" s="97">
        <v>14416.85</v>
      </c>
      <c r="D260" s="109">
        <v>2666.44</v>
      </c>
      <c r="E260" s="109">
        <v>284.27</v>
      </c>
      <c r="F260" s="16">
        <f t="shared" ca="1" si="30"/>
        <v>217.44240651839297</v>
      </c>
      <c r="G260" s="12">
        <f t="shared" si="31"/>
        <v>9.4301666666666666</v>
      </c>
      <c r="H260" s="12">
        <f t="shared" si="32"/>
        <v>239.53533333333334</v>
      </c>
      <c r="I260" s="17" cm="1">
        <f t="array" aca="1" ref="I260" ca="1">IF(MONTH(A260) = LOOKUP(YEAR(A260), YEAR('CNY Dates'!A$2:A$34), 'CNY Dates'!B$2:B$34), LOOKUP(YEAR(A260), YEAR('Hongbao demand'!B$4:B$35), 'Hongbao demand'!F$4:F$35)  - O259, 0)</f>
        <v>-14.571696313206276</v>
      </c>
      <c r="J260" s="18">
        <f t="shared" si="33"/>
        <v>-16.951397168400764</v>
      </c>
      <c r="K260" s="19">
        <v>26899.5333333333</v>
      </c>
      <c r="L260" s="12">
        <v>0.86048000000000002</v>
      </c>
      <c r="M260" s="14">
        <v>1.8333333333333334E-4</v>
      </c>
      <c r="N260" s="19">
        <f t="shared" ca="1" si="34"/>
        <v>66.827593481607011</v>
      </c>
      <c r="O260" s="12">
        <f t="shared" ca="1" si="36"/>
        <v>13.365518696321402</v>
      </c>
      <c r="P260" s="18">
        <f t="shared" ca="1" si="35"/>
        <v>1291.5825934816069</v>
      </c>
      <c r="Q260" s="19">
        <f t="shared" ca="1" si="37"/>
        <v>193.73738902224102</v>
      </c>
      <c r="R260" s="12">
        <f t="shared" ca="1" si="37"/>
        <v>258.3165186963214</v>
      </c>
      <c r="S260" s="12">
        <f t="shared" ca="1" si="38"/>
        <v>1.3365518696321403</v>
      </c>
      <c r="T260" s="83">
        <f t="shared" ca="1" si="39"/>
        <v>453.39045958819457</v>
      </c>
      <c r="W260" s="1"/>
      <c r="Z260" s="6"/>
    </row>
    <row r="261" spans="1:26" x14ac:dyDescent="0.3">
      <c r="A261" s="11">
        <v>40238</v>
      </c>
      <c r="B261" s="94">
        <v>15857.45</v>
      </c>
      <c r="C261" s="97">
        <v>14648.62</v>
      </c>
      <c r="D261" s="109">
        <v>1208.83</v>
      </c>
      <c r="E261" s="109">
        <v>472.05</v>
      </c>
      <c r="F261" s="16">
        <f t="shared" ca="1" si="30"/>
        <v>259.40734289180091</v>
      </c>
      <c r="G261" s="12">
        <f t="shared" si="31"/>
        <v>22.220333333333333</v>
      </c>
      <c r="H261" s="12">
        <f t="shared" si="32"/>
        <v>240.28083333333333</v>
      </c>
      <c r="I261" s="17" cm="1">
        <f t="array" ref="I261">IF(MONTH(A261) = LOOKUP(YEAR(A261), YEAR('CNY Dates'!A$2:A$34), 'CNY Dates'!B$2:B$34), LOOKUP(YEAR(A261), YEAR('Hongbao demand'!B$4:B$35), 'Hongbao demand'!F$4:F$35)  - O260, 0)</f>
        <v>0</v>
      </c>
      <c r="J261" s="18">
        <f t="shared" si="33"/>
        <v>-3.0938237748657791</v>
      </c>
      <c r="K261" s="19">
        <v>26899.5333333333</v>
      </c>
      <c r="L261" s="12">
        <v>0.86114999999999997</v>
      </c>
      <c r="M261" s="14">
        <v>1.8333333333333334E-4</v>
      </c>
      <c r="N261" s="19">
        <f t="shared" ca="1" si="34"/>
        <v>212.6426571081991</v>
      </c>
      <c r="O261" s="12">
        <f t="shared" ca="1" si="36"/>
        <v>13.254139373852057</v>
      </c>
      <c r="P261" s="18">
        <f t="shared" ca="1" si="35"/>
        <v>0</v>
      </c>
      <c r="Q261" s="19">
        <f t="shared" ca="1" si="37"/>
        <v>0</v>
      </c>
      <c r="R261" s="12">
        <f t="shared" ca="1" si="37"/>
        <v>0</v>
      </c>
      <c r="S261" s="12">
        <f t="shared" ca="1" si="38"/>
        <v>1.3254139373852059</v>
      </c>
      <c r="T261" s="83">
        <f t="shared" ca="1" si="39"/>
        <v>1.3254139373852059</v>
      </c>
      <c r="W261" s="1"/>
      <c r="Z261" s="6"/>
    </row>
    <row r="262" spans="1:26" x14ac:dyDescent="0.3">
      <c r="A262" s="11">
        <v>40269</v>
      </c>
      <c r="B262" s="94">
        <v>15855.28</v>
      </c>
      <c r="C262" s="97">
        <v>14820.33</v>
      </c>
      <c r="D262" s="109">
        <v>1034.95</v>
      </c>
      <c r="E262" s="109">
        <v>415.85</v>
      </c>
      <c r="F262" s="16">
        <f t="shared" ca="1" si="30"/>
        <v>520.11872527810124</v>
      </c>
      <c r="G262" s="12">
        <f t="shared" si="31"/>
        <v>10.073583333333334</v>
      </c>
      <c r="H262" s="12">
        <f t="shared" si="32"/>
        <v>244.14366666666669</v>
      </c>
      <c r="I262" s="17" cm="1">
        <f t="array" ref="I262">IF(MONTH(A262) = LOOKUP(YEAR(A262), YEAR('CNY Dates'!A$2:A$34), 'CNY Dates'!B$2:B$34), LOOKUP(YEAR(A262), YEAR('Hongbao demand'!B$4:B$35), 'Hongbao demand'!F$4:F$35)  - O261, 0)</f>
        <v>0</v>
      </c>
      <c r="J262" s="18">
        <f t="shared" si="33"/>
        <v>265.90147527810115</v>
      </c>
      <c r="K262" s="19">
        <v>28974.666666666701</v>
      </c>
      <c r="L262" s="12">
        <v>0.86900999999999995</v>
      </c>
      <c r="M262" s="14">
        <v>1.8333333333333334E-4</v>
      </c>
      <c r="N262" s="19">
        <f t="shared" ca="1" si="34"/>
        <v>-104.26872527810121</v>
      </c>
      <c r="O262" s="12">
        <f t="shared" ca="1" si="36"/>
        <v>13.143688212403289</v>
      </c>
      <c r="P262" s="18">
        <f t="shared" ca="1" si="35"/>
        <v>0</v>
      </c>
      <c r="Q262" s="19">
        <f t="shared" ca="1" si="37"/>
        <v>0</v>
      </c>
      <c r="R262" s="12">
        <f t="shared" ca="1" si="37"/>
        <v>0</v>
      </c>
      <c r="S262" s="12">
        <f t="shared" ca="1" si="38"/>
        <v>1.3143688212403291</v>
      </c>
      <c r="T262" s="83">
        <f t="shared" ca="1" si="39"/>
        <v>1.3143688212403291</v>
      </c>
      <c r="W262" s="1"/>
      <c r="Z262" s="6"/>
    </row>
    <row r="263" spans="1:26" x14ac:dyDescent="0.3">
      <c r="A263" s="11">
        <v>40299</v>
      </c>
      <c r="B263" s="94">
        <v>15853.32</v>
      </c>
      <c r="C263" s="97">
        <v>15010.31</v>
      </c>
      <c r="D263" s="109">
        <v>843.01</v>
      </c>
      <c r="E263" s="109">
        <v>436.99</v>
      </c>
      <c r="F263" s="16">
        <f t="shared" ca="1" si="30"/>
        <v>427.27945906171072</v>
      </c>
      <c r="G263" s="12">
        <f t="shared" si="31"/>
        <v>8.6245833333333337</v>
      </c>
      <c r="H263" s="12">
        <f t="shared" si="32"/>
        <v>247.00550000000001</v>
      </c>
      <c r="I263" s="17" cm="1">
        <f t="array" ref="I263">IF(MONTH(A263) = LOOKUP(YEAR(A263), YEAR('CNY Dates'!A$2:A$34), 'CNY Dates'!B$2:B$34), LOOKUP(YEAR(A263), YEAR('Hongbao demand'!B$4:B$35), 'Hongbao demand'!F$4:F$35)  - O262, 0)</f>
        <v>0</v>
      </c>
      <c r="J263" s="18">
        <f t="shared" si="33"/>
        <v>171.64937572837738</v>
      </c>
      <c r="K263" s="19">
        <v>28974.666666666701</v>
      </c>
      <c r="L263" s="12">
        <v>0.87402000000000002</v>
      </c>
      <c r="M263" s="14">
        <v>1.75E-4</v>
      </c>
      <c r="N263" s="19">
        <f t="shared" ca="1" si="34"/>
        <v>9.7105409382892844</v>
      </c>
      <c r="O263" s="12">
        <f t="shared" ca="1" si="36"/>
        <v>13.03415747729993</v>
      </c>
      <c r="P263" s="18">
        <f t="shared" ca="1" si="35"/>
        <v>0</v>
      </c>
      <c r="Q263" s="19">
        <f t="shared" ca="1" si="37"/>
        <v>0</v>
      </c>
      <c r="R263" s="12">
        <f t="shared" ca="1" si="37"/>
        <v>0</v>
      </c>
      <c r="S263" s="12">
        <f t="shared" ca="1" si="38"/>
        <v>1.303415747729993</v>
      </c>
      <c r="T263" s="83">
        <f t="shared" ca="1" si="39"/>
        <v>1.303415747729993</v>
      </c>
      <c r="W263" s="1"/>
      <c r="Z263" s="6"/>
    </row>
    <row r="264" spans="1:26" x14ac:dyDescent="0.3">
      <c r="A264" s="11">
        <v>40330</v>
      </c>
      <c r="B264" s="94">
        <v>15851.15</v>
      </c>
      <c r="C264" s="97">
        <v>15048.46</v>
      </c>
      <c r="D264" s="109">
        <v>802.69</v>
      </c>
      <c r="E264" s="109">
        <v>288.32</v>
      </c>
      <c r="F264" s="16">
        <f t="shared" ref="F264:F327" ca="1" si="40">SUM(G264:J264)-MIN(0, P263)</f>
        <v>297.73166631473867</v>
      </c>
      <c r="G264" s="12">
        <f t="shared" ref="G264:G327" si="41">D263/($I$1*12)</f>
        <v>7.0250833333333329</v>
      </c>
      <c r="H264" s="12">
        <f t="shared" ref="H264:H327" si="42">C263/($I$2*12)</f>
        <v>250.17183333333332</v>
      </c>
      <c r="I264" s="17" cm="1">
        <f t="array" ref="I264">IF(MONTH(A264) = LOOKUP(YEAR(A264), YEAR('CNY Dates'!A$2:A$34), 'CNY Dates'!B$2:B$34), LOOKUP(YEAR(A264), YEAR('Hongbao demand'!B$4:B$35), 'Hongbao demand'!F$4:F$35)  - O263, 0)</f>
        <v>0</v>
      </c>
      <c r="J264" s="18">
        <f t="shared" ref="J264:J327" si="43">(SQRT(K264/(2*L264*M264))-SQRT(K263/(2*L263*M263)))*L264</f>
        <v>40.534749648072044</v>
      </c>
      <c r="K264" s="19">
        <v>28974.666666666701</v>
      </c>
      <c r="L264" s="12">
        <v>0.86566999999999994</v>
      </c>
      <c r="M264" s="14">
        <v>1.75E-4</v>
      </c>
      <c r="N264" s="19">
        <f t="shared" ref="N264:N327" ca="1" si="44">E264-F264</f>
        <v>-9.4116663147386816</v>
      </c>
      <c r="O264" s="12">
        <f t="shared" ca="1" si="36"/>
        <v>12.925539498322429</v>
      </c>
      <c r="P264" s="18">
        <f t="shared" ref="P264:P327" ca="1" si="45">MAX(MIN(D264+N264 - D$1*C264, 0), D264+N264 - D$2*C264)</f>
        <v>0</v>
      </c>
      <c r="Q264" s="19">
        <f t="shared" ca="1" si="37"/>
        <v>0</v>
      </c>
      <c r="R264" s="12">
        <f t="shared" ca="1" si="37"/>
        <v>0</v>
      </c>
      <c r="S264" s="12">
        <f t="shared" ca="1" si="38"/>
        <v>1.2925539498322429</v>
      </c>
      <c r="T264" s="83">
        <f t="shared" ca="1" si="39"/>
        <v>1.2925539498322429</v>
      </c>
      <c r="W264" s="1"/>
      <c r="Z264" s="6"/>
    </row>
    <row r="265" spans="1:26" x14ac:dyDescent="0.3">
      <c r="A265" s="11">
        <v>40360</v>
      </c>
      <c r="B265" s="94">
        <v>16532.53</v>
      </c>
      <c r="C265" s="97">
        <v>15230.32</v>
      </c>
      <c r="D265" s="109">
        <v>1302.21</v>
      </c>
      <c r="E265" s="109">
        <v>432.67</v>
      </c>
      <c r="F265" s="16">
        <f t="shared" ca="1" si="40"/>
        <v>325.64689855414883</v>
      </c>
      <c r="G265" s="12">
        <f t="shared" si="41"/>
        <v>6.6890833333333335</v>
      </c>
      <c r="H265" s="12">
        <f t="shared" si="42"/>
        <v>250.80766666666665</v>
      </c>
      <c r="I265" s="17" cm="1">
        <f t="array" ref="I265">IF(MONTH(A265) = LOOKUP(YEAR(A265), YEAR('CNY Dates'!A$2:A$34), 'CNY Dates'!B$2:B$34), LOOKUP(YEAR(A265), YEAR('Hongbao demand'!B$4:B$35), 'Hongbao demand'!F$4:F$35)  - O264, 0)</f>
        <v>0</v>
      </c>
      <c r="J265" s="18">
        <f t="shared" si="43"/>
        <v>68.150148554148885</v>
      </c>
      <c r="K265" s="19">
        <v>28394.5</v>
      </c>
      <c r="L265" s="12">
        <v>0.87675999999999998</v>
      </c>
      <c r="M265" s="14">
        <v>1.6666666666666666E-4</v>
      </c>
      <c r="N265" s="19">
        <f t="shared" ca="1" si="44"/>
        <v>107.02310144585118</v>
      </c>
      <c r="O265" s="12">
        <f t="shared" ref="O265:O328" ca="1" si="46">MIN(IF(I265=0, O264*(I$1*12-1)/(I$1*12), MAX(O$5*N265, 0)), D$2*O$5*C264)</f>
        <v>12.817826669169742</v>
      </c>
      <c r="P265" s="18">
        <f t="shared" ca="1" si="45"/>
        <v>0</v>
      </c>
      <c r="Q265" s="19">
        <f t="shared" ref="Q265:R328" ca="1" si="47">MAX(0,$P265)*Q$5</f>
        <v>0</v>
      </c>
      <c r="R265" s="12">
        <f t="shared" ca="1" si="47"/>
        <v>0</v>
      </c>
      <c r="S265" s="12">
        <f t="shared" ref="S265:S328" ca="1" si="48">O265*$S$5</f>
        <v>1.2817826669169743</v>
      </c>
      <c r="T265" s="83">
        <f t="shared" ref="T265:T328" ca="1" si="49">SUM(Q265:S265)</f>
        <v>1.2817826669169743</v>
      </c>
      <c r="W265" s="1"/>
      <c r="Z265" s="6"/>
    </row>
    <row r="266" spans="1:26" x14ac:dyDescent="0.3">
      <c r="A266" s="11">
        <v>40391</v>
      </c>
      <c r="B266" s="94">
        <v>16530.36</v>
      </c>
      <c r="C266" s="97">
        <v>15247.89</v>
      </c>
      <c r="D266" s="109">
        <v>1282.47</v>
      </c>
      <c r="E266" s="109">
        <v>271.41000000000003</v>
      </c>
      <c r="F266" s="16">
        <f t="shared" ca="1" si="40"/>
        <v>244.70733364920255</v>
      </c>
      <c r="G266" s="12">
        <f t="shared" si="41"/>
        <v>10.851750000000001</v>
      </c>
      <c r="H266" s="12">
        <f t="shared" si="42"/>
        <v>253.83866666666665</v>
      </c>
      <c r="I266" s="17" cm="1">
        <f t="array" ref="I266">IF(MONTH(A266) = LOOKUP(YEAR(A266), YEAR('CNY Dates'!A$2:A$34), 'CNY Dates'!B$2:B$34), LOOKUP(YEAR(A266), YEAR('Hongbao demand'!B$4:B$35), 'Hongbao demand'!F$4:F$35)  - O265, 0)</f>
        <v>0</v>
      </c>
      <c r="J266" s="18">
        <f t="shared" si="43"/>
        <v>-19.983083017464082</v>
      </c>
      <c r="K266" s="19">
        <v>28394.5</v>
      </c>
      <c r="L266" s="12">
        <v>0.88080999999999998</v>
      </c>
      <c r="M266" s="14">
        <v>1.6666666666666666E-4</v>
      </c>
      <c r="N266" s="19">
        <f t="shared" ca="1" si="44"/>
        <v>26.702666350797472</v>
      </c>
      <c r="O266" s="12">
        <f t="shared" ca="1" si="46"/>
        <v>12.71101144692666</v>
      </c>
      <c r="P266" s="18">
        <f t="shared" ca="1" si="45"/>
        <v>0</v>
      </c>
      <c r="Q266" s="19">
        <f t="shared" ca="1" si="47"/>
        <v>0</v>
      </c>
      <c r="R266" s="12">
        <f t="shared" ca="1" si="47"/>
        <v>0</v>
      </c>
      <c r="S266" s="12">
        <f t="shared" ca="1" si="48"/>
        <v>1.2711011446926661</v>
      </c>
      <c r="T266" s="83">
        <f t="shared" ca="1" si="49"/>
        <v>1.2711011446926661</v>
      </c>
      <c r="W266" s="1"/>
      <c r="Z266" s="6"/>
    </row>
    <row r="267" spans="1:26" x14ac:dyDescent="0.3">
      <c r="A267" s="11">
        <v>40422</v>
      </c>
      <c r="B267" s="94">
        <v>16528.05</v>
      </c>
      <c r="C267" s="97">
        <v>15362.97</v>
      </c>
      <c r="D267" s="109">
        <v>1165.08</v>
      </c>
      <c r="E267" s="109">
        <v>369.21</v>
      </c>
      <c r="F267" s="16">
        <f t="shared" ca="1" si="40"/>
        <v>262.45823366074427</v>
      </c>
      <c r="G267" s="12">
        <f t="shared" si="41"/>
        <v>10.687250000000001</v>
      </c>
      <c r="H267" s="12">
        <f t="shared" si="42"/>
        <v>254.13149999999999</v>
      </c>
      <c r="I267" s="17" cm="1">
        <f t="array" ref="I267">IF(MONTH(A267) = LOOKUP(YEAR(A267), YEAR('CNY Dates'!A$2:A$34), 'CNY Dates'!B$2:B$34), LOOKUP(YEAR(A267), YEAR('Hongbao demand'!B$4:B$35), 'Hongbao demand'!F$4:F$35)  - O266, 0)</f>
        <v>0</v>
      </c>
      <c r="J267" s="18">
        <f t="shared" si="43"/>
        <v>-2.3605163392557231</v>
      </c>
      <c r="K267" s="19">
        <v>28394.5</v>
      </c>
      <c r="L267" s="12">
        <v>0.88129000000000002</v>
      </c>
      <c r="M267" s="14">
        <v>1.6666666666666666E-4</v>
      </c>
      <c r="N267" s="19">
        <f t="shared" ca="1" si="44"/>
        <v>106.75176633925571</v>
      </c>
      <c r="O267" s="12">
        <f t="shared" ca="1" si="46"/>
        <v>12.605086351535606</v>
      </c>
      <c r="P267" s="18">
        <f t="shared" ca="1" si="45"/>
        <v>0</v>
      </c>
      <c r="Q267" s="19">
        <f t="shared" ca="1" si="47"/>
        <v>0</v>
      </c>
      <c r="R267" s="12">
        <f t="shared" ca="1" si="47"/>
        <v>0</v>
      </c>
      <c r="S267" s="12">
        <f t="shared" ca="1" si="48"/>
        <v>1.2605086351535606</v>
      </c>
      <c r="T267" s="83">
        <f t="shared" ca="1" si="49"/>
        <v>1.2605086351535606</v>
      </c>
      <c r="W267" s="1"/>
      <c r="Z267" s="6"/>
    </row>
    <row r="268" spans="1:26" x14ac:dyDescent="0.3">
      <c r="A268" s="11">
        <v>40452</v>
      </c>
      <c r="B268" s="94">
        <v>16524.900000000001</v>
      </c>
      <c r="C268" s="97">
        <v>15515.01</v>
      </c>
      <c r="D268" s="109">
        <v>1009.89</v>
      </c>
      <c r="E268" s="109">
        <v>408.09</v>
      </c>
      <c r="F268" s="16">
        <f t="shared" ca="1" si="40"/>
        <v>590.36458030434051</v>
      </c>
      <c r="G268" s="12">
        <f t="shared" si="41"/>
        <v>9.7089999999999996</v>
      </c>
      <c r="H268" s="12">
        <f t="shared" si="42"/>
        <v>256.04949999999997</v>
      </c>
      <c r="I268" s="17" cm="1">
        <f t="array" ref="I268">IF(MONTH(A268) = LOOKUP(YEAR(A268), YEAR('CNY Dates'!A$2:A$34), 'CNY Dates'!B$2:B$34), LOOKUP(YEAR(A268), YEAR('Hongbao demand'!B$4:B$35), 'Hongbao demand'!F$4:F$35)  - O267, 0)</f>
        <v>0</v>
      </c>
      <c r="J268" s="18">
        <f t="shared" si="43"/>
        <v>324.60608030434059</v>
      </c>
      <c r="K268" s="19">
        <v>29154.866666666701</v>
      </c>
      <c r="L268" s="12">
        <v>0.88525000000000009</v>
      </c>
      <c r="M268" s="14">
        <v>1.5833333333333332E-4</v>
      </c>
      <c r="N268" s="19">
        <f t="shared" ca="1" si="44"/>
        <v>-182.27458030434053</v>
      </c>
      <c r="O268" s="12">
        <f t="shared" ca="1" si="46"/>
        <v>12.500043965272811</v>
      </c>
      <c r="P268" s="18">
        <f t="shared" ca="1" si="45"/>
        <v>0</v>
      </c>
      <c r="Q268" s="19">
        <f t="shared" ca="1" si="47"/>
        <v>0</v>
      </c>
      <c r="R268" s="12">
        <f t="shared" ca="1" si="47"/>
        <v>0</v>
      </c>
      <c r="S268" s="12">
        <f t="shared" ca="1" si="48"/>
        <v>1.2500043965272811</v>
      </c>
      <c r="T268" s="83">
        <f t="shared" ca="1" si="49"/>
        <v>1.2500043965272811</v>
      </c>
      <c r="W268" s="1"/>
      <c r="Z268" s="6"/>
    </row>
    <row r="269" spans="1:26" x14ac:dyDescent="0.3">
      <c r="A269" s="11">
        <v>40483</v>
      </c>
      <c r="B269" s="94">
        <v>16522.66</v>
      </c>
      <c r="C269" s="97">
        <v>15527.12</v>
      </c>
      <c r="D269" s="109">
        <v>995.54</v>
      </c>
      <c r="E269" s="109">
        <v>270.69</v>
      </c>
      <c r="F269" s="16">
        <f t="shared" ca="1" si="40"/>
        <v>252.04661862538819</v>
      </c>
      <c r="G269" s="12">
        <f t="shared" si="41"/>
        <v>8.4157499999999992</v>
      </c>
      <c r="H269" s="12">
        <f t="shared" si="42"/>
        <v>258.58350000000002</v>
      </c>
      <c r="I269" s="17" cm="1">
        <f t="array" ref="I269">IF(MONTH(A269) = LOOKUP(YEAR(A269), YEAR('CNY Dates'!A$2:A$34), 'CNY Dates'!B$2:B$34), LOOKUP(YEAR(A269), YEAR('Hongbao demand'!B$4:B$35), 'Hongbao demand'!F$4:F$35)  - O268, 0)</f>
        <v>0</v>
      </c>
      <c r="J269" s="18">
        <f t="shared" si="43"/>
        <v>-14.952631374611826</v>
      </c>
      <c r="K269" s="19">
        <v>29154.866666666701</v>
      </c>
      <c r="L269" s="12">
        <v>0.88817999999999997</v>
      </c>
      <c r="M269" s="14">
        <v>1.5833333333333332E-4</v>
      </c>
      <c r="N269" s="19">
        <f t="shared" ca="1" si="44"/>
        <v>18.643381374611806</v>
      </c>
      <c r="O269" s="12">
        <f t="shared" ca="1" si="46"/>
        <v>12.395876932228871</v>
      </c>
      <c r="P269" s="18">
        <f t="shared" ca="1" si="45"/>
        <v>0</v>
      </c>
      <c r="Q269" s="19">
        <f t="shared" ca="1" si="47"/>
        <v>0</v>
      </c>
      <c r="R269" s="12">
        <f t="shared" ca="1" si="47"/>
        <v>0</v>
      </c>
      <c r="S269" s="12">
        <f t="shared" ca="1" si="48"/>
        <v>1.2395876932228873</v>
      </c>
      <c r="T269" s="83">
        <f t="shared" ca="1" si="49"/>
        <v>1.2395876932228873</v>
      </c>
      <c r="W269" s="1"/>
      <c r="Z269" s="6"/>
    </row>
    <row r="270" spans="1:26" x14ac:dyDescent="0.3">
      <c r="A270" s="11">
        <v>40513</v>
      </c>
      <c r="B270" s="94">
        <v>17209.78</v>
      </c>
      <c r="C270" s="97">
        <v>15683.22</v>
      </c>
      <c r="D270" s="109">
        <v>1526.56</v>
      </c>
      <c r="E270" s="109">
        <v>414.89</v>
      </c>
      <c r="F270" s="16">
        <f t="shared" ca="1" si="40"/>
        <v>260.15555778544575</v>
      </c>
      <c r="G270" s="12">
        <f t="shared" si="41"/>
        <v>8.2961666666666662</v>
      </c>
      <c r="H270" s="12">
        <f t="shared" si="42"/>
        <v>258.78533333333337</v>
      </c>
      <c r="I270" s="17" cm="1">
        <f t="array" ref="I270">IF(MONTH(A270) = LOOKUP(YEAR(A270), YEAR('CNY Dates'!A$2:A$34), 'CNY Dates'!B$2:B$34), LOOKUP(YEAR(A270), YEAR('Hongbao demand'!B$4:B$35), 'Hongbao demand'!F$4:F$35)  - O269, 0)</f>
        <v>0</v>
      </c>
      <c r="J270" s="18">
        <f t="shared" si="43"/>
        <v>-6.9259422145542873</v>
      </c>
      <c r="K270" s="19">
        <v>29154.866666666701</v>
      </c>
      <c r="L270" s="12">
        <v>0.88953999999999989</v>
      </c>
      <c r="M270" s="14">
        <v>1.5833333333333332E-4</v>
      </c>
      <c r="N270" s="19">
        <f t="shared" ca="1" si="44"/>
        <v>154.73444221455424</v>
      </c>
      <c r="O270" s="12">
        <f t="shared" ca="1" si="46"/>
        <v>12.292577957793631</v>
      </c>
      <c r="P270" s="18">
        <f t="shared" ca="1" si="45"/>
        <v>112.97244221455412</v>
      </c>
      <c r="Q270" s="19">
        <f t="shared" ca="1" si="47"/>
        <v>16.945866332183119</v>
      </c>
      <c r="R270" s="12">
        <f t="shared" ca="1" si="47"/>
        <v>22.594488442910826</v>
      </c>
      <c r="S270" s="12">
        <f t="shared" ca="1" si="48"/>
        <v>1.2292577957793631</v>
      </c>
      <c r="T270" s="83">
        <f t="shared" ca="1" si="49"/>
        <v>40.769612570873306</v>
      </c>
      <c r="W270" s="1"/>
      <c r="Z270" s="6"/>
    </row>
    <row r="271" spans="1:26" x14ac:dyDescent="0.3">
      <c r="A271" s="11">
        <v>40544</v>
      </c>
      <c r="B271" s="94">
        <v>18687.97</v>
      </c>
      <c r="C271" s="97">
        <v>15825.53</v>
      </c>
      <c r="D271" s="109">
        <v>2862.44</v>
      </c>
      <c r="E271" s="109">
        <v>403.7</v>
      </c>
      <c r="F271" s="16">
        <f t="shared" ca="1" si="40"/>
        <v>483.23742677169605</v>
      </c>
      <c r="G271" s="12">
        <f t="shared" si="41"/>
        <v>12.721333333333332</v>
      </c>
      <c r="H271" s="12">
        <f t="shared" si="42"/>
        <v>261.387</v>
      </c>
      <c r="I271" s="17" cm="1">
        <f t="array" ref="I271">IF(MONTH(A271) = LOOKUP(YEAR(A271), YEAR('CNY Dates'!A$2:A$34), 'CNY Dates'!B$2:B$34), LOOKUP(YEAR(A271), YEAR('Hongbao demand'!B$4:B$35), 'Hongbao demand'!F$4:F$35)  - O270, 0)</f>
        <v>0</v>
      </c>
      <c r="J271" s="18">
        <f t="shared" si="43"/>
        <v>209.12909343836273</v>
      </c>
      <c r="K271" s="19">
        <v>29362</v>
      </c>
      <c r="L271" s="12">
        <v>0.90405000000000002</v>
      </c>
      <c r="M271" s="14">
        <v>1.4999999999999999E-4</v>
      </c>
      <c r="N271" s="19">
        <f t="shared" ca="1" si="44"/>
        <v>-79.537426771696062</v>
      </c>
      <c r="O271" s="12">
        <f t="shared" ca="1" si="46"/>
        <v>12.19013980814535</v>
      </c>
      <c r="P271" s="18">
        <f t="shared" ca="1" si="45"/>
        <v>1200.3495732283038</v>
      </c>
      <c r="Q271" s="19">
        <f t="shared" ca="1" si="47"/>
        <v>180.05243598424556</v>
      </c>
      <c r="R271" s="12">
        <f t="shared" ca="1" si="47"/>
        <v>240.06991464566079</v>
      </c>
      <c r="S271" s="12">
        <f t="shared" ca="1" si="48"/>
        <v>1.219013980814535</v>
      </c>
      <c r="T271" s="83">
        <f t="shared" ca="1" si="49"/>
        <v>421.34136461072086</v>
      </c>
      <c r="W271" s="1"/>
      <c r="Z271" s="6"/>
    </row>
    <row r="272" spans="1:26" x14ac:dyDescent="0.3">
      <c r="A272" s="11">
        <v>40575</v>
      </c>
      <c r="B272" s="94">
        <v>18686.36</v>
      </c>
      <c r="C272" s="97">
        <v>16132.76</v>
      </c>
      <c r="D272" s="109">
        <v>2553.6</v>
      </c>
      <c r="E272" s="109">
        <v>570.99</v>
      </c>
      <c r="F272" s="16">
        <f t="shared" ca="1" si="40"/>
        <v>291.02660402562242</v>
      </c>
      <c r="G272" s="12">
        <f t="shared" si="41"/>
        <v>23.853666666666665</v>
      </c>
      <c r="H272" s="12">
        <f t="shared" si="42"/>
        <v>263.75883333333337</v>
      </c>
      <c r="I272" s="17" cm="1">
        <f t="array" aca="1" ref="I272" ca="1">IF(MONTH(A272) = LOOKUP(YEAR(A272), YEAR('CNY Dates'!A$2:A$34), 'CNY Dates'!B$2:B$34), LOOKUP(YEAR(A272), YEAR('Hongbao demand'!B$4:B$35), 'Hongbao demand'!F$4:F$35)  - O271, 0)</f>
        <v>-1.8870685848051849E-2</v>
      </c>
      <c r="J272" s="18">
        <f t="shared" si="43"/>
        <v>3.4329747114704818</v>
      </c>
      <c r="K272" s="19">
        <v>29362</v>
      </c>
      <c r="L272" s="12">
        <v>0.90339000000000003</v>
      </c>
      <c r="M272" s="14">
        <v>1.4999999999999999E-4</v>
      </c>
      <c r="N272" s="19">
        <f t="shared" ca="1" si="44"/>
        <v>279.96339597437759</v>
      </c>
      <c r="O272" s="12">
        <f t="shared" ca="1" si="46"/>
        <v>55.992679194875521</v>
      </c>
      <c r="P272" s="18">
        <f t="shared" ca="1" si="45"/>
        <v>1220.2873959743772</v>
      </c>
      <c r="Q272" s="19">
        <f t="shared" ca="1" si="47"/>
        <v>183.04310939615658</v>
      </c>
      <c r="R272" s="12">
        <f t="shared" ca="1" si="47"/>
        <v>244.05747919487544</v>
      </c>
      <c r="S272" s="12">
        <f t="shared" ca="1" si="48"/>
        <v>5.5992679194875521</v>
      </c>
      <c r="T272" s="83">
        <f t="shared" ca="1" si="49"/>
        <v>432.69985651051957</v>
      </c>
      <c r="W272" s="1"/>
      <c r="Z272" s="6"/>
    </row>
    <row r="273" spans="1:26" x14ac:dyDescent="0.3">
      <c r="A273" s="11">
        <v>40603</v>
      </c>
      <c r="B273" s="94">
        <v>17319.75</v>
      </c>
      <c r="C273" s="97">
        <v>16009.35</v>
      </c>
      <c r="D273" s="109">
        <v>1310.4000000000001</v>
      </c>
      <c r="E273" s="109">
        <v>145.47</v>
      </c>
      <c r="F273" s="16">
        <f t="shared" ca="1" si="40"/>
        <v>283.96414635836351</v>
      </c>
      <c r="G273" s="12">
        <f t="shared" si="41"/>
        <v>21.279999999999998</v>
      </c>
      <c r="H273" s="12">
        <f t="shared" si="42"/>
        <v>268.87933333333336</v>
      </c>
      <c r="I273" s="17" cm="1">
        <f t="array" ref="I273">IF(MONTH(A273) = LOOKUP(YEAR(A273), YEAR('CNY Dates'!A$2:A$34), 'CNY Dates'!B$2:B$34), LOOKUP(YEAR(A273), YEAR('Hongbao demand'!B$4:B$35), 'Hongbao demand'!F$4:F$35)  - O272, 0)</f>
        <v>0</v>
      </c>
      <c r="J273" s="18">
        <f t="shared" si="43"/>
        <v>-6.1951869749698139</v>
      </c>
      <c r="K273" s="19">
        <v>29362</v>
      </c>
      <c r="L273" s="12">
        <v>0.90457999999999994</v>
      </c>
      <c r="M273" s="14">
        <v>1.4999999999999999E-4</v>
      </c>
      <c r="N273" s="19">
        <f t="shared" ca="1" si="44"/>
        <v>-138.49414635836351</v>
      </c>
      <c r="O273" s="12">
        <f t="shared" ca="1" si="46"/>
        <v>55.526073534918218</v>
      </c>
      <c r="P273" s="18">
        <f t="shared" ca="1" si="45"/>
        <v>0</v>
      </c>
      <c r="Q273" s="19">
        <f t="shared" ca="1" si="47"/>
        <v>0</v>
      </c>
      <c r="R273" s="12">
        <f t="shared" ca="1" si="47"/>
        <v>0</v>
      </c>
      <c r="S273" s="12">
        <f t="shared" ca="1" si="48"/>
        <v>5.5526073534918226</v>
      </c>
      <c r="T273" s="83">
        <f t="shared" ca="1" si="49"/>
        <v>5.5526073534918226</v>
      </c>
      <c r="W273" s="1"/>
      <c r="Z273" s="6"/>
    </row>
    <row r="274" spans="1:26" x14ac:dyDescent="0.3">
      <c r="A274" s="11">
        <v>40634</v>
      </c>
      <c r="B274" s="94">
        <v>18883.830000000002</v>
      </c>
      <c r="C274" s="97">
        <v>16196.11</v>
      </c>
      <c r="D274" s="109">
        <v>2687.72</v>
      </c>
      <c r="E274" s="109">
        <v>453.58</v>
      </c>
      <c r="F274" s="16">
        <f t="shared" ca="1" si="40"/>
        <v>334.56410424848542</v>
      </c>
      <c r="G274" s="12">
        <f t="shared" si="41"/>
        <v>10.92</v>
      </c>
      <c r="H274" s="12">
        <f t="shared" si="42"/>
        <v>266.82249999999999</v>
      </c>
      <c r="I274" s="17" cm="1">
        <f t="array" ref="I274">IF(MONTH(A274) = LOOKUP(YEAR(A274), YEAR('CNY Dates'!A$2:A$34), 'CNY Dates'!B$2:B$34), LOOKUP(YEAR(A274), YEAR('Hongbao demand'!B$4:B$35), 'Hongbao demand'!F$4:F$35)  - O273, 0)</f>
        <v>0</v>
      </c>
      <c r="J274" s="18">
        <f t="shared" si="43"/>
        <v>56.821604248485428</v>
      </c>
      <c r="K274" s="19">
        <v>29820.266666666699</v>
      </c>
      <c r="L274" s="12">
        <v>0.90773999999999999</v>
      </c>
      <c r="M274" s="14">
        <v>1.4999999999999999E-4</v>
      </c>
      <c r="N274" s="19">
        <f t="shared" ca="1" si="44"/>
        <v>119.01589575151456</v>
      </c>
      <c r="O274" s="12">
        <f t="shared" ca="1" si="46"/>
        <v>55.063356255460569</v>
      </c>
      <c r="P274" s="18">
        <f t="shared" ca="1" si="45"/>
        <v>1187.1248957515143</v>
      </c>
      <c r="Q274" s="19">
        <f t="shared" ca="1" si="47"/>
        <v>178.06873436272713</v>
      </c>
      <c r="R274" s="12">
        <f t="shared" ca="1" si="47"/>
        <v>237.42497915030287</v>
      </c>
      <c r="S274" s="12">
        <f t="shared" ca="1" si="48"/>
        <v>5.5063356255460576</v>
      </c>
      <c r="T274" s="83">
        <f t="shared" ca="1" si="49"/>
        <v>421.00004913857606</v>
      </c>
      <c r="W274" s="1"/>
      <c r="Z274" s="6"/>
    </row>
    <row r="275" spans="1:26" x14ac:dyDescent="0.3">
      <c r="A275" s="11">
        <v>40664</v>
      </c>
      <c r="B275" s="94">
        <v>18880.82</v>
      </c>
      <c r="C275" s="97">
        <v>16227.54</v>
      </c>
      <c r="D275" s="109">
        <v>2653.28</v>
      </c>
      <c r="E275" s="109">
        <v>301.37</v>
      </c>
      <c r="F275" s="16">
        <f t="shared" ca="1" si="40"/>
        <v>263.82714408519274</v>
      </c>
      <c r="G275" s="12">
        <f t="shared" si="41"/>
        <v>22.397666666666666</v>
      </c>
      <c r="H275" s="12">
        <f t="shared" si="42"/>
        <v>269.9351666666667</v>
      </c>
      <c r="I275" s="17" cm="1">
        <f t="array" ref="I275">IF(MONTH(A275) = LOOKUP(YEAR(A275), YEAR('CNY Dates'!A$2:A$34), 'CNY Dates'!B$2:B$34), LOOKUP(YEAR(A275), YEAR('Hongbao demand'!B$4:B$35), 'Hongbao demand'!F$4:F$35)  - O274, 0)</f>
        <v>0</v>
      </c>
      <c r="J275" s="18">
        <f t="shared" si="43"/>
        <v>-28.50568924814063</v>
      </c>
      <c r="K275" s="19">
        <v>29820.266666666699</v>
      </c>
      <c r="L275" s="12">
        <v>0.91317999999999999</v>
      </c>
      <c r="M275" s="14">
        <v>1.4999999999999999E-4</v>
      </c>
      <c r="N275" s="19">
        <f t="shared" ca="1" si="44"/>
        <v>37.542855914807262</v>
      </c>
      <c r="O275" s="12">
        <f t="shared" ca="1" si="46"/>
        <v>54.604494953331731</v>
      </c>
      <c r="P275" s="18">
        <f t="shared" ca="1" si="45"/>
        <v>1068.0688559148073</v>
      </c>
      <c r="Q275" s="19">
        <f t="shared" ca="1" si="47"/>
        <v>160.2103283872211</v>
      </c>
      <c r="R275" s="12">
        <f t="shared" ca="1" si="47"/>
        <v>213.61377118296147</v>
      </c>
      <c r="S275" s="12">
        <f t="shared" ca="1" si="48"/>
        <v>5.4604494953331733</v>
      </c>
      <c r="T275" s="83">
        <f t="shared" ca="1" si="49"/>
        <v>379.28454906551576</v>
      </c>
      <c r="W275" s="1"/>
      <c r="Z275" s="6"/>
    </row>
    <row r="276" spans="1:26" x14ac:dyDescent="0.3">
      <c r="A276" s="11">
        <v>40695</v>
      </c>
      <c r="B276" s="94">
        <v>18877.53</v>
      </c>
      <c r="C276" s="97">
        <v>16319.24</v>
      </c>
      <c r="D276" s="109">
        <v>2558.29</v>
      </c>
      <c r="E276" s="109">
        <v>362.16</v>
      </c>
      <c r="F276" s="16">
        <f t="shared" ca="1" si="40"/>
        <v>303.77873196280507</v>
      </c>
      <c r="G276" s="12">
        <f t="shared" si="41"/>
        <v>22.110666666666667</v>
      </c>
      <c r="H276" s="12">
        <f t="shared" si="42"/>
        <v>270.459</v>
      </c>
      <c r="I276" s="17" cm="1">
        <f t="array" ref="I276">IF(MONTH(A276) = LOOKUP(YEAR(A276), YEAR('CNY Dates'!A$2:A$34), 'CNY Dates'!B$2:B$34), LOOKUP(YEAR(A276), YEAR('Hongbao demand'!B$4:B$35), 'Hongbao demand'!F$4:F$35)  - O275, 0)</f>
        <v>0</v>
      </c>
      <c r="J276" s="18">
        <f t="shared" si="43"/>
        <v>11.209065296138432</v>
      </c>
      <c r="K276" s="19">
        <v>29820.266666666699</v>
      </c>
      <c r="L276" s="12">
        <v>0.9110299999999999</v>
      </c>
      <c r="M276" s="14">
        <v>1.4999999999999999E-4</v>
      </c>
      <c r="N276" s="19">
        <f t="shared" ca="1" si="44"/>
        <v>58.381268037194957</v>
      </c>
      <c r="O276" s="12">
        <f t="shared" ca="1" si="46"/>
        <v>54.149457495387303</v>
      </c>
      <c r="P276" s="18">
        <f t="shared" ca="1" si="45"/>
        <v>984.74726803719477</v>
      </c>
      <c r="Q276" s="19">
        <f t="shared" ca="1" si="47"/>
        <v>147.71209020557922</v>
      </c>
      <c r="R276" s="12">
        <f t="shared" ca="1" si="47"/>
        <v>196.94945360743895</v>
      </c>
      <c r="S276" s="12">
        <f t="shared" ca="1" si="48"/>
        <v>5.414945749538731</v>
      </c>
      <c r="T276" s="83">
        <f t="shared" ca="1" si="49"/>
        <v>350.0764895625569</v>
      </c>
      <c r="W276" s="1"/>
      <c r="Z276" s="6"/>
    </row>
    <row r="277" spans="1:26" x14ac:dyDescent="0.3">
      <c r="A277" s="11">
        <v>40725</v>
      </c>
      <c r="B277" s="94">
        <v>18873.400000000001</v>
      </c>
      <c r="C277" s="97">
        <v>16511.53</v>
      </c>
      <c r="D277" s="109">
        <v>2361.87</v>
      </c>
      <c r="E277" s="109">
        <v>464.28</v>
      </c>
      <c r="F277" s="16">
        <f t="shared" ca="1" si="40"/>
        <v>346.64549024882558</v>
      </c>
      <c r="G277" s="12">
        <f t="shared" si="41"/>
        <v>21.319083333333332</v>
      </c>
      <c r="H277" s="12">
        <f t="shared" si="42"/>
        <v>271.98733333333331</v>
      </c>
      <c r="I277" s="17" cm="1">
        <f t="array" ref="I277">IF(MONTH(A277) = LOOKUP(YEAR(A277), YEAR('CNY Dates'!A$2:A$34), 'CNY Dates'!B$2:B$34), LOOKUP(YEAR(A277), YEAR('Hongbao demand'!B$4:B$35), 'Hongbao demand'!F$4:F$35)  - O276, 0)</f>
        <v>0</v>
      </c>
      <c r="J277" s="18">
        <f t="shared" si="43"/>
        <v>53.339073582158989</v>
      </c>
      <c r="K277" s="19">
        <v>30595.733333333301</v>
      </c>
      <c r="L277" s="12">
        <v>0.92447999999999997</v>
      </c>
      <c r="M277" s="14">
        <v>1.4999999999999999E-4</v>
      </c>
      <c r="N277" s="19">
        <f t="shared" ca="1" si="44"/>
        <v>117.63450975117439</v>
      </c>
      <c r="O277" s="12">
        <f t="shared" ca="1" si="46"/>
        <v>53.69821201625907</v>
      </c>
      <c r="P277" s="18">
        <f t="shared" ca="1" si="45"/>
        <v>828.35150975117426</v>
      </c>
      <c r="Q277" s="19">
        <f t="shared" ca="1" si="47"/>
        <v>124.25272646267614</v>
      </c>
      <c r="R277" s="12">
        <f t="shared" ca="1" si="47"/>
        <v>165.67030195023486</v>
      </c>
      <c r="S277" s="12">
        <f t="shared" ca="1" si="48"/>
        <v>5.369821201625907</v>
      </c>
      <c r="T277" s="83">
        <f t="shared" ca="1" si="49"/>
        <v>295.29284961453686</v>
      </c>
      <c r="W277" s="1"/>
      <c r="Z277" s="6"/>
    </row>
    <row r="278" spans="1:26" x14ac:dyDescent="0.3">
      <c r="A278" s="11">
        <v>40756</v>
      </c>
      <c r="B278" s="94">
        <v>18870.810000000001</v>
      </c>
      <c r="C278" s="97">
        <v>16638.72</v>
      </c>
      <c r="D278" s="109">
        <v>2232.09</v>
      </c>
      <c r="E278" s="109">
        <v>402.38</v>
      </c>
      <c r="F278" s="16">
        <f t="shared" ca="1" si="40"/>
        <v>542.30417161662592</v>
      </c>
      <c r="G278" s="12">
        <f t="shared" si="41"/>
        <v>19.68225</v>
      </c>
      <c r="H278" s="12">
        <f t="shared" si="42"/>
        <v>275.19216666666665</v>
      </c>
      <c r="I278" s="17" cm="1">
        <f t="array" ref="I278">IF(MONTH(A278) = LOOKUP(YEAR(A278), YEAR('CNY Dates'!A$2:A$34), 'CNY Dates'!B$2:B$34), LOOKUP(YEAR(A278), YEAR('Hongbao demand'!B$4:B$35), 'Hongbao demand'!F$4:F$35)  - O277, 0)</f>
        <v>0</v>
      </c>
      <c r="J278" s="18">
        <f t="shared" si="43"/>
        <v>247.42975494995926</v>
      </c>
      <c r="K278" s="19">
        <v>30595.733333333301</v>
      </c>
      <c r="L278" s="12">
        <v>0.93114999999999992</v>
      </c>
      <c r="M278" s="14">
        <v>1.4166666666666668E-4</v>
      </c>
      <c r="N278" s="19">
        <f t="shared" ca="1" si="44"/>
        <v>-139.92417161662593</v>
      </c>
      <c r="O278" s="12">
        <f t="shared" ca="1" si="46"/>
        <v>53.250726916123575</v>
      </c>
      <c r="P278" s="18">
        <f t="shared" ca="1" si="45"/>
        <v>428.29382838337369</v>
      </c>
      <c r="Q278" s="19">
        <f t="shared" ca="1" si="47"/>
        <v>64.244074257506057</v>
      </c>
      <c r="R278" s="12">
        <f t="shared" ca="1" si="47"/>
        <v>85.658765676674747</v>
      </c>
      <c r="S278" s="12">
        <f t="shared" ca="1" si="48"/>
        <v>5.3250726916123581</v>
      </c>
      <c r="T278" s="83">
        <f t="shared" ca="1" si="49"/>
        <v>155.22791262579315</v>
      </c>
      <c r="W278" s="1"/>
      <c r="Z278" s="6"/>
    </row>
    <row r="279" spans="1:26" x14ac:dyDescent="0.3">
      <c r="A279" s="11">
        <v>40787</v>
      </c>
      <c r="B279" s="94">
        <v>18867.310000000001</v>
      </c>
      <c r="C279" s="97">
        <v>16790.060000000001</v>
      </c>
      <c r="D279" s="109">
        <v>2077.25</v>
      </c>
      <c r="E279" s="109">
        <v>428.65</v>
      </c>
      <c r="F279" s="16">
        <f t="shared" ca="1" si="40"/>
        <v>613.59837163261636</v>
      </c>
      <c r="G279" s="12">
        <f t="shared" si="41"/>
        <v>18.600750000000001</v>
      </c>
      <c r="H279" s="12">
        <f t="shared" si="42"/>
        <v>277.31200000000001</v>
      </c>
      <c r="I279" s="17" cm="1">
        <f t="array" ref="I279">IF(MONTH(A279) = LOOKUP(YEAR(A279), YEAR('CNY Dates'!A$2:A$34), 'CNY Dates'!B$2:B$34), LOOKUP(YEAR(A279), YEAR('Hongbao demand'!B$4:B$35), 'Hongbao demand'!F$4:F$35)  - O278, 0)</f>
        <v>0</v>
      </c>
      <c r="J279" s="18">
        <f t="shared" si="43"/>
        <v>317.68562163261635</v>
      </c>
      <c r="K279" s="19">
        <v>30595.733333333301</v>
      </c>
      <c r="L279" s="12">
        <v>0.92941000000000007</v>
      </c>
      <c r="M279" s="14">
        <v>1.3333333333333334E-4</v>
      </c>
      <c r="N279" s="19">
        <f t="shared" ca="1" si="44"/>
        <v>-184.94837163261639</v>
      </c>
      <c r="O279" s="12">
        <f t="shared" ca="1" si="46"/>
        <v>52.806970858489208</v>
      </c>
      <c r="P279" s="18">
        <f t="shared" ca="1" si="45"/>
        <v>213.29562836738342</v>
      </c>
      <c r="Q279" s="19">
        <f t="shared" ca="1" si="47"/>
        <v>31.99434425510751</v>
      </c>
      <c r="R279" s="12">
        <f t="shared" ca="1" si="47"/>
        <v>42.659125673476687</v>
      </c>
      <c r="S279" s="12">
        <f t="shared" ca="1" si="48"/>
        <v>5.2806970858489208</v>
      </c>
      <c r="T279" s="83">
        <f t="shared" ca="1" si="49"/>
        <v>79.934167014433115</v>
      </c>
      <c r="W279" s="1"/>
      <c r="Z279" s="6"/>
    </row>
    <row r="280" spans="1:26" x14ac:dyDescent="0.3">
      <c r="A280" s="11">
        <v>40817</v>
      </c>
      <c r="B280" s="94">
        <v>18865.28</v>
      </c>
      <c r="C280" s="97">
        <v>16966.18</v>
      </c>
      <c r="D280" s="109">
        <v>1899.1</v>
      </c>
      <c r="E280" s="109">
        <v>455.95</v>
      </c>
      <c r="F280" s="16">
        <f t="shared" ca="1" si="40"/>
        <v>632.59320906153243</v>
      </c>
      <c r="G280" s="12">
        <f t="shared" si="41"/>
        <v>17.310416666666665</v>
      </c>
      <c r="H280" s="12">
        <f t="shared" si="42"/>
        <v>279.83433333333335</v>
      </c>
      <c r="I280" s="17" cm="1">
        <f t="array" ref="I280">IF(MONTH(A280) = LOOKUP(YEAR(A280), YEAR('CNY Dates'!A$2:A$34), 'CNY Dates'!B$2:B$34), LOOKUP(YEAR(A280), YEAR('Hongbao demand'!B$4:B$35), 'Hongbao demand'!F$4:F$35)  - O279, 0)</f>
        <v>0</v>
      </c>
      <c r="J280" s="18">
        <f t="shared" si="43"/>
        <v>335.44845906153239</v>
      </c>
      <c r="K280" s="19">
        <v>30694.766666666699</v>
      </c>
      <c r="L280" s="12">
        <v>0.93322000000000005</v>
      </c>
      <c r="M280" s="14">
        <v>1.25E-4</v>
      </c>
      <c r="N280" s="19">
        <f t="shared" ca="1" si="44"/>
        <v>-176.64320906153245</v>
      </c>
      <c r="O280" s="12">
        <f t="shared" ca="1" si="46"/>
        <v>52.366912768001804</v>
      </c>
      <c r="P280" s="18">
        <f t="shared" ca="1" si="45"/>
        <v>25.838790938467355</v>
      </c>
      <c r="Q280" s="19">
        <f t="shared" ca="1" si="47"/>
        <v>3.875818640770103</v>
      </c>
      <c r="R280" s="12">
        <f t="shared" ca="1" si="47"/>
        <v>5.1677581876934715</v>
      </c>
      <c r="S280" s="12">
        <f t="shared" ca="1" si="48"/>
        <v>5.2366912768001805</v>
      </c>
      <c r="T280" s="83">
        <f t="shared" ca="1" si="49"/>
        <v>14.280268105263755</v>
      </c>
      <c r="W280" s="1"/>
      <c r="Z280" s="6"/>
    </row>
    <row r="281" spans="1:26" x14ac:dyDescent="0.3">
      <c r="A281" s="11">
        <v>40848</v>
      </c>
      <c r="B281" s="94">
        <v>18863.18</v>
      </c>
      <c r="C281" s="97">
        <v>17122.77</v>
      </c>
      <c r="D281" s="109">
        <v>1740.41</v>
      </c>
      <c r="E281" s="109">
        <v>439.36</v>
      </c>
      <c r="F281" s="16">
        <f t="shared" ca="1" si="40"/>
        <v>645.47648727305398</v>
      </c>
      <c r="G281" s="12">
        <f t="shared" si="41"/>
        <v>15.825833333333332</v>
      </c>
      <c r="H281" s="12">
        <f t="shared" si="42"/>
        <v>282.76966666666669</v>
      </c>
      <c r="I281" s="17" cm="1">
        <f t="array" ref="I281">IF(MONTH(A281) = LOOKUP(YEAR(A281), YEAR('CNY Dates'!A$2:A$34), 'CNY Dates'!B$2:B$34), LOOKUP(YEAR(A281), YEAR('Hongbao demand'!B$4:B$35), 'Hongbao demand'!F$4:F$35)  - O280, 0)</f>
        <v>0</v>
      </c>
      <c r="J281" s="18">
        <f t="shared" si="43"/>
        <v>346.88098727305396</v>
      </c>
      <c r="K281" s="19">
        <v>30694.766666666699</v>
      </c>
      <c r="L281" s="12">
        <v>0.93842000000000003</v>
      </c>
      <c r="M281" s="14">
        <v>1.1666666666666668E-4</v>
      </c>
      <c r="N281" s="19">
        <f t="shared" ca="1" si="44"/>
        <v>-206.11648727305396</v>
      </c>
      <c r="O281" s="12">
        <f t="shared" ca="1" si="46"/>
        <v>51.930521828268454</v>
      </c>
      <c r="P281" s="18">
        <f t="shared" ca="1" si="45"/>
        <v>0</v>
      </c>
      <c r="Q281" s="19">
        <f t="shared" ca="1" si="47"/>
        <v>0</v>
      </c>
      <c r="R281" s="12">
        <f t="shared" ca="1" si="47"/>
        <v>0</v>
      </c>
      <c r="S281" s="12">
        <f t="shared" ca="1" si="48"/>
        <v>5.1930521828268459</v>
      </c>
      <c r="T281" s="83">
        <f t="shared" ca="1" si="49"/>
        <v>5.1930521828268459</v>
      </c>
      <c r="W281" s="1"/>
      <c r="Z281" s="6"/>
    </row>
    <row r="282" spans="1:26" x14ac:dyDescent="0.3">
      <c r="A282" s="11">
        <v>40878</v>
      </c>
      <c r="B282" s="94">
        <v>18859.189999999999</v>
      </c>
      <c r="C282" s="97">
        <v>17374.28</v>
      </c>
      <c r="D282" s="109">
        <v>1484.91</v>
      </c>
      <c r="E282" s="109">
        <v>536.89</v>
      </c>
      <c r="F282" s="16">
        <f t="shared" ca="1" si="40"/>
        <v>297.81075477904722</v>
      </c>
      <c r="G282" s="12">
        <f t="shared" si="41"/>
        <v>14.503416666666668</v>
      </c>
      <c r="H282" s="12">
        <f t="shared" si="42"/>
        <v>285.37950000000001</v>
      </c>
      <c r="I282" s="17" cm="1">
        <f t="array" ref="I282">IF(MONTH(A282) = LOOKUP(YEAR(A282), YEAR('CNY Dates'!A$2:A$34), 'CNY Dates'!B$2:B$34), LOOKUP(YEAR(A282), YEAR('Hongbao demand'!B$4:B$35), 'Hongbao demand'!F$4:F$35)  - O281, 0)</f>
        <v>0</v>
      </c>
      <c r="J282" s="18">
        <f t="shared" si="43"/>
        <v>-2.0721618876194823</v>
      </c>
      <c r="K282" s="19">
        <v>30694.766666666699</v>
      </c>
      <c r="L282" s="12">
        <v>0.93876999999999999</v>
      </c>
      <c r="M282" s="14">
        <v>1.1666666666666668E-4</v>
      </c>
      <c r="N282" s="19">
        <f t="shared" ca="1" si="44"/>
        <v>239.07924522095277</v>
      </c>
      <c r="O282" s="12">
        <f t="shared" ca="1" si="46"/>
        <v>51.497767479699547</v>
      </c>
      <c r="P282" s="18">
        <f t="shared" ca="1" si="45"/>
        <v>0</v>
      </c>
      <c r="Q282" s="19">
        <f t="shared" ca="1" si="47"/>
        <v>0</v>
      </c>
      <c r="R282" s="12">
        <f t="shared" ca="1" si="47"/>
        <v>0</v>
      </c>
      <c r="S282" s="12">
        <f t="shared" ca="1" si="48"/>
        <v>5.1497767479699554</v>
      </c>
      <c r="T282" s="83">
        <f t="shared" ca="1" si="49"/>
        <v>5.1497767479699554</v>
      </c>
      <c r="W282" s="1"/>
      <c r="Z282" s="6"/>
    </row>
    <row r="283" spans="1:26" x14ac:dyDescent="0.3">
      <c r="A283" s="11">
        <v>40909</v>
      </c>
      <c r="B283" s="94">
        <v>20217.96</v>
      </c>
      <c r="C283" s="97">
        <v>17167.150000000001</v>
      </c>
      <c r="D283" s="109">
        <v>3050.81</v>
      </c>
      <c r="E283" s="109">
        <v>82.44</v>
      </c>
      <c r="F283" s="16">
        <f t="shared" ca="1" si="40"/>
        <v>649.65433443343522</v>
      </c>
      <c r="G283" s="12">
        <f t="shared" si="41"/>
        <v>12.37425</v>
      </c>
      <c r="H283" s="12">
        <f t="shared" si="42"/>
        <v>289.57133333333331</v>
      </c>
      <c r="I283" s="17" cm="1">
        <f t="array" aca="1" ref="I283" ca="1">IF(MONTH(A283) = LOOKUP(YEAR(A283), YEAR('CNY Dates'!A$2:A$34), 'CNY Dates'!B$2:B$34), LOOKUP(YEAR(A283), YEAR('Hongbao demand'!B$4:B$35), 'Hongbao demand'!F$4:F$35)  - O282, 0)</f>
        <v>-39.031155959046579</v>
      </c>
      <c r="J283" s="18">
        <f t="shared" si="43"/>
        <v>386.73990705914855</v>
      </c>
      <c r="K283" s="19">
        <v>30784.766666666699</v>
      </c>
      <c r="L283" s="12">
        <v>0.9474800000000001</v>
      </c>
      <c r="M283" s="14">
        <v>1.0833333333333333E-4</v>
      </c>
      <c r="N283" s="19">
        <f t="shared" ca="1" si="44"/>
        <v>-567.21433443343517</v>
      </c>
      <c r="O283" s="12">
        <f t="shared" ca="1" si="46"/>
        <v>0</v>
      </c>
      <c r="P283" s="18">
        <f t="shared" ca="1" si="45"/>
        <v>766.88066556656486</v>
      </c>
      <c r="Q283" s="19">
        <f t="shared" ca="1" si="47"/>
        <v>115.03209983498472</v>
      </c>
      <c r="R283" s="12">
        <f t="shared" ca="1" si="47"/>
        <v>153.37613311331299</v>
      </c>
      <c r="S283" s="12">
        <f t="shared" ca="1" si="48"/>
        <v>0</v>
      </c>
      <c r="T283" s="83">
        <f t="shared" ca="1" si="49"/>
        <v>268.40823294829772</v>
      </c>
      <c r="W283" s="1"/>
      <c r="Z283" s="6"/>
    </row>
    <row r="284" spans="1:26" x14ac:dyDescent="0.3">
      <c r="A284" s="11">
        <v>40940</v>
      </c>
      <c r="B284" s="94">
        <v>20216.84</v>
      </c>
      <c r="C284" s="97">
        <v>17432.87</v>
      </c>
      <c r="D284" s="109">
        <v>2783.97</v>
      </c>
      <c r="E284" s="109">
        <v>551.84</v>
      </c>
      <c r="F284" s="16">
        <f t="shared" ca="1" si="40"/>
        <v>327.26774005465245</v>
      </c>
      <c r="G284" s="12">
        <f t="shared" si="41"/>
        <v>25.423416666666665</v>
      </c>
      <c r="H284" s="12">
        <f t="shared" si="42"/>
        <v>286.11916666666667</v>
      </c>
      <c r="I284" s="17" cm="1">
        <f t="array" ref="I284">IF(MONTH(A284) = LOOKUP(YEAR(A284), YEAR('CNY Dates'!A$2:A$34), 'CNY Dates'!B$2:B$34), LOOKUP(YEAR(A284), YEAR('Hongbao demand'!B$4:B$35), 'Hongbao demand'!F$4:F$35)  - O283, 0)</f>
        <v>0</v>
      </c>
      <c r="J284" s="18">
        <f t="shared" si="43"/>
        <v>15.725156721319165</v>
      </c>
      <c r="K284" s="19">
        <v>30784.766666666699</v>
      </c>
      <c r="L284" s="12">
        <v>0.94491000000000003</v>
      </c>
      <c r="M284" s="14">
        <v>1.0833333333333333E-4</v>
      </c>
      <c r="N284" s="19">
        <f t="shared" ca="1" si="44"/>
        <v>224.57225994534758</v>
      </c>
      <c r="O284" s="12">
        <f t="shared" ca="1" si="46"/>
        <v>0</v>
      </c>
      <c r="P284" s="18">
        <f t="shared" ca="1" si="45"/>
        <v>1265.2552599453472</v>
      </c>
      <c r="Q284" s="19">
        <f t="shared" ca="1" si="47"/>
        <v>189.78828899180209</v>
      </c>
      <c r="R284" s="12">
        <f t="shared" ca="1" si="47"/>
        <v>253.05105198906946</v>
      </c>
      <c r="S284" s="12">
        <f t="shared" ca="1" si="48"/>
        <v>0</v>
      </c>
      <c r="T284" s="83">
        <f t="shared" ca="1" si="49"/>
        <v>442.83934098087155</v>
      </c>
      <c r="W284" s="1"/>
      <c r="Z284" s="6"/>
    </row>
    <row r="285" spans="1:26" x14ac:dyDescent="0.3">
      <c r="A285" s="11">
        <v>40969</v>
      </c>
      <c r="B285" s="94">
        <v>19303.689999999999</v>
      </c>
      <c r="C285" s="97">
        <v>17670.87</v>
      </c>
      <c r="D285" s="109">
        <v>1632.82</v>
      </c>
      <c r="E285" s="109">
        <v>528.54999999999995</v>
      </c>
      <c r="F285" s="16">
        <f t="shared" ca="1" si="40"/>
        <v>269.76522407154948</v>
      </c>
      <c r="G285" s="12">
        <f t="shared" si="41"/>
        <v>23.199749999999998</v>
      </c>
      <c r="H285" s="12">
        <f t="shared" si="42"/>
        <v>290.5478333333333</v>
      </c>
      <c r="I285" s="17" cm="1">
        <f t="array" ref="I285">IF(MONTH(A285) = LOOKUP(YEAR(A285), YEAR('CNY Dates'!A$2:A$34), 'CNY Dates'!B$2:B$34), LOOKUP(YEAR(A285), YEAR('Hongbao demand'!B$4:B$35), 'Hongbao demand'!F$4:F$35)  - O284, 0)</f>
        <v>0</v>
      </c>
      <c r="J285" s="18">
        <f t="shared" si="43"/>
        <v>-43.982359261783785</v>
      </c>
      <c r="K285" s="19">
        <v>30784.766666666699</v>
      </c>
      <c r="L285" s="12">
        <v>0.95206999999999997</v>
      </c>
      <c r="M285" s="14">
        <v>1.0833333333333333E-4</v>
      </c>
      <c r="N285" s="19">
        <f t="shared" ca="1" si="44"/>
        <v>258.78477592845047</v>
      </c>
      <c r="O285" s="12">
        <f t="shared" ca="1" si="46"/>
        <v>0</v>
      </c>
      <c r="P285" s="18">
        <f t="shared" ca="1" si="45"/>
        <v>124.51777592845042</v>
      </c>
      <c r="Q285" s="19">
        <f t="shared" ca="1" si="47"/>
        <v>18.677666389267561</v>
      </c>
      <c r="R285" s="12">
        <f t="shared" ca="1" si="47"/>
        <v>24.903555185690085</v>
      </c>
      <c r="S285" s="12">
        <f t="shared" ca="1" si="48"/>
        <v>0</v>
      </c>
      <c r="T285" s="83">
        <f t="shared" ca="1" si="49"/>
        <v>43.581221574957645</v>
      </c>
      <c r="W285" s="1"/>
      <c r="Z285" s="6"/>
    </row>
    <row r="286" spans="1:26" x14ac:dyDescent="0.3">
      <c r="A286" s="11">
        <v>41000</v>
      </c>
      <c r="B286" s="94">
        <v>19301.52</v>
      </c>
      <c r="C286" s="97">
        <v>17604.79</v>
      </c>
      <c r="D286" s="109">
        <v>1696.73</v>
      </c>
      <c r="E286" s="109">
        <v>228.43</v>
      </c>
      <c r="F286" s="16">
        <f t="shared" ca="1" si="40"/>
        <v>441.66370342706057</v>
      </c>
      <c r="G286" s="12">
        <f t="shared" si="41"/>
        <v>13.606833333333332</v>
      </c>
      <c r="H286" s="12">
        <f t="shared" si="42"/>
        <v>294.5145</v>
      </c>
      <c r="I286" s="17" cm="1">
        <f t="array" ref="I286">IF(MONTH(A286) = LOOKUP(YEAR(A286), YEAR('CNY Dates'!A$2:A$34), 'CNY Dates'!B$2:B$34), LOOKUP(YEAR(A286), YEAR('Hongbao demand'!B$4:B$35), 'Hongbao demand'!F$4:F$35)  - O285, 0)</f>
        <v>0</v>
      </c>
      <c r="J286" s="18">
        <f t="shared" si="43"/>
        <v>133.54237009372724</v>
      </c>
      <c r="K286" s="19">
        <v>31660.9666666667</v>
      </c>
      <c r="L286" s="12">
        <v>0.95718000000000003</v>
      </c>
      <c r="M286" s="14">
        <v>1.0833333333333333E-4</v>
      </c>
      <c r="N286" s="19">
        <f t="shared" ca="1" si="44"/>
        <v>-213.23370342706056</v>
      </c>
      <c r="O286" s="12">
        <f t="shared" ca="1" si="46"/>
        <v>0</v>
      </c>
      <c r="P286" s="18">
        <f t="shared" ca="1" si="45"/>
        <v>0</v>
      </c>
      <c r="Q286" s="19">
        <f t="shared" ca="1" si="47"/>
        <v>0</v>
      </c>
      <c r="R286" s="12">
        <f t="shared" ca="1" si="47"/>
        <v>0</v>
      </c>
      <c r="S286" s="12">
        <f t="shared" ca="1" si="48"/>
        <v>0</v>
      </c>
      <c r="T286" s="83">
        <f t="shared" ca="1" si="49"/>
        <v>0</v>
      </c>
      <c r="W286" s="1"/>
      <c r="Z286" s="6"/>
    </row>
    <row r="287" spans="1:26" x14ac:dyDescent="0.3">
      <c r="A287" s="11">
        <v>41030</v>
      </c>
      <c r="B287" s="94">
        <v>19299.21</v>
      </c>
      <c r="C287" s="97">
        <v>17573.990000000002</v>
      </c>
      <c r="D287" s="109">
        <v>1725.22</v>
      </c>
      <c r="E287" s="109">
        <v>262.61</v>
      </c>
      <c r="F287" s="16">
        <f t="shared" ca="1" si="40"/>
        <v>295.25222562105131</v>
      </c>
      <c r="G287" s="12">
        <f t="shared" si="41"/>
        <v>14.139416666666667</v>
      </c>
      <c r="H287" s="12">
        <f t="shared" si="42"/>
        <v>293.41316666666665</v>
      </c>
      <c r="I287" s="17" cm="1">
        <f t="array" ref="I287">IF(MONTH(A287) = LOOKUP(YEAR(A287), YEAR('CNY Dates'!A$2:A$34), 'CNY Dates'!B$2:B$34), LOOKUP(YEAR(A287), YEAR('Hongbao demand'!B$4:B$35), 'Hongbao demand'!F$4:F$35)  - O286, 0)</f>
        <v>0</v>
      </c>
      <c r="J287" s="18">
        <f t="shared" si="43"/>
        <v>-12.300357712282004</v>
      </c>
      <c r="K287" s="19">
        <v>31660.9666666667</v>
      </c>
      <c r="L287" s="12">
        <v>0.95916999999999997</v>
      </c>
      <c r="M287" s="14">
        <v>1.0833333333333333E-4</v>
      </c>
      <c r="N287" s="19">
        <f t="shared" ca="1" si="44"/>
        <v>-32.642225621051296</v>
      </c>
      <c r="O287" s="12">
        <f t="shared" ca="1" si="46"/>
        <v>0</v>
      </c>
      <c r="P287" s="18">
        <f t="shared" ca="1" si="45"/>
        <v>0</v>
      </c>
      <c r="Q287" s="19">
        <f t="shared" ca="1" si="47"/>
        <v>0</v>
      </c>
      <c r="R287" s="12">
        <f t="shared" ca="1" si="47"/>
        <v>0</v>
      </c>
      <c r="S287" s="12">
        <f t="shared" ca="1" si="48"/>
        <v>0</v>
      </c>
      <c r="T287" s="83">
        <f t="shared" ca="1" si="49"/>
        <v>0</v>
      </c>
      <c r="W287" s="1"/>
      <c r="Z287" s="6"/>
    </row>
    <row r="288" spans="1:26" x14ac:dyDescent="0.3">
      <c r="A288" s="11">
        <v>41061</v>
      </c>
      <c r="B288" s="94">
        <v>21704.76</v>
      </c>
      <c r="C288" s="97">
        <v>17899.98</v>
      </c>
      <c r="D288" s="109">
        <v>3804.78</v>
      </c>
      <c r="E288" s="109">
        <v>618.89</v>
      </c>
      <c r="F288" s="16">
        <f t="shared" ca="1" si="40"/>
        <v>-123.82401716208329</v>
      </c>
      <c r="G288" s="12">
        <f t="shared" si="41"/>
        <v>14.376833333333334</v>
      </c>
      <c r="H288" s="12">
        <f t="shared" si="42"/>
        <v>292.89983333333333</v>
      </c>
      <c r="I288" s="17" cm="1">
        <f t="array" ref="I288">IF(MONTH(A288) = LOOKUP(YEAR(A288), YEAR('CNY Dates'!A$2:A$34), 'CNY Dates'!B$2:B$34), LOOKUP(YEAR(A288), YEAR('Hongbao demand'!B$4:B$35), 'Hongbao demand'!F$4:F$35)  - O287, 0)</f>
        <v>0</v>
      </c>
      <c r="J288" s="18">
        <f t="shared" si="43"/>
        <v>-431.10068382874994</v>
      </c>
      <c r="K288" s="19">
        <v>31660.9666666667</v>
      </c>
      <c r="L288" s="12">
        <v>0.95924000000000009</v>
      </c>
      <c r="M288" s="14">
        <v>1.1666666666666668E-4</v>
      </c>
      <c r="N288" s="19">
        <f t="shared" ca="1" si="44"/>
        <v>742.71401716208334</v>
      </c>
      <c r="O288" s="12">
        <f t="shared" ca="1" si="46"/>
        <v>0</v>
      </c>
      <c r="P288" s="18">
        <f t="shared" ca="1" si="45"/>
        <v>2757.4960171620837</v>
      </c>
      <c r="Q288" s="19">
        <f t="shared" ca="1" si="47"/>
        <v>413.62440257431257</v>
      </c>
      <c r="R288" s="12">
        <f t="shared" ca="1" si="47"/>
        <v>551.49920343241672</v>
      </c>
      <c r="S288" s="12">
        <f t="shared" ca="1" si="48"/>
        <v>0</v>
      </c>
      <c r="T288" s="83">
        <f t="shared" ca="1" si="49"/>
        <v>965.12360600672923</v>
      </c>
      <c r="W288" s="1"/>
      <c r="Z288" s="6"/>
    </row>
    <row r="289" spans="1:26" x14ac:dyDescent="0.3">
      <c r="A289" s="11">
        <v>41091</v>
      </c>
      <c r="B289" s="94">
        <v>21701.96</v>
      </c>
      <c r="C289" s="97">
        <v>17871.7</v>
      </c>
      <c r="D289" s="109">
        <v>3830.26</v>
      </c>
      <c r="E289" s="109">
        <v>270.05</v>
      </c>
      <c r="F289" s="16">
        <f t="shared" ca="1" si="40"/>
        <v>236.80432878085699</v>
      </c>
      <c r="G289" s="12">
        <f t="shared" si="41"/>
        <v>31.706500000000002</v>
      </c>
      <c r="H289" s="12">
        <f t="shared" si="42"/>
        <v>298.33299999999997</v>
      </c>
      <c r="I289" s="17" cm="1">
        <f t="array" ref="I289">IF(MONTH(A289) = LOOKUP(YEAR(A289), YEAR('CNY Dates'!A$2:A$34), 'CNY Dates'!B$2:B$34), LOOKUP(YEAR(A289), YEAR('Hongbao demand'!B$4:B$35), 'Hongbao demand'!F$4:F$35)  - O288, 0)</f>
        <v>0</v>
      </c>
      <c r="J289" s="18">
        <f t="shared" si="43"/>
        <v>-93.235171219142984</v>
      </c>
      <c r="K289" s="19">
        <v>31218.866666666701</v>
      </c>
      <c r="L289" s="12">
        <v>0.96145999999999998</v>
      </c>
      <c r="M289" s="14">
        <v>1.1666666666666668E-4</v>
      </c>
      <c r="N289" s="19">
        <f t="shared" ca="1" si="44"/>
        <v>33.24567121914302</v>
      </c>
      <c r="O289" s="12">
        <f t="shared" ca="1" si="46"/>
        <v>0</v>
      </c>
      <c r="P289" s="18">
        <f t="shared" ca="1" si="45"/>
        <v>2076.335671219143</v>
      </c>
      <c r="Q289" s="19">
        <f t="shared" ca="1" si="47"/>
        <v>311.45035068287143</v>
      </c>
      <c r="R289" s="12">
        <f t="shared" ca="1" si="47"/>
        <v>415.26713424382865</v>
      </c>
      <c r="S289" s="12">
        <f t="shared" ca="1" si="48"/>
        <v>0</v>
      </c>
      <c r="T289" s="83">
        <f t="shared" ca="1" si="49"/>
        <v>726.71748492670008</v>
      </c>
      <c r="W289" s="1"/>
      <c r="Z289" s="6"/>
    </row>
    <row r="290" spans="1:26" x14ac:dyDescent="0.3">
      <c r="A290" s="11">
        <v>41122</v>
      </c>
      <c r="B290" s="94">
        <v>21698.32</v>
      </c>
      <c r="C290" s="97">
        <v>17928.68</v>
      </c>
      <c r="D290" s="109">
        <v>3769.64</v>
      </c>
      <c r="E290" s="109">
        <v>354.84</v>
      </c>
      <c r="F290" s="16">
        <f t="shared" ca="1" si="40"/>
        <v>294.45417706615132</v>
      </c>
      <c r="G290" s="12">
        <f t="shared" si="41"/>
        <v>31.918833333333335</v>
      </c>
      <c r="H290" s="12">
        <f t="shared" si="42"/>
        <v>297.86166666666668</v>
      </c>
      <c r="I290" s="17" cm="1">
        <f t="array" ref="I290">IF(MONTH(A290) = LOOKUP(YEAR(A290), YEAR('CNY Dates'!A$2:A$34), 'CNY Dates'!B$2:B$34), LOOKUP(YEAR(A290), YEAR('Hongbao demand'!B$4:B$35), 'Hongbao demand'!F$4:F$35)  - O289, 0)</f>
        <v>0</v>
      </c>
      <c r="J290" s="18">
        <f t="shared" si="43"/>
        <v>-35.326322933848715</v>
      </c>
      <c r="K290" s="19">
        <v>31218.866666666701</v>
      </c>
      <c r="L290" s="12">
        <v>0.96743999999999997</v>
      </c>
      <c r="M290" s="14">
        <v>1.1666666666666668E-4</v>
      </c>
      <c r="N290" s="19">
        <f t="shared" ca="1" si="44"/>
        <v>60.385822933848658</v>
      </c>
      <c r="O290" s="12">
        <f t="shared" ca="1" si="46"/>
        <v>0</v>
      </c>
      <c r="P290" s="18">
        <f t="shared" ca="1" si="45"/>
        <v>2037.1578229338486</v>
      </c>
      <c r="Q290" s="19">
        <f t="shared" ca="1" si="47"/>
        <v>305.5736734400773</v>
      </c>
      <c r="R290" s="12">
        <f t="shared" ca="1" si="47"/>
        <v>407.43156458676975</v>
      </c>
      <c r="S290" s="12">
        <f t="shared" ca="1" si="48"/>
        <v>0</v>
      </c>
      <c r="T290" s="83">
        <f t="shared" ca="1" si="49"/>
        <v>713.00523802684711</v>
      </c>
      <c r="W290" s="1"/>
      <c r="Z290" s="6"/>
    </row>
    <row r="291" spans="1:26" x14ac:dyDescent="0.3">
      <c r="A291" s="11">
        <v>41153</v>
      </c>
      <c r="B291" s="94">
        <v>21696.15</v>
      </c>
      <c r="C291" s="97">
        <v>18229.75</v>
      </c>
      <c r="D291" s="109">
        <v>3466.4</v>
      </c>
      <c r="E291" s="109">
        <v>599.88</v>
      </c>
      <c r="F291" s="16">
        <f t="shared" ca="1" si="40"/>
        <v>297.60323545569781</v>
      </c>
      <c r="G291" s="12">
        <f t="shared" si="41"/>
        <v>31.413666666666664</v>
      </c>
      <c r="H291" s="12">
        <f t="shared" si="42"/>
        <v>298.81133333333332</v>
      </c>
      <c r="I291" s="17" cm="1">
        <f t="array" ref="I291">IF(MONTH(A291) = LOOKUP(YEAR(A291), YEAR('CNY Dates'!A$2:A$34), 'CNY Dates'!B$2:B$34), LOOKUP(YEAR(A291), YEAR('Hongbao demand'!B$4:B$35), 'Hongbao demand'!F$4:F$35)  - O290, 0)</f>
        <v>0</v>
      </c>
      <c r="J291" s="18">
        <f t="shared" si="43"/>
        <v>-32.62176454430216</v>
      </c>
      <c r="K291" s="19">
        <v>31218.866666666701</v>
      </c>
      <c r="L291" s="12">
        <v>0.97298000000000007</v>
      </c>
      <c r="M291" s="14">
        <v>1.1666666666666668E-4</v>
      </c>
      <c r="N291" s="19">
        <f t="shared" ca="1" si="44"/>
        <v>302.27676454430218</v>
      </c>
      <c r="O291" s="12">
        <f t="shared" ca="1" si="46"/>
        <v>0</v>
      </c>
      <c r="P291" s="18">
        <f t="shared" ca="1" si="45"/>
        <v>1945.7017645443023</v>
      </c>
      <c r="Q291" s="19">
        <f t="shared" ca="1" si="47"/>
        <v>291.85526468164534</v>
      </c>
      <c r="R291" s="12">
        <f t="shared" ca="1" si="47"/>
        <v>389.14035290886045</v>
      </c>
      <c r="S291" s="12">
        <f t="shared" ca="1" si="48"/>
        <v>0</v>
      </c>
      <c r="T291" s="83">
        <f t="shared" ca="1" si="49"/>
        <v>680.99561759050584</v>
      </c>
      <c r="W291" s="1"/>
      <c r="Z291" s="6"/>
    </row>
    <row r="292" spans="1:26" x14ac:dyDescent="0.3">
      <c r="A292" s="11">
        <v>41183</v>
      </c>
      <c r="B292" s="94">
        <v>21693.84</v>
      </c>
      <c r="C292" s="97">
        <v>18204.62</v>
      </c>
      <c r="D292" s="109">
        <v>3489.22</v>
      </c>
      <c r="E292" s="109">
        <v>278.7</v>
      </c>
      <c r="F292" s="16">
        <f t="shared" ca="1" si="40"/>
        <v>513.36077454383019</v>
      </c>
      <c r="G292" s="12">
        <f t="shared" si="41"/>
        <v>28.886666666666667</v>
      </c>
      <c r="H292" s="12">
        <f t="shared" si="42"/>
        <v>303.82916666666665</v>
      </c>
      <c r="I292" s="17" cm="1">
        <f t="array" ref="I292">IF(MONTH(A292) = LOOKUP(YEAR(A292), YEAR('CNY Dates'!A$2:A$34), 'CNY Dates'!B$2:B$34), LOOKUP(YEAR(A292), YEAR('Hongbao demand'!B$4:B$35), 'Hongbao demand'!F$4:F$35)  - O291, 0)</f>
        <v>0</v>
      </c>
      <c r="J292" s="18">
        <f t="shared" si="43"/>
        <v>180.64494121049685</v>
      </c>
      <c r="K292" s="19">
        <v>32151.733333333301</v>
      </c>
      <c r="L292" s="12">
        <v>0.97099999999999997</v>
      </c>
      <c r="M292" s="14">
        <v>1.1666666666666668E-4</v>
      </c>
      <c r="N292" s="19">
        <f t="shared" ca="1" si="44"/>
        <v>-234.6607745438302</v>
      </c>
      <c r="O292" s="12">
        <f t="shared" ca="1" si="46"/>
        <v>0</v>
      </c>
      <c r="P292" s="18">
        <f t="shared" ca="1" si="45"/>
        <v>1434.0972254561698</v>
      </c>
      <c r="Q292" s="19">
        <f t="shared" ca="1" si="47"/>
        <v>215.11458381842547</v>
      </c>
      <c r="R292" s="12">
        <f t="shared" ca="1" si="47"/>
        <v>286.81944509123394</v>
      </c>
      <c r="S292" s="12">
        <f t="shared" ca="1" si="48"/>
        <v>0</v>
      </c>
      <c r="T292" s="83">
        <f t="shared" ca="1" si="49"/>
        <v>501.93402890965945</v>
      </c>
      <c r="W292" s="1"/>
      <c r="Z292" s="6"/>
    </row>
    <row r="293" spans="1:26" x14ac:dyDescent="0.3">
      <c r="A293" s="11">
        <v>41214</v>
      </c>
      <c r="B293" s="94">
        <v>21691.25</v>
      </c>
      <c r="C293" s="97">
        <v>18335.03</v>
      </c>
      <c r="D293" s="109">
        <v>3356.22</v>
      </c>
      <c r="E293" s="109">
        <v>433.82</v>
      </c>
      <c r="F293" s="16">
        <f t="shared" ca="1" si="40"/>
        <v>325.03943770577104</v>
      </c>
      <c r="G293" s="12">
        <f t="shared" si="41"/>
        <v>29.076833333333333</v>
      </c>
      <c r="H293" s="12">
        <f t="shared" si="42"/>
        <v>303.41033333333331</v>
      </c>
      <c r="I293" s="17" cm="1">
        <f t="array" ref="I293">IF(MONTH(A293) = LOOKUP(YEAR(A293), YEAR('CNY Dates'!A$2:A$34), 'CNY Dates'!B$2:B$34), LOOKUP(YEAR(A293), YEAR('Hongbao demand'!B$4:B$35), 'Hongbao demand'!F$4:F$35)  - O292, 0)</f>
        <v>0</v>
      </c>
      <c r="J293" s="18">
        <f t="shared" si="43"/>
        <v>-7.4477289608956339</v>
      </c>
      <c r="K293" s="19">
        <v>32151.733333333301</v>
      </c>
      <c r="L293" s="12">
        <v>0.97224999999999995</v>
      </c>
      <c r="M293" s="14">
        <v>1.1666666666666668E-4</v>
      </c>
      <c r="N293" s="19">
        <f t="shared" ca="1" si="44"/>
        <v>108.78056229422896</v>
      </c>
      <c r="O293" s="12">
        <f t="shared" ca="1" si="46"/>
        <v>0</v>
      </c>
      <c r="P293" s="18">
        <f t="shared" ca="1" si="45"/>
        <v>1631.4975622942291</v>
      </c>
      <c r="Q293" s="19">
        <f t="shared" ca="1" si="47"/>
        <v>244.72463434413436</v>
      </c>
      <c r="R293" s="12">
        <f t="shared" ca="1" si="47"/>
        <v>326.29951245884581</v>
      </c>
      <c r="S293" s="12">
        <f t="shared" ca="1" si="48"/>
        <v>0</v>
      </c>
      <c r="T293" s="83">
        <f t="shared" ca="1" si="49"/>
        <v>571.02414680298011</v>
      </c>
      <c r="W293" s="1"/>
      <c r="Z293" s="6"/>
    </row>
    <row r="294" spans="1:26" x14ac:dyDescent="0.3">
      <c r="A294" s="11">
        <v>41244</v>
      </c>
      <c r="B294" s="94">
        <v>21688.94</v>
      </c>
      <c r="C294" s="97">
        <v>18546.919999999998</v>
      </c>
      <c r="D294" s="109">
        <v>3142.02</v>
      </c>
      <c r="E294" s="109">
        <v>517.47</v>
      </c>
      <c r="F294" s="16">
        <f t="shared" ca="1" si="40"/>
        <v>291.15341138964033</v>
      </c>
      <c r="G294" s="12">
        <f t="shared" si="41"/>
        <v>27.968499999999999</v>
      </c>
      <c r="H294" s="12">
        <f t="shared" si="42"/>
        <v>305.5838333333333</v>
      </c>
      <c r="I294" s="17" cm="1">
        <f t="array" ref="I294">IF(MONTH(A294) = LOOKUP(YEAR(A294), YEAR('CNY Dates'!A$2:A$34), 'CNY Dates'!B$2:B$34), LOOKUP(YEAR(A294), YEAR('Hongbao demand'!B$4:B$35), 'Hongbao demand'!F$4:F$35)  - O293, 0)</f>
        <v>0</v>
      </c>
      <c r="J294" s="18">
        <f t="shared" si="43"/>
        <v>-42.398921943692983</v>
      </c>
      <c r="K294" s="19">
        <v>32151.733333333301</v>
      </c>
      <c r="L294" s="12">
        <v>0.97936000000000012</v>
      </c>
      <c r="M294" s="14">
        <v>1.1666666666666668E-4</v>
      </c>
      <c r="N294" s="19">
        <f t="shared" ca="1" si="44"/>
        <v>226.3165886103597</v>
      </c>
      <c r="O294" s="12">
        <f t="shared" ca="1" si="46"/>
        <v>0</v>
      </c>
      <c r="P294" s="18">
        <f t="shared" ca="1" si="45"/>
        <v>1513.6445886103597</v>
      </c>
      <c r="Q294" s="19">
        <f t="shared" ca="1" si="47"/>
        <v>227.04668829155395</v>
      </c>
      <c r="R294" s="12">
        <f t="shared" ca="1" si="47"/>
        <v>302.72891772207197</v>
      </c>
      <c r="S294" s="12">
        <f t="shared" ca="1" si="48"/>
        <v>0</v>
      </c>
      <c r="T294" s="83">
        <f t="shared" ca="1" si="49"/>
        <v>529.77560601362597</v>
      </c>
      <c r="W294" s="1"/>
      <c r="Z294" s="6"/>
    </row>
    <row r="295" spans="1:26" x14ac:dyDescent="0.3">
      <c r="A295" s="11">
        <v>41275</v>
      </c>
      <c r="B295" s="94">
        <v>21685.51</v>
      </c>
      <c r="C295" s="97">
        <v>18792.830000000002</v>
      </c>
      <c r="D295" s="109">
        <v>2892.68</v>
      </c>
      <c r="E295" s="109">
        <v>555.03</v>
      </c>
      <c r="F295" s="16">
        <f t="shared" ca="1" si="40"/>
        <v>267.99666917277466</v>
      </c>
      <c r="G295" s="12">
        <f t="shared" si="41"/>
        <v>26.183499999999999</v>
      </c>
      <c r="H295" s="12">
        <f t="shared" si="42"/>
        <v>309.1153333333333</v>
      </c>
      <c r="I295" s="17" cm="1">
        <f t="array" ref="I295">IF(MONTH(A295) = LOOKUP(YEAR(A295), YEAR('CNY Dates'!A$2:A$34), 'CNY Dates'!B$2:B$34), LOOKUP(YEAR(A295), YEAR('Hongbao demand'!B$4:B$35), 'Hongbao demand'!F$4:F$35)  - O294, 0)</f>
        <v>0</v>
      </c>
      <c r="J295" s="18">
        <f t="shared" si="43"/>
        <v>-67.30216416055859</v>
      </c>
      <c r="K295" s="19">
        <v>31841</v>
      </c>
      <c r="L295" s="12">
        <v>0.98120999999999992</v>
      </c>
      <c r="M295" s="14">
        <v>1.1666666666666668E-4</v>
      </c>
      <c r="N295" s="19">
        <f t="shared" ca="1" si="44"/>
        <v>287.03333082722531</v>
      </c>
      <c r="O295" s="12">
        <f t="shared" ca="1" si="46"/>
        <v>0</v>
      </c>
      <c r="P295" s="18">
        <f t="shared" ca="1" si="45"/>
        <v>1300.4303308272247</v>
      </c>
      <c r="Q295" s="19">
        <f t="shared" ca="1" si="47"/>
        <v>195.0645496240837</v>
      </c>
      <c r="R295" s="12">
        <f t="shared" ca="1" si="47"/>
        <v>260.08606616544495</v>
      </c>
      <c r="S295" s="12">
        <f t="shared" ca="1" si="48"/>
        <v>0</v>
      </c>
      <c r="T295" s="83">
        <f t="shared" ca="1" si="49"/>
        <v>455.15061578952862</v>
      </c>
      <c r="W295" s="1"/>
      <c r="Z295" s="6"/>
    </row>
    <row r="296" spans="1:26" x14ac:dyDescent="0.3">
      <c r="A296" s="11">
        <v>41306</v>
      </c>
      <c r="B296" s="94">
        <v>22172.36</v>
      </c>
      <c r="C296" s="97">
        <v>18851.77</v>
      </c>
      <c r="D296" s="109">
        <v>3320.59</v>
      </c>
      <c r="E296" s="109">
        <v>372.15</v>
      </c>
      <c r="F296" s="16">
        <f t="shared" ca="1" si="40"/>
        <v>291.73171034071584</v>
      </c>
      <c r="G296" s="12">
        <f t="shared" si="41"/>
        <v>24.105666666666664</v>
      </c>
      <c r="H296" s="12">
        <f t="shared" si="42"/>
        <v>313.21383333333335</v>
      </c>
      <c r="I296" s="17" cm="1">
        <f t="array" aca="1" ref="I296" ca="1">IF(MONTH(A296) = LOOKUP(YEAR(A296), YEAR('CNY Dates'!A$2:A$34), 'CNY Dates'!B$2:B$34), LOOKUP(YEAR(A296), YEAR('Hongbao demand'!B$4:B$35), 'Hongbao demand'!F$4:F$35)  - O295, 0)</f>
        <v>12.696985769809123</v>
      </c>
      <c r="J296" s="18">
        <f t="shared" si="43"/>
        <v>-58.284775429093301</v>
      </c>
      <c r="K296" s="19">
        <v>31841</v>
      </c>
      <c r="L296" s="12">
        <v>0.99107000000000001</v>
      </c>
      <c r="M296" s="14">
        <v>1.1666666666666668E-4</v>
      </c>
      <c r="N296" s="19">
        <f t="shared" ca="1" si="44"/>
        <v>80.418289659284142</v>
      </c>
      <c r="O296" s="12">
        <f t="shared" ca="1" si="46"/>
        <v>16.08365793185683</v>
      </c>
      <c r="P296" s="18">
        <f t="shared" ca="1" si="45"/>
        <v>1515.8312896592843</v>
      </c>
      <c r="Q296" s="19">
        <f t="shared" ca="1" si="47"/>
        <v>227.37469344889263</v>
      </c>
      <c r="R296" s="12">
        <f t="shared" ca="1" si="47"/>
        <v>303.16625793185688</v>
      </c>
      <c r="S296" s="12">
        <f t="shared" ca="1" si="48"/>
        <v>1.6083657931856832</v>
      </c>
      <c r="T296" s="83">
        <f t="shared" ca="1" si="49"/>
        <v>532.14931717393517</v>
      </c>
      <c r="W296" s="1"/>
      <c r="Z296" s="6"/>
    </row>
    <row r="297" spans="1:26" x14ac:dyDescent="0.3">
      <c r="A297" s="11">
        <v>41334</v>
      </c>
      <c r="B297" s="94">
        <v>21191.03</v>
      </c>
      <c r="C297" s="97">
        <v>19384.61</v>
      </c>
      <c r="D297" s="109">
        <v>1806.42</v>
      </c>
      <c r="E297" s="109">
        <v>847.04</v>
      </c>
      <c r="F297" s="16">
        <f t="shared" ca="1" si="40"/>
        <v>373.09718469563899</v>
      </c>
      <c r="G297" s="12">
        <f t="shared" si="41"/>
        <v>27.671583333333334</v>
      </c>
      <c r="H297" s="12">
        <f t="shared" si="42"/>
        <v>314.19616666666667</v>
      </c>
      <c r="I297" s="17" cm="1">
        <f t="array" ref="I297">IF(MONTH(A297) = LOOKUP(YEAR(A297), YEAR('CNY Dates'!A$2:A$34), 'CNY Dates'!B$2:B$34), LOOKUP(YEAR(A297), YEAR('Hongbao demand'!B$4:B$35), 'Hongbao demand'!F$4:F$35)  - O296, 0)</f>
        <v>0</v>
      </c>
      <c r="J297" s="18">
        <f t="shared" si="43"/>
        <v>31.229434695638979</v>
      </c>
      <c r="K297" s="19">
        <v>31841</v>
      </c>
      <c r="L297" s="12">
        <v>0.98573999999999995</v>
      </c>
      <c r="M297" s="14">
        <v>1.1666666666666668E-4</v>
      </c>
      <c r="N297" s="19">
        <f t="shared" ca="1" si="44"/>
        <v>473.94281530436098</v>
      </c>
      <c r="O297" s="12">
        <f t="shared" ca="1" si="46"/>
        <v>15.949627449091357</v>
      </c>
      <c r="P297" s="18">
        <f t="shared" ca="1" si="45"/>
        <v>341.90181530436075</v>
      </c>
      <c r="Q297" s="19">
        <f t="shared" ca="1" si="47"/>
        <v>51.28527229565411</v>
      </c>
      <c r="R297" s="12">
        <f t="shared" ca="1" si="47"/>
        <v>68.380363060872156</v>
      </c>
      <c r="S297" s="12">
        <f t="shared" ca="1" si="48"/>
        <v>1.5949627449091359</v>
      </c>
      <c r="T297" s="83">
        <f t="shared" ca="1" si="49"/>
        <v>121.26059810143541</v>
      </c>
      <c r="W297" s="1"/>
      <c r="Z297" s="6"/>
    </row>
    <row r="298" spans="1:26" x14ac:dyDescent="0.3">
      <c r="A298" s="11">
        <v>41365</v>
      </c>
      <c r="B298" s="94">
        <v>21191.24</v>
      </c>
      <c r="C298" s="97">
        <v>19306.91</v>
      </c>
      <c r="D298" s="109">
        <v>1884.33</v>
      </c>
      <c r="E298" s="109">
        <v>245.38</v>
      </c>
      <c r="F298" s="16">
        <f t="shared" ca="1" si="40"/>
        <v>652.66836194435666</v>
      </c>
      <c r="G298" s="12">
        <f t="shared" si="41"/>
        <v>15.053500000000001</v>
      </c>
      <c r="H298" s="12">
        <f t="shared" si="42"/>
        <v>323.07683333333335</v>
      </c>
      <c r="I298" s="17" cm="1">
        <f t="array" ref="I298">IF(MONTH(A298) = LOOKUP(YEAR(A298), YEAR('CNY Dates'!A$2:A$34), 'CNY Dates'!B$2:B$34), LOOKUP(YEAR(A298), YEAR('Hongbao demand'!B$4:B$35), 'Hongbao demand'!F$4:F$35)  - O297, 0)</f>
        <v>0</v>
      </c>
      <c r="J298" s="18">
        <f t="shared" si="43"/>
        <v>314.53802861102332</v>
      </c>
      <c r="K298" s="19">
        <v>33119.566666666702</v>
      </c>
      <c r="L298" s="12">
        <v>0.97111999999999998</v>
      </c>
      <c r="M298" s="14">
        <v>1.1666666666666668E-4</v>
      </c>
      <c r="N298" s="19">
        <f t="shared" ca="1" si="44"/>
        <v>-407.28836194435667</v>
      </c>
      <c r="O298" s="12">
        <f t="shared" ca="1" si="46"/>
        <v>15.816713887015595</v>
      </c>
      <c r="P298" s="18">
        <f t="shared" ca="1" si="45"/>
        <v>0</v>
      </c>
      <c r="Q298" s="19">
        <f t="shared" ca="1" si="47"/>
        <v>0</v>
      </c>
      <c r="R298" s="12">
        <f t="shared" ca="1" si="47"/>
        <v>0</v>
      </c>
      <c r="S298" s="12">
        <f t="shared" ca="1" si="48"/>
        <v>1.5816713887015597</v>
      </c>
      <c r="T298" s="83">
        <f t="shared" ca="1" si="49"/>
        <v>1.5816713887015597</v>
      </c>
      <c r="W298" s="1"/>
      <c r="Z298" s="6"/>
    </row>
    <row r="299" spans="1:26" x14ac:dyDescent="0.3">
      <c r="A299" s="11">
        <v>41395</v>
      </c>
      <c r="B299" s="94">
        <v>21189.49</v>
      </c>
      <c r="C299" s="97">
        <v>19554.78</v>
      </c>
      <c r="D299" s="109">
        <v>1634.71</v>
      </c>
      <c r="E299" s="109">
        <v>569.65</v>
      </c>
      <c r="F299" s="16">
        <f t="shared" ca="1" si="40"/>
        <v>316.61126748216014</v>
      </c>
      <c r="G299" s="12">
        <f t="shared" si="41"/>
        <v>15.70275</v>
      </c>
      <c r="H299" s="12">
        <f t="shared" si="42"/>
        <v>321.78183333333334</v>
      </c>
      <c r="I299" s="17" cm="1">
        <f t="array" ref="I299">IF(MONTH(A299) = LOOKUP(YEAR(A299), YEAR('CNY Dates'!A$2:A$34), 'CNY Dates'!B$2:B$34), LOOKUP(YEAR(A299), YEAR('Hongbao demand'!B$4:B$35), 'Hongbao demand'!F$4:F$35)  - O298, 0)</f>
        <v>0</v>
      </c>
      <c r="J299" s="18">
        <f t="shared" si="43"/>
        <v>-20.873315851173157</v>
      </c>
      <c r="K299" s="19">
        <v>33119.566666666702</v>
      </c>
      <c r="L299" s="12">
        <v>0.97456999999999994</v>
      </c>
      <c r="M299" s="14">
        <v>1.1666666666666668E-4</v>
      </c>
      <c r="N299" s="19">
        <f t="shared" ca="1" si="44"/>
        <v>253.03873251783983</v>
      </c>
      <c r="O299" s="12">
        <f t="shared" ca="1" si="46"/>
        <v>15.684907937957131</v>
      </c>
      <c r="P299" s="18">
        <f t="shared" ca="1" si="45"/>
        <v>0</v>
      </c>
      <c r="Q299" s="19">
        <f t="shared" ca="1" si="47"/>
        <v>0</v>
      </c>
      <c r="R299" s="12">
        <f t="shared" ca="1" si="47"/>
        <v>0</v>
      </c>
      <c r="S299" s="12">
        <f t="shared" ca="1" si="48"/>
        <v>1.5684907937957133</v>
      </c>
      <c r="T299" s="83">
        <f t="shared" ca="1" si="49"/>
        <v>1.5684907937957133</v>
      </c>
      <c r="W299" s="1"/>
      <c r="Z299" s="6"/>
    </row>
    <row r="300" spans="1:26" x14ac:dyDescent="0.3">
      <c r="A300" s="11">
        <v>41426</v>
      </c>
      <c r="B300" s="94">
        <v>22753.29</v>
      </c>
      <c r="C300" s="97">
        <v>19817.21</v>
      </c>
      <c r="D300" s="109">
        <v>2936.08</v>
      </c>
      <c r="E300" s="109">
        <v>588.34</v>
      </c>
      <c r="F300" s="16">
        <f t="shared" ca="1" si="40"/>
        <v>327.52146490601973</v>
      </c>
      <c r="G300" s="12">
        <f t="shared" si="41"/>
        <v>13.622583333333333</v>
      </c>
      <c r="H300" s="12">
        <f t="shared" si="42"/>
        <v>325.91299999999995</v>
      </c>
      <c r="I300" s="17" cm="1">
        <f t="array" ref="I300">IF(MONTH(A300) = LOOKUP(YEAR(A300), YEAR('CNY Dates'!A$2:A$34), 'CNY Dates'!B$2:B$34), LOOKUP(YEAR(A300), YEAR('Hongbao demand'!B$4:B$35), 'Hongbao demand'!F$4:F$35)  - O299, 0)</f>
        <v>0</v>
      </c>
      <c r="J300" s="18">
        <f t="shared" si="43"/>
        <v>-12.014118427313585</v>
      </c>
      <c r="K300" s="19">
        <v>33119.566666666702</v>
      </c>
      <c r="L300" s="12">
        <v>0.97656000000000009</v>
      </c>
      <c r="M300" s="14">
        <v>1.1666666666666668E-4</v>
      </c>
      <c r="N300" s="19">
        <f t="shared" ca="1" si="44"/>
        <v>260.8185350939803</v>
      </c>
      <c r="O300" s="12">
        <f t="shared" ca="1" si="46"/>
        <v>15.554200371807489</v>
      </c>
      <c r="P300" s="18">
        <f t="shared" ca="1" si="45"/>
        <v>1215.1775350939802</v>
      </c>
      <c r="Q300" s="19">
        <f t="shared" ca="1" si="47"/>
        <v>182.27663026409701</v>
      </c>
      <c r="R300" s="12">
        <f t="shared" ca="1" si="47"/>
        <v>243.03550701879604</v>
      </c>
      <c r="S300" s="12">
        <f t="shared" ca="1" si="48"/>
        <v>1.5554200371807489</v>
      </c>
      <c r="T300" s="83">
        <f t="shared" ca="1" si="49"/>
        <v>426.86755732007379</v>
      </c>
      <c r="W300" s="1"/>
      <c r="Z300" s="6"/>
    </row>
    <row r="301" spans="1:26" x14ac:dyDescent="0.3">
      <c r="A301" s="11">
        <v>41456</v>
      </c>
      <c r="B301" s="94">
        <v>22750.91</v>
      </c>
      <c r="C301" s="97">
        <v>19797.75</v>
      </c>
      <c r="D301" s="109">
        <v>2953.16</v>
      </c>
      <c r="E301" s="109">
        <v>310.83</v>
      </c>
      <c r="F301" s="16">
        <f t="shared" ca="1" si="40"/>
        <v>339.85833296127271</v>
      </c>
      <c r="G301" s="12">
        <f t="shared" si="41"/>
        <v>24.467333333333332</v>
      </c>
      <c r="H301" s="12">
        <f t="shared" si="42"/>
        <v>330.28683333333333</v>
      </c>
      <c r="I301" s="17" cm="1">
        <f t="array" ref="I301">IF(MONTH(A301) = LOOKUP(YEAR(A301), YEAR('CNY Dates'!A$2:A$34), 'CNY Dates'!B$2:B$34), LOOKUP(YEAR(A301), YEAR('Hongbao demand'!B$4:B$35), 'Hongbao demand'!F$4:F$35)  - O300, 0)</f>
        <v>0</v>
      </c>
      <c r="J301" s="18">
        <f t="shared" si="43"/>
        <v>-14.895833705393946</v>
      </c>
      <c r="K301" s="19">
        <v>33128.400000000001</v>
      </c>
      <c r="L301" s="12">
        <v>0.97928999999999999</v>
      </c>
      <c r="M301" s="14">
        <v>1.1666666666666668E-4</v>
      </c>
      <c r="N301" s="19">
        <f t="shared" ca="1" si="44"/>
        <v>-29.028332961272724</v>
      </c>
      <c r="O301" s="12">
        <f t="shared" ca="1" si="46"/>
        <v>15.42458203537576</v>
      </c>
      <c r="P301" s="18">
        <f t="shared" ca="1" si="45"/>
        <v>944.35666703872721</v>
      </c>
      <c r="Q301" s="19">
        <f t="shared" ca="1" si="47"/>
        <v>141.65350005580908</v>
      </c>
      <c r="R301" s="12">
        <f t="shared" ca="1" si="47"/>
        <v>188.87133340774545</v>
      </c>
      <c r="S301" s="12">
        <f t="shared" ca="1" si="48"/>
        <v>1.542458203537576</v>
      </c>
      <c r="T301" s="83">
        <f t="shared" ca="1" si="49"/>
        <v>332.06729166709209</v>
      </c>
      <c r="W301" s="1"/>
      <c r="Z301" s="6"/>
    </row>
    <row r="302" spans="1:26" x14ac:dyDescent="0.3">
      <c r="A302" s="11">
        <v>41487</v>
      </c>
      <c r="B302" s="94">
        <v>22747.759999999998</v>
      </c>
      <c r="C302" s="97">
        <v>19954.13</v>
      </c>
      <c r="D302" s="109">
        <v>2793.63</v>
      </c>
      <c r="E302" s="109">
        <v>486.34</v>
      </c>
      <c r="F302" s="16">
        <f t="shared" ca="1" si="40"/>
        <v>306.97582550201122</v>
      </c>
      <c r="G302" s="12">
        <f t="shared" si="41"/>
        <v>24.609666666666666</v>
      </c>
      <c r="H302" s="12">
        <f t="shared" si="42"/>
        <v>329.96249999999998</v>
      </c>
      <c r="I302" s="17" cm="1">
        <f t="array" ref="I302">IF(MONTH(A302) = LOOKUP(YEAR(A302), YEAR('CNY Dates'!A$2:A$34), 'CNY Dates'!B$2:B$34), LOOKUP(YEAR(A302), YEAR('Hongbao demand'!B$4:B$35), 'Hongbao demand'!F$4:F$35)  - O301, 0)</f>
        <v>0</v>
      </c>
      <c r="J302" s="18">
        <f t="shared" si="43"/>
        <v>-47.596341164655414</v>
      </c>
      <c r="K302" s="19">
        <v>33128.400000000001</v>
      </c>
      <c r="L302" s="12">
        <v>0.98718000000000006</v>
      </c>
      <c r="M302" s="14">
        <v>1.1666666666666668E-4</v>
      </c>
      <c r="N302" s="19">
        <f t="shared" ca="1" si="44"/>
        <v>179.36417449798876</v>
      </c>
      <c r="O302" s="12">
        <f t="shared" ca="1" si="46"/>
        <v>15.29604385174763</v>
      </c>
      <c r="P302" s="18">
        <f t="shared" ca="1" si="45"/>
        <v>977.58117449798851</v>
      </c>
      <c r="Q302" s="19">
        <f t="shared" ca="1" si="47"/>
        <v>146.63717617469828</v>
      </c>
      <c r="R302" s="12">
        <f t="shared" ca="1" si="47"/>
        <v>195.51623489959772</v>
      </c>
      <c r="S302" s="12">
        <f t="shared" ca="1" si="48"/>
        <v>1.5296043851747632</v>
      </c>
      <c r="T302" s="83">
        <f t="shared" ca="1" si="49"/>
        <v>343.68301545947077</v>
      </c>
      <c r="W302" s="1"/>
      <c r="Z302" s="6"/>
    </row>
    <row r="303" spans="1:26" x14ac:dyDescent="0.3">
      <c r="A303" s="11">
        <v>41518</v>
      </c>
      <c r="B303" s="94">
        <v>22745.73</v>
      </c>
      <c r="C303" s="97">
        <v>19955.95</v>
      </c>
      <c r="D303" s="109">
        <v>2789.78</v>
      </c>
      <c r="E303" s="109">
        <v>334.39</v>
      </c>
      <c r="F303" s="16">
        <f t="shared" ca="1" si="40"/>
        <v>347.03123695041768</v>
      </c>
      <c r="G303" s="12">
        <f t="shared" si="41"/>
        <v>23.280250000000002</v>
      </c>
      <c r="H303" s="12">
        <f t="shared" si="42"/>
        <v>332.56883333333337</v>
      </c>
      <c r="I303" s="17" cm="1">
        <f t="array" ref="I303">IF(MONTH(A303) = LOOKUP(YEAR(A303), YEAR('CNY Dates'!A$2:A$34), 'CNY Dates'!B$2:B$34), LOOKUP(YEAR(A303), YEAR('Hongbao demand'!B$4:B$35), 'Hongbao demand'!F$4:F$35)  - O302, 0)</f>
        <v>0</v>
      </c>
      <c r="J303" s="18">
        <f t="shared" si="43"/>
        <v>-8.8178463829157163</v>
      </c>
      <c r="K303" s="19">
        <v>33128.400000000001</v>
      </c>
      <c r="L303" s="12">
        <v>0.98864999999999992</v>
      </c>
      <c r="M303" s="14">
        <v>1.1666666666666668E-4</v>
      </c>
      <c r="N303" s="19">
        <f t="shared" ca="1" si="44"/>
        <v>-12.641236950417692</v>
      </c>
      <c r="O303" s="12">
        <f t="shared" ca="1" si="46"/>
        <v>15.168576819649733</v>
      </c>
      <c r="P303" s="18">
        <f t="shared" ca="1" si="45"/>
        <v>781.54376304958214</v>
      </c>
      <c r="Q303" s="19">
        <f t="shared" ca="1" si="47"/>
        <v>117.23156445743732</v>
      </c>
      <c r="R303" s="12">
        <f t="shared" ca="1" si="47"/>
        <v>156.30875260991644</v>
      </c>
      <c r="S303" s="12">
        <f t="shared" ca="1" si="48"/>
        <v>1.5168576819649733</v>
      </c>
      <c r="T303" s="83">
        <f t="shared" ca="1" si="49"/>
        <v>275.05717474931868</v>
      </c>
      <c r="W303" s="1"/>
      <c r="Z303" s="6"/>
    </row>
    <row r="304" spans="1:26" x14ac:dyDescent="0.3">
      <c r="A304" s="11">
        <v>41548</v>
      </c>
      <c r="B304" s="94">
        <v>22741.95</v>
      </c>
      <c r="C304" s="97">
        <v>20020.28</v>
      </c>
      <c r="D304" s="109">
        <v>2721.67</v>
      </c>
      <c r="E304" s="109">
        <v>396.93</v>
      </c>
      <c r="F304" s="16">
        <f t="shared" ca="1" si="40"/>
        <v>464.14295843155026</v>
      </c>
      <c r="G304" s="12">
        <f t="shared" si="41"/>
        <v>23.24816666666667</v>
      </c>
      <c r="H304" s="12">
        <f t="shared" si="42"/>
        <v>332.59916666666669</v>
      </c>
      <c r="I304" s="17" cm="1">
        <f t="array" ref="I304">IF(MONTH(A304) = LOOKUP(YEAR(A304), YEAR('CNY Dates'!A$2:A$34), 'CNY Dates'!B$2:B$34), LOOKUP(YEAR(A304), YEAR('Hongbao demand'!B$4:B$35), 'Hongbao demand'!F$4:F$35)  - O303, 0)</f>
        <v>0</v>
      </c>
      <c r="J304" s="18">
        <f t="shared" si="43"/>
        <v>108.29562509821687</v>
      </c>
      <c r="K304" s="19">
        <v>33788.733333333301</v>
      </c>
      <c r="L304" s="12">
        <v>0.99019999999999997</v>
      </c>
      <c r="M304" s="14">
        <v>1.1666666666666668E-4</v>
      </c>
      <c r="N304" s="19">
        <f t="shared" ca="1" si="44"/>
        <v>-67.212958431550248</v>
      </c>
      <c r="O304" s="12">
        <f t="shared" ca="1" si="46"/>
        <v>15.042172012819318</v>
      </c>
      <c r="P304" s="18">
        <f t="shared" ca="1" si="45"/>
        <v>652.42904156844975</v>
      </c>
      <c r="Q304" s="19">
        <f t="shared" ca="1" si="47"/>
        <v>97.864356235267465</v>
      </c>
      <c r="R304" s="12">
        <f t="shared" ca="1" si="47"/>
        <v>130.48580831368994</v>
      </c>
      <c r="S304" s="12">
        <f t="shared" ca="1" si="48"/>
        <v>1.5042172012819319</v>
      </c>
      <c r="T304" s="83">
        <f t="shared" ca="1" si="49"/>
        <v>229.85438175023936</v>
      </c>
      <c r="W304" s="1"/>
      <c r="Z304" s="6"/>
    </row>
    <row r="305" spans="1:26" x14ac:dyDescent="0.3">
      <c r="A305" s="11">
        <v>41579</v>
      </c>
      <c r="B305" s="94">
        <v>22739.360000000001</v>
      </c>
      <c r="C305" s="97">
        <v>20186.04</v>
      </c>
      <c r="D305" s="109">
        <v>2553.3200000000002</v>
      </c>
      <c r="E305" s="109">
        <v>499.43</v>
      </c>
      <c r="F305" s="16">
        <f t="shared" ca="1" si="40"/>
        <v>313.95167715589321</v>
      </c>
      <c r="G305" s="12">
        <f t="shared" si="41"/>
        <v>22.680583333333335</v>
      </c>
      <c r="H305" s="12">
        <f t="shared" si="42"/>
        <v>333.67133333333334</v>
      </c>
      <c r="I305" s="17" cm="1">
        <f t="array" ref="I305">IF(MONTH(A305) = LOOKUP(YEAR(A305), YEAR('CNY Dates'!A$2:A$34), 'CNY Dates'!B$2:B$34), LOOKUP(YEAR(A305), YEAR('Hongbao demand'!B$4:B$35), 'Hongbao demand'!F$4:F$35)  - O304, 0)</f>
        <v>0</v>
      </c>
      <c r="J305" s="18">
        <f t="shared" si="43"/>
        <v>-42.400239510773496</v>
      </c>
      <c r="K305" s="19">
        <v>33788.733333333301</v>
      </c>
      <c r="L305" s="12">
        <v>0.99719999999999998</v>
      </c>
      <c r="M305" s="14">
        <v>1.1666666666666668E-4</v>
      </c>
      <c r="N305" s="19">
        <f t="shared" ca="1" si="44"/>
        <v>185.4783228441068</v>
      </c>
      <c r="O305" s="12">
        <f t="shared" ca="1" si="46"/>
        <v>14.916820579379158</v>
      </c>
      <c r="P305" s="18">
        <f t="shared" ca="1" si="45"/>
        <v>720.19432284410686</v>
      </c>
      <c r="Q305" s="19">
        <f t="shared" ca="1" si="47"/>
        <v>108.02914842661603</v>
      </c>
      <c r="R305" s="12">
        <f t="shared" ca="1" si="47"/>
        <v>144.03886456882137</v>
      </c>
      <c r="S305" s="12">
        <f t="shared" ca="1" si="48"/>
        <v>1.4916820579379158</v>
      </c>
      <c r="T305" s="83">
        <f t="shared" ca="1" si="49"/>
        <v>253.55969505337532</v>
      </c>
      <c r="W305" s="1"/>
      <c r="Z305" s="6"/>
    </row>
    <row r="306" spans="1:26" x14ac:dyDescent="0.3">
      <c r="A306" s="11">
        <v>41609</v>
      </c>
      <c r="B306" s="94">
        <v>22735.65</v>
      </c>
      <c r="C306" s="97">
        <v>20291.11</v>
      </c>
      <c r="D306" s="109">
        <v>2444.54</v>
      </c>
      <c r="E306" s="109">
        <v>441.5</v>
      </c>
      <c r="F306" s="16">
        <f t="shared" ca="1" si="40"/>
        <v>-30.085605959646671</v>
      </c>
      <c r="G306" s="12">
        <f t="shared" si="41"/>
        <v>21.277666666666669</v>
      </c>
      <c r="H306" s="12">
        <f t="shared" si="42"/>
        <v>336.43400000000003</v>
      </c>
      <c r="I306" s="17" cm="1">
        <f t="array" ref="I306">IF(MONTH(A306) = LOOKUP(YEAR(A306), YEAR('CNY Dates'!A$2:A$34), 'CNY Dates'!B$2:B$34), LOOKUP(YEAR(A306), YEAR('Hongbao demand'!B$4:B$35), 'Hongbao demand'!F$4:F$35)  - O305, 0)</f>
        <v>0</v>
      </c>
      <c r="J306" s="18">
        <f t="shared" si="43"/>
        <v>-387.79727262631337</v>
      </c>
      <c r="K306" s="19">
        <v>33788.733333333301</v>
      </c>
      <c r="L306" s="12">
        <v>0.99403999999999992</v>
      </c>
      <c r="M306" s="14">
        <v>1.25E-4</v>
      </c>
      <c r="N306" s="19">
        <f t="shared" ca="1" si="44"/>
        <v>471.58560595964667</v>
      </c>
      <c r="O306" s="12">
        <f t="shared" ca="1" si="46"/>
        <v>14.792513741217665</v>
      </c>
      <c r="P306" s="18">
        <f t="shared" ca="1" si="45"/>
        <v>887.01460595964659</v>
      </c>
      <c r="Q306" s="19">
        <f t="shared" ca="1" si="47"/>
        <v>133.05219089394697</v>
      </c>
      <c r="R306" s="12">
        <f t="shared" ca="1" si="47"/>
        <v>177.40292119192932</v>
      </c>
      <c r="S306" s="12">
        <f t="shared" ca="1" si="48"/>
        <v>1.4792513741217665</v>
      </c>
      <c r="T306" s="83">
        <f t="shared" ca="1" si="49"/>
        <v>311.93436345999805</v>
      </c>
      <c r="W306" s="1"/>
      <c r="Z306" s="6"/>
    </row>
    <row r="307" spans="1:26" x14ac:dyDescent="0.3">
      <c r="A307" s="11">
        <v>41640</v>
      </c>
      <c r="B307" s="94">
        <v>23781.59</v>
      </c>
      <c r="C307" s="97">
        <v>20392.189999999999</v>
      </c>
      <c r="D307" s="109">
        <v>3389.4</v>
      </c>
      <c r="E307" s="109">
        <v>439.27</v>
      </c>
      <c r="F307" s="16">
        <f t="shared" ca="1" si="40"/>
        <v>249.84564811454112</v>
      </c>
      <c r="G307" s="12">
        <f t="shared" si="41"/>
        <v>20.371166666666667</v>
      </c>
      <c r="H307" s="12">
        <f t="shared" si="42"/>
        <v>338.1851666666667</v>
      </c>
      <c r="I307" s="17" cm="1">
        <f t="array" aca="1" ref="I307" ca="1">IF(MONTH(A307) = LOOKUP(YEAR(A307), YEAR('CNY Dates'!A$2:A$34), 'CNY Dates'!B$2:B$34), LOOKUP(YEAR(A307), YEAR('Hongbao demand'!B$4:B$35), 'Hongbao demand'!F$4:F$35)  - O306, 0)</f>
        <v>-1.9042192456843381</v>
      </c>
      <c r="J307" s="18">
        <f t="shared" si="43"/>
        <v>-106.80646597310795</v>
      </c>
      <c r="K307" s="19">
        <v>33203.566666666702</v>
      </c>
      <c r="L307" s="12">
        <v>0.99506000000000006</v>
      </c>
      <c r="M307" s="14">
        <v>1.25E-4</v>
      </c>
      <c r="N307" s="19">
        <f t="shared" ca="1" si="44"/>
        <v>189.42435188545886</v>
      </c>
      <c r="O307" s="12">
        <f t="shared" ca="1" si="46"/>
        <v>37.884870377091772</v>
      </c>
      <c r="P307" s="18">
        <f t="shared" ca="1" si="45"/>
        <v>1539.6053518854587</v>
      </c>
      <c r="Q307" s="19">
        <f t="shared" ca="1" si="47"/>
        <v>230.94080278281879</v>
      </c>
      <c r="R307" s="12">
        <f t="shared" ca="1" si="47"/>
        <v>307.92107037709178</v>
      </c>
      <c r="S307" s="12">
        <f t="shared" ca="1" si="48"/>
        <v>3.7884870377091775</v>
      </c>
      <c r="T307" s="83">
        <f t="shared" ca="1" si="49"/>
        <v>542.65036019761976</v>
      </c>
      <c r="W307" s="1"/>
      <c r="Z307" s="6"/>
    </row>
    <row r="308" spans="1:26" x14ac:dyDescent="0.3">
      <c r="A308" s="11">
        <v>41671</v>
      </c>
      <c r="B308" s="94">
        <v>23780.19</v>
      </c>
      <c r="C308" s="97">
        <v>20923.349999999999</v>
      </c>
      <c r="D308" s="109">
        <v>2856.84</v>
      </c>
      <c r="E308" s="109">
        <v>871.03</v>
      </c>
      <c r="F308" s="16">
        <f t="shared" ca="1" si="40"/>
        <v>369.38560173435997</v>
      </c>
      <c r="G308" s="12">
        <f t="shared" si="41"/>
        <v>28.245000000000001</v>
      </c>
      <c r="H308" s="12">
        <f t="shared" si="42"/>
        <v>339.8698333333333</v>
      </c>
      <c r="I308" s="17" cm="1">
        <f t="array" ref="I308">IF(MONTH(A308) = LOOKUP(YEAR(A308), YEAR('CNY Dates'!A$2:A$34), 'CNY Dates'!B$2:B$34), LOOKUP(YEAR(A308), YEAR('Hongbao demand'!B$4:B$35), 'Hongbao demand'!F$4:F$35)  - O307, 0)</f>
        <v>0</v>
      </c>
      <c r="J308" s="18">
        <f t="shared" si="43"/>
        <v>1.2707684010266496</v>
      </c>
      <c r="K308" s="19">
        <v>33203.566666666702</v>
      </c>
      <c r="L308" s="12">
        <v>0.99483999999999995</v>
      </c>
      <c r="M308" s="14">
        <v>1.25E-4</v>
      </c>
      <c r="N308" s="19">
        <f t="shared" ca="1" si="44"/>
        <v>501.64439826564001</v>
      </c>
      <c r="O308" s="12">
        <f t="shared" ca="1" si="46"/>
        <v>37.569163123949345</v>
      </c>
      <c r="P308" s="18">
        <f t="shared" ca="1" si="45"/>
        <v>1266.1493982656402</v>
      </c>
      <c r="Q308" s="19">
        <f t="shared" ca="1" si="47"/>
        <v>189.92240973984602</v>
      </c>
      <c r="R308" s="12">
        <f t="shared" ca="1" si="47"/>
        <v>253.22987965312805</v>
      </c>
      <c r="S308" s="12">
        <f t="shared" ca="1" si="48"/>
        <v>3.7569163123949347</v>
      </c>
      <c r="T308" s="83">
        <f t="shared" ca="1" si="49"/>
        <v>446.909205705369</v>
      </c>
      <c r="W308" s="1"/>
      <c r="Z308" s="6"/>
    </row>
    <row r="309" spans="1:26" x14ac:dyDescent="0.3">
      <c r="A309" s="11">
        <v>41699</v>
      </c>
      <c r="B309" s="94">
        <v>22764.560000000001</v>
      </c>
      <c r="C309" s="97">
        <v>20874.490000000002</v>
      </c>
      <c r="D309" s="109">
        <v>1890.07</v>
      </c>
      <c r="E309" s="109">
        <v>299.86</v>
      </c>
      <c r="F309" s="16">
        <f t="shared" ca="1" si="40"/>
        <v>357.20979667317528</v>
      </c>
      <c r="G309" s="12">
        <f t="shared" si="41"/>
        <v>23.807000000000002</v>
      </c>
      <c r="H309" s="12">
        <f t="shared" si="42"/>
        <v>348.72249999999997</v>
      </c>
      <c r="I309" s="17" cm="1">
        <f t="array" ref="I309">IF(MONTH(A309) = LOOKUP(YEAR(A309), YEAR('CNY Dates'!A$2:A$34), 'CNY Dates'!B$2:B$34), LOOKUP(YEAR(A309), YEAR('Hongbao demand'!B$4:B$35), 'Hongbao demand'!F$4:F$35)  - O308, 0)</f>
        <v>0</v>
      </c>
      <c r="J309" s="18">
        <f t="shared" si="43"/>
        <v>-15.319703326824708</v>
      </c>
      <c r="K309" s="19">
        <v>33203.566666666702</v>
      </c>
      <c r="L309" s="12">
        <v>0.99748999999999999</v>
      </c>
      <c r="M309" s="14">
        <v>1.25E-4</v>
      </c>
      <c r="N309" s="19">
        <f t="shared" ca="1" si="44"/>
        <v>-57.349796673175263</v>
      </c>
      <c r="O309" s="12">
        <f t="shared" ca="1" si="46"/>
        <v>37.256086764583095</v>
      </c>
      <c r="P309" s="18">
        <f t="shared" ca="1" si="45"/>
        <v>0</v>
      </c>
      <c r="Q309" s="19">
        <f t="shared" ca="1" si="47"/>
        <v>0</v>
      </c>
      <c r="R309" s="12">
        <f t="shared" ca="1" si="47"/>
        <v>0</v>
      </c>
      <c r="S309" s="12">
        <f t="shared" ca="1" si="48"/>
        <v>3.7256086764583096</v>
      </c>
      <c r="T309" s="83">
        <f t="shared" ca="1" si="49"/>
        <v>3.7256086764583096</v>
      </c>
      <c r="W309" s="1"/>
      <c r="Z309" s="6"/>
    </row>
    <row r="310" spans="1:26" x14ac:dyDescent="0.3">
      <c r="A310" s="11">
        <v>41730</v>
      </c>
      <c r="B310" s="94">
        <v>22760.57</v>
      </c>
      <c r="C310" s="97">
        <v>20882.05</v>
      </c>
      <c r="D310" s="109">
        <v>1878.52</v>
      </c>
      <c r="E310" s="109">
        <v>355.47</v>
      </c>
      <c r="F310" s="16">
        <f t="shared" ca="1" si="40"/>
        <v>560.63957029670064</v>
      </c>
      <c r="G310" s="12">
        <f t="shared" si="41"/>
        <v>15.750583333333333</v>
      </c>
      <c r="H310" s="12">
        <f t="shared" si="42"/>
        <v>347.90816666666672</v>
      </c>
      <c r="I310" s="17" cm="1">
        <f t="array" ref="I310">IF(MONTH(A310) = LOOKUP(YEAR(A310), YEAR('CNY Dates'!A$2:A$34), 'CNY Dates'!B$2:B$34), LOOKUP(YEAR(A310), YEAR('Hongbao demand'!B$4:B$35), 'Hongbao demand'!F$4:F$35)  - O309, 0)</f>
        <v>0</v>
      </c>
      <c r="J310" s="18">
        <f t="shared" si="43"/>
        <v>196.98082029670064</v>
      </c>
      <c r="K310" s="19">
        <v>34214.333333333299</v>
      </c>
      <c r="L310" s="12">
        <v>0.99341999999999997</v>
      </c>
      <c r="M310" s="14">
        <v>1.25E-4</v>
      </c>
      <c r="N310" s="19">
        <f t="shared" ca="1" si="44"/>
        <v>-205.16957029670061</v>
      </c>
      <c r="O310" s="12">
        <f t="shared" ca="1" si="46"/>
        <v>36.945619374878234</v>
      </c>
      <c r="P310" s="18">
        <f t="shared" ca="1" si="45"/>
        <v>0</v>
      </c>
      <c r="Q310" s="19">
        <f t="shared" ca="1" si="47"/>
        <v>0</v>
      </c>
      <c r="R310" s="12">
        <f t="shared" ca="1" si="47"/>
        <v>0</v>
      </c>
      <c r="S310" s="12">
        <f t="shared" ca="1" si="48"/>
        <v>3.6945619374878236</v>
      </c>
      <c r="T310" s="83">
        <f t="shared" ca="1" si="49"/>
        <v>3.6945619374878236</v>
      </c>
      <c r="W310" s="1"/>
      <c r="Z310" s="6"/>
    </row>
    <row r="311" spans="1:26" x14ac:dyDescent="0.3">
      <c r="A311" s="11">
        <v>41760</v>
      </c>
      <c r="B311" s="94">
        <v>22758.47</v>
      </c>
      <c r="C311" s="97">
        <v>21154.77</v>
      </c>
      <c r="D311" s="109">
        <v>1603.7</v>
      </c>
      <c r="E311" s="109">
        <v>620.75</v>
      </c>
      <c r="F311" s="16">
        <f t="shared" ca="1" si="40"/>
        <v>754.00664071490326</v>
      </c>
      <c r="G311" s="12">
        <f t="shared" si="41"/>
        <v>15.654333333333334</v>
      </c>
      <c r="H311" s="12">
        <f t="shared" si="42"/>
        <v>348.03416666666664</v>
      </c>
      <c r="I311" s="17" cm="1">
        <f t="array" ref="I311">IF(MONTH(A311) = LOOKUP(YEAR(A311), YEAR('CNY Dates'!A$2:A$34), 'CNY Dates'!B$2:B$34), LOOKUP(YEAR(A311), YEAR('Hongbao demand'!B$4:B$35), 'Hongbao demand'!F$4:F$35)  - O310, 0)</f>
        <v>0</v>
      </c>
      <c r="J311" s="18">
        <f t="shared" si="43"/>
        <v>390.31814071490328</v>
      </c>
      <c r="K311" s="19">
        <v>34214.333333333299</v>
      </c>
      <c r="L311" s="12">
        <v>0.99675999999999998</v>
      </c>
      <c r="M311" s="14">
        <v>1.1666666666666668E-4</v>
      </c>
      <c r="N311" s="19">
        <f t="shared" ca="1" si="44"/>
        <v>-133.25664071490326</v>
      </c>
      <c r="O311" s="12">
        <f t="shared" ca="1" si="46"/>
        <v>36.637739213420915</v>
      </c>
      <c r="P311" s="18">
        <f t="shared" ca="1" si="45"/>
        <v>0</v>
      </c>
      <c r="Q311" s="19">
        <f t="shared" ca="1" si="47"/>
        <v>0</v>
      </c>
      <c r="R311" s="12">
        <f t="shared" ca="1" si="47"/>
        <v>0</v>
      </c>
      <c r="S311" s="12">
        <f t="shared" ca="1" si="48"/>
        <v>3.6637739213420915</v>
      </c>
      <c r="T311" s="83">
        <f t="shared" ca="1" si="49"/>
        <v>3.6637739213420915</v>
      </c>
      <c r="W311" s="1"/>
      <c r="Z311" s="6"/>
    </row>
    <row r="312" spans="1:26" x14ac:dyDescent="0.3">
      <c r="A312" s="11">
        <v>41791</v>
      </c>
      <c r="B312" s="94">
        <v>24555.23</v>
      </c>
      <c r="C312" s="97">
        <v>21294.28</v>
      </c>
      <c r="D312" s="109">
        <v>3260.95</v>
      </c>
      <c r="E312" s="109">
        <v>492.09</v>
      </c>
      <c r="F312" s="16">
        <f t="shared" ca="1" si="40"/>
        <v>376.12762102343783</v>
      </c>
      <c r="G312" s="12">
        <f t="shared" si="41"/>
        <v>13.364166666666668</v>
      </c>
      <c r="H312" s="12">
        <f t="shared" si="42"/>
        <v>352.5795</v>
      </c>
      <c r="I312" s="17" cm="1">
        <f t="array" ref="I312">IF(MONTH(A312) = LOOKUP(YEAR(A312), YEAR('CNY Dates'!A$2:A$34), 'CNY Dates'!B$2:B$34), LOOKUP(YEAR(A312), YEAR('Hongbao demand'!B$4:B$35), 'Hongbao demand'!F$4:F$35)  - O311, 0)</f>
        <v>0</v>
      </c>
      <c r="J312" s="18">
        <f t="shared" si="43"/>
        <v>10.183954356771174</v>
      </c>
      <c r="K312" s="19">
        <v>34214.333333333299</v>
      </c>
      <c r="L312" s="12">
        <v>0.99507999999999996</v>
      </c>
      <c r="M312" s="14">
        <v>1.1666666666666668E-4</v>
      </c>
      <c r="N312" s="19">
        <f t="shared" ca="1" si="44"/>
        <v>115.96237897656215</v>
      </c>
      <c r="O312" s="12">
        <f t="shared" ca="1" si="46"/>
        <v>36.332424719975741</v>
      </c>
      <c r="P312" s="18">
        <f t="shared" ca="1" si="45"/>
        <v>1247.4843789765619</v>
      </c>
      <c r="Q312" s="19">
        <f t="shared" ca="1" si="47"/>
        <v>187.12265684648426</v>
      </c>
      <c r="R312" s="12">
        <f t="shared" ca="1" si="47"/>
        <v>249.49687579531238</v>
      </c>
      <c r="S312" s="12">
        <f t="shared" ca="1" si="48"/>
        <v>3.6332424719975744</v>
      </c>
      <c r="T312" s="83">
        <f t="shared" ca="1" si="49"/>
        <v>440.2527751137942</v>
      </c>
      <c r="W312" s="1"/>
      <c r="Z312" s="6"/>
    </row>
    <row r="313" spans="1:26" x14ac:dyDescent="0.3">
      <c r="A313" s="11">
        <v>41821</v>
      </c>
      <c r="B313" s="94">
        <v>24550.61</v>
      </c>
      <c r="C313" s="97">
        <v>21477.61</v>
      </c>
      <c r="D313" s="109">
        <v>3073</v>
      </c>
      <c r="E313" s="109">
        <v>538.23</v>
      </c>
      <c r="F313" s="16">
        <f t="shared" ca="1" si="40"/>
        <v>421.9780977327693</v>
      </c>
      <c r="G313" s="12">
        <f t="shared" si="41"/>
        <v>27.174583333333331</v>
      </c>
      <c r="H313" s="12">
        <f t="shared" si="42"/>
        <v>354.90466666666663</v>
      </c>
      <c r="I313" s="17" cm="1">
        <f t="array" ref="I313">IF(MONTH(A313) = LOOKUP(YEAR(A313), YEAR('CNY Dates'!A$2:A$34), 'CNY Dates'!B$2:B$34), LOOKUP(YEAR(A313), YEAR('Hongbao demand'!B$4:B$35), 'Hongbao demand'!F$4:F$35)  - O312, 0)</f>
        <v>0</v>
      </c>
      <c r="J313" s="18">
        <f t="shared" si="43"/>
        <v>39.898847732769333</v>
      </c>
      <c r="K313" s="19">
        <v>34339.300000000003</v>
      </c>
      <c r="L313" s="12">
        <v>0.99212999999999996</v>
      </c>
      <c r="M313" s="14">
        <v>1.1666666666666668E-4</v>
      </c>
      <c r="N313" s="19">
        <f t="shared" ca="1" si="44"/>
        <v>116.25190226723072</v>
      </c>
      <c r="O313" s="12">
        <f t="shared" ca="1" si="46"/>
        <v>36.029654513975942</v>
      </c>
      <c r="P313" s="18">
        <f t="shared" ca="1" si="45"/>
        <v>1041.4909022672309</v>
      </c>
      <c r="Q313" s="19">
        <f t="shared" ca="1" si="47"/>
        <v>156.22363534008463</v>
      </c>
      <c r="R313" s="12">
        <f t="shared" ca="1" si="47"/>
        <v>208.29818045344621</v>
      </c>
      <c r="S313" s="12">
        <f t="shared" ca="1" si="48"/>
        <v>3.6029654513975942</v>
      </c>
      <c r="T313" s="83">
        <f t="shared" ca="1" si="49"/>
        <v>368.12478124492844</v>
      </c>
      <c r="W313" s="1"/>
      <c r="Z313" s="6"/>
    </row>
    <row r="314" spans="1:26" x14ac:dyDescent="0.3">
      <c r="A314" s="11">
        <v>41852</v>
      </c>
      <c r="B314" s="94">
        <v>24547.46</v>
      </c>
      <c r="C314" s="97">
        <v>21677.74</v>
      </c>
      <c r="D314" s="109">
        <v>2869.72</v>
      </c>
      <c r="E314" s="109">
        <v>558.09</v>
      </c>
      <c r="F314" s="16">
        <f t="shared" ca="1" si="40"/>
        <v>351.31137178407749</v>
      </c>
      <c r="G314" s="12">
        <f t="shared" si="41"/>
        <v>25.608333333333334</v>
      </c>
      <c r="H314" s="12">
        <f t="shared" si="42"/>
        <v>357.96016666666668</v>
      </c>
      <c r="I314" s="17" cm="1">
        <f t="array" ref="I314">IF(MONTH(A314) = LOOKUP(YEAR(A314), YEAR('CNY Dates'!A$2:A$34), 'CNY Dates'!B$2:B$34), LOOKUP(YEAR(A314), YEAR('Hongbao demand'!B$4:B$35), 'Hongbao demand'!F$4:F$35)  - O313, 0)</f>
        <v>0</v>
      </c>
      <c r="J314" s="18">
        <f t="shared" si="43"/>
        <v>-32.257128215922513</v>
      </c>
      <c r="K314" s="19">
        <v>34339.300000000003</v>
      </c>
      <c r="L314" s="12">
        <v>0.99742000000000008</v>
      </c>
      <c r="M314" s="14">
        <v>1.1666666666666668E-4</v>
      </c>
      <c r="N314" s="19">
        <f t="shared" ca="1" si="44"/>
        <v>206.77862821592254</v>
      </c>
      <c r="O314" s="12">
        <f t="shared" ca="1" si="46"/>
        <v>35.729407393026143</v>
      </c>
      <c r="P314" s="18">
        <f t="shared" ca="1" si="45"/>
        <v>908.72462821592217</v>
      </c>
      <c r="Q314" s="19">
        <f t="shared" ca="1" si="47"/>
        <v>136.30869423238832</v>
      </c>
      <c r="R314" s="12">
        <f t="shared" ca="1" si="47"/>
        <v>181.74492564318444</v>
      </c>
      <c r="S314" s="12">
        <f t="shared" ca="1" si="48"/>
        <v>3.5729407393026147</v>
      </c>
      <c r="T314" s="83">
        <f t="shared" ca="1" si="49"/>
        <v>321.62656061487536</v>
      </c>
      <c r="W314" s="1"/>
      <c r="Z314" s="6"/>
    </row>
    <row r="315" spans="1:26" x14ac:dyDescent="0.3">
      <c r="A315" s="11">
        <v>41883</v>
      </c>
      <c r="B315" s="94">
        <v>24544.73</v>
      </c>
      <c r="C315" s="97">
        <v>21762.02</v>
      </c>
      <c r="D315" s="109">
        <v>2782.71</v>
      </c>
      <c r="E315" s="109">
        <v>445.58</v>
      </c>
      <c r="F315" s="16">
        <f t="shared" ca="1" si="40"/>
        <v>396.68345243962</v>
      </c>
      <c r="G315" s="12">
        <f t="shared" si="41"/>
        <v>23.914333333333332</v>
      </c>
      <c r="H315" s="12">
        <f t="shared" si="42"/>
        <v>361.2956666666667</v>
      </c>
      <c r="I315" s="17" cm="1">
        <f t="array" ref="I315">IF(MONTH(A315) = LOOKUP(YEAR(A315), YEAR('CNY Dates'!A$2:A$34), 'CNY Dates'!B$2:B$34), LOOKUP(YEAR(A315), YEAR('Hongbao demand'!B$4:B$35), 'Hongbao demand'!F$4:F$35)  - O314, 0)</f>
        <v>0</v>
      </c>
      <c r="J315" s="18">
        <f t="shared" si="43"/>
        <v>11.473452439619969</v>
      </c>
      <c r="K315" s="19">
        <v>34339.300000000003</v>
      </c>
      <c r="L315" s="12">
        <v>0.99553000000000003</v>
      </c>
      <c r="M315" s="14">
        <v>1.1666666666666668E-4</v>
      </c>
      <c r="N315" s="19">
        <f t="shared" ca="1" si="44"/>
        <v>48.896547560379986</v>
      </c>
      <c r="O315" s="12">
        <f t="shared" ca="1" si="46"/>
        <v>35.431662331417591</v>
      </c>
      <c r="P315" s="18">
        <f t="shared" ca="1" si="45"/>
        <v>655.4045475603798</v>
      </c>
      <c r="Q315" s="19">
        <f t="shared" ca="1" si="47"/>
        <v>98.310682134056961</v>
      </c>
      <c r="R315" s="12">
        <f t="shared" ca="1" si="47"/>
        <v>131.08090951207598</v>
      </c>
      <c r="S315" s="12">
        <f t="shared" ca="1" si="48"/>
        <v>3.5431662331417595</v>
      </c>
      <c r="T315" s="83">
        <f t="shared" ca="1" si="49"/>
        <v>232.93475787927471</v>
      </c>
      <c r="W315" s="1"/>
      <c r="Z315" s="6"/>
    </row>
    <row r="316" spans="1:26" x14ac:dyDescent="0.3">
      <c r="A316" s="11">
        <v>41913</v>
      </c>
      <c r="B316" s="94">
        <v>24540.39</v>
      </c>
      <c r="C316" s="97">
        <v>21916.09</v>
      </c>
      <c r="D316" s="109">
        <v>2624.3</v>
      </c>
      <c r="E316" s="109">
        <v>516.77</v>
      </c>
      <c r="F316" s="16">
        <f t="shared" ca="1" si="40"/>
        <v>573.72917041475569</v>
      </c>
      <c r="G316" s="12">
        <f t="shared" si="41"/>
        <v>23.189250000000001</v>
      </c>
      <c r="H316" s="12">
        <f t="shared" si="42"/>
        <v>362.70033333333333</v>
      </c>
      <c r="I316" s="17" cm="1">
        <f t="array" ref="I316">IF(MONTH(A316) = LOOKUP(YEAR(A316), YEAR('CNY Dates'!A$2:A$34), 'CNY Dates'!B$2:B$34), LOOKUP(YEAR(A316), YEAR('Hongbao demand'!B$4:B$35), 'Hongbao demand'!F$4:F$35)  - O315, 0)</f>
        <v>0</v>
      </c>
      <c r="J316" s="18">
        <f t="shared" si="43"/>
        <v>187.83958708142234</v>
      </c>
      <c r="K316" s="19">
        <v>35310.6</v>
      </c>
      <c r="L316" s="12">
        <v>0.99254999999999993</v>
      </c>
      <c r="M316" s="14">
        <v>1.1666666666666668E-4</v>
      </c>
      <c r="N316" s="19">
        <f t="shared" ca="1" si="44"/>
        <v>-56.959170414755704</v>
      </c>
      <c r="O316" s="12">
        <f t="shared" ca="1" si="46"/>
        <v>35.136398478655778</v>
      </c>
      <c r="P316" s="18">
        <f t="shared" ca="1" si="45"/>
        <v>375.73182958524467</v>
      </c>
      <c r="Q316" s="19">
        <f t="shared" ca="1" si="47"/>
        <v>56.359774437786697</v>
      </c>
      <c r="R316" s="12">
        <f t="shared" ca="1" si="47"/>
        <v>75.146365917048939</v>
      </c>
      <c r="S316" s="12">
        <f t="shared" ca="1" si="48"/>
        <v>3.5136398478655781</v>
      </c>
      <c r="T316" s="83">
        <f t="shared" ca="1" si="49"/>
        <v>135.01978020270121</v>
      </c>
      <c r="W316" s="1"/>
      <c r="Z316" s="6"/>
    </row>
    <row r="317" spans="1:26" x14ac:dyDescent="0.3">
      <c r="A317" s="11">
        <v>41944</v>
      </c>
      <c r="B317" s="94">
        <v>24537.94</v>
      </c>
      <c r="C317" s="97">
        <v>22077.439999999999</v>
      </c>
      <c r="D317" s="109">
        <v>2460.5</v>
      </c>
      <c r="E317" s="109">
        <v>526.62</v>
      </c>
      <c r="F317" s="16">
        <f t="shared" ca="1" si="40"/>
        <v>375.6485475334303</v>
      </c>
      <c r="G317" s="12">
        <f t="shared" si="41"/>
        <v>21.869166666666668</v>
      </c>
      <c r="H317" s="12">
        <f t="shared" si="42"/>
        <v>365.26816666666667</v>
      </c>
      <c r="I317" s="17" cm="1">
        <f t="array" ref="I317">IF(MONTH(A317) = LOOKUP(YEAR(A317), YEAR('CNY Dates'!A$2:A$34), 'CNY Dates'!B$2:B$34), LOOKUP(YEAR(A317), YEAR('Hongbao demand'!B$4:B$35), 'Hongbao demand'!F$4:F$35)  - O316, 0)</f>
        <v>0</v>
      </c>
      <c r="J317" s="18">
        <f t="shared" si="43"/>
        <v>-11.488785799903027</v>
      </c>
      <c r="K317" s="19">
        <v>35310.6</v>
      </c>
      <c r="L317" s="12">
        <v>0.99441000000000002</v>
      </c>
      <c r="M317" s="14">
        <v>1.1666666666666668E-4</v>
      </c>
      <c r="N317" s="19">
        <f t="shared" ca="1" si="44"/>
        <v>150.9714524665697</v>
      </c>
      <c r="O317" s="12">
        <f t="shared" ca="1" si="46"/>
        <v>34.843595158000312</v>
      </c>
      <c r="P317" s="18">
        <f t="shared" ca="1" si="45"/>
        <v>403.7274524665695</v>
      </c>
      <c r="Q317" s="19">
        <f t="shared" ca="1" si="47"/>
        <v>60.559117869985421</v>
      </c>
      <c r="R317" s="12">
        <f t="shared" ca="1" si="47"/>
        <v>80.745490493313909</v>
      </c>
      <c r="S317" s="12">
        <f t="shared" ca="1" si="48"/>
        <v>3.4843595158000316</v>
      </c>
      <c r="T317" s="83">
        <f t="shared" ca="1" si="49"/>
        <v>144.78896787909937</v>
      </c>
      <c r="W317" s="1"/>
      <c r="Z317" s="6"/>
    </row>
    <row r="318" spans="1:26" x14ac:dyDescent="0.3">
      <c r="A318" s="11">
        <v>41974</v>
      </c>
      <c r="B318" s="94">
        <v>24534.58</v>
      </c>
      <c r="C318" s="97">
        <v>22139.88</v>
      </c>
      <c r="D318" s="109">
        <v>2394.6999999999998</v>
      </c>
      <c r="E318" s="109">
        <v>430.4</v>
      </c>
      <c r="F318" s="16">
        <f t="shared" ca="1" si="40"/>
        <v>-20.294391007487661</v>
      </c>
      <c r="G318" s="12">
        <f t="shared" si="41"/>
        <v>20.504166666666666</v>
      </c>
      <c r="H318" s="12">
        <f t="shared" si="42"/>
        <v>367.95733333333334</v>
      </c>
      <c r="I318" s="17" cm="1">
        <f t="array" ref="I318">IF(MONTH(A318) = LOOKUP(YEAR(A318), YEAR('CNY Dates'!A$2:A$34), 'CNY Dates'!B$2:B$34), LOOKUP(YEAR(A318), YEAR('Hongbao demand'!B$4:B$35), 'Hongbao demand'!F$4:F$35)  - O317, 0)</f>
        <v>0</v>
      </c>
      <c r="J318" s="18">
        <f t="shared" si="43"/>
        <v>-408.75589100748766</v>
      </c>
      <c r="K318" s="19">
        <v>35310.6</v>
      </c>
      <c r="L318" s="12">
        <v>0.99328000000000005</v>
      </c>
      <c r="M318" s="14">
        <v>1.25E-4</v>
      </c>
      <c r="N318" s="19">
        <f t="shared" ca="1" si="44"/>
        <v>450.69439100748764</v>
      </c>
      <c r="O318" s="12">
        <f t="shared" ca="1" si="46"/>
        <v>34.553231865016976</v>
      </c>
      <c r="P318" s="18">
        <f t="shared" ca="1" si="45"/>
        <v>631.4063910074874</v>
      </c>
      <c r="Q318" s="19">
        <f t="shared" ca="1" si="47"/>
        <v>94.710958651123107</v>
      </c>
      <c r="R318" s="12">
        <f t="shared" ca="1" si="47"/>
        <v>126.28127820149749</v>
      </c>
      <c r="S318" s="12">
        <f t="shared" ca="1" si="48"/>
        <v>3.4553231865016976</v>
      </c>
      <c r="T318" s="83">
        <f t="shared" ca="1" si="49"/>
        <v>224.44756003912227</v>
      </c>
      <c r="W318" s="1"/>
      <c r="Z318" s="6"/>
    </row>
    <row r="319" spans="1:26" x14ac:dyDescent="0.3">
      <c r="A319" s="11">
        <v>42005</v>
      </c>
      <c r="B319" s="94">
        <v>24530.87</v>
      </c>
      <c r="C319" s="97">
        <v>22399.09</v>
      </c>
      <c r="D319" s="109">
        <v>2131.7800000000002</v>
      </c>
      <c r="E319" s="109">
        <v>628.21</v>
      </c>
      <c r="F319" s="16">
        <f t="shared" ca="1" si="40"/>
        <v>-157.1287138721911</v>
      </c>
      <c r="G319" s="12">
        <f t="shared" si="41"/>
        <v>19.955833333333331</v>
      </c>
      <c r="H319" s="12">
        <f t="shared" si="42"/>
        <v>368.99799999999999</v>
      </c>
      <c r="I319" s="17" cm="1">
        <f t="array" ref="I319">IF(MONTH(A319) = LOOKUP(YEAR(A319), YEAR('CNY Dates'!A$2:A$34), 'CNY Dates'!B$2:B$34), LOOKUP(YEAR(A319), YEAR('Hongbao demand'!B$4:B$35), 'Hongbao demand'!F$4:F$35)  - O318, 0)</f>
        <v>0</v>
      </c>
      <c r="J319" s="18">
        <f t="shared" si="43"/>
        <v>-546.08254720552441</v>
      </c>
      <c r="K319" s="19">
        <v>34190.733333333301</v>
      </c>
      <c r="L319" s="12">
        <v>0.99114000000000002</v>
      </c>
      <c r="M319" s="14">
        <v>1.3333333333333334E-4</v>
      </c>
      <c r="N319" s="19">
        <f t="shared" ca="1" si="44"/>
        <v>785.33871387219119</v>
      </c>
      <c r="O319" s="12">
        <f t="shared" ca="1" si="46"/>
        <v>34.265288266141837</v>
      </c>
      <c r="P319" s="18">
        <f t="shared" ca="1" si="45"/>
        <v>677.20971387219151</v>
      </c>
      <c r="Q319" s="19">
        <f t="shared" ca="1" si="47"/>
        <v>101.58145708082873</v>
      </c>
      <c r="R319" s="12">
        <f t="shared" ca="1" si="47"/>
        <v>135.4419427744383</v>
      </c>
      <c r="S319" s="12">
        <f t="shared" ca="1" si="48"/>
        <v>3.426528826614184</v>
      </c>
      <c r="T319" s="83">
        <f t="shared" ca="1" si="49"/>
        <v>240.4499286818812</v>
      </c>
      <c r="W319" s="1"/>
      <c r="Z319" s="6"/>
    </row>
    <row r="320" spans="1:26" x14ac:dyDescent="0.3">
      <c r="A320" s="11">
        <v>42036</v>
      </c>
      <c r="B320" s="94">
        <v>26417.02</v>
      </c>
      <c r="C320" s="97">
        <v>22654.52</v>
      </c>
      <c r="D320" s="109">
        <v>3762.5</v>
      </c>
      <c r="E320" s="109">
        <v>628.75</v>
      </c>
      <c r="F320" s="16">
        <f t="shared" ca="1" si="40"/>
        <v>27.611532862591105</v>
      </c>
      <c r="G320" s="12">
        <f t="shared" si="41"/>
        <v>17.764833333333335</v>
      </c>
      <c r="H320" s="12">
        <f t="shared" si="42"/>
        <v>373.31816666666668</v>
      </c>
      <c r="I320" s="17" cm="1">
        <f t="array" aca="1" ref="I320" ca="1">IF(MONTH(A320) = LOOKUP(YEAR(A320), YEAR('CNY Dates'!A$2:A$34), 'CNY Dates'!B$2:B$34), LOOKUP(YEAR(A320), YEAR('Hongbao demand'!B$4:B$35), 'Hongbao demand'!F$4:F$35)  - O319, 0)</f>
        <v>-21.207286034800077</v>
      </c>
      <c r="J320" s="18">
        <f t="shared" si="43"/>
        <v>-342.26418110260886</v>
      </c>
      <c r="K320" s="19">
        <v>34190.733333333301</v>
      </c>
      <c r="L320" s="12">
        <v>0.99210999999999994</v>
      </c>
      <c r="M320" s="14">
        <v>1.4166666666666668E-4</v>
      </c>
      <c r="N320" s="19">
        <f t="shared" ca="1" si="44"/>
        <v>601.13846713740895</v>
      </c>
      <c r="O320" s="12">
        <f t="shared" ca="1" si="46"/>
        <v>120.2276934274818</v>
      </c>
      <c r="P320" s="18">
        <f t="shared" ca="1" si="45"/>
        <v>2098.1864671374087</v>
      </c>
      <c r="Q320" s="19">
        <f t="shared" ca="1" si="47"/>
        <v>314.72797007061132</v>
      </c>
      <c r="R320" s="12">
        <f t="shared" ca="1" si="47"/>
        <v>419.63729342748178</v>
      </c>
      <c r="S320" s="12">
        <f t="shared" ca="1" si="48"/>
        <v>12.02276934274818</v>
      </c>
      <c r="T320" s="83">
        <f t="shared" ca="1" si="49"/>
        <v>746.38803284084133</v>
      </c>
      <c r="W320" s="1"/>
      <c r="Z320" s="6"/>
    </row>
    <row r="321" spans="1:26" x14ac:dyDescent="0.3">
      <c r="A321" s="11">
        <v>42064</v>
      </c>
      <c r="B321" s="94">
        <v>24910.06</v>
      </c>
      <c r="C321" s="97">
        <v>22733.34</v>
      </c>
      <c r="D321" s="109">
        <v>2176.7199999999998</v>
      </c>
      <c r="E321" s="109">
        <v>456.4</v>
      </c>
      <c r="F321" s="16">
        <f t="shared" ca="1" si="40"/>
        <v>395.79745111863156</v>
      </c>
      <c r="G321" s="12">
        <f t="shared" si="41"/>
        <v>31.354166666666668</v>
      </c>
      <c r="H321" s="12">
        <f t="shared" si="42"/>
        <v>377.57533333333333</v>
      </c>
      <c r="I321" s="17" cm="1">
        <f t="array" ref="I321">IF(MONTH(A321) = LOOKUP(YEAR(A321), YEAR('CNY Dates'!A$2:A$34), 'CNY Dates'!B$2:B$34), LOOKUP(YEAR(A321), YEAR('Hongbao demand'!B$4:B$35), 'Hongbao demand'!F$4:F$35)  - O320, 0)</f>
        <v>0</v>
      </c>
      <c r="J321" s="18">
        <f t="shared" si="43"/>
        <v>-13.132048881368487</v>
      </c>
      <c r="K321" s="19">
        <v>34190.733333333301</v>
      </c>
      <c r="L321" s="12">
        <v>0.99448999999999999</v>
      </c>
      <c r="M321" s="14">
        <v>1.4166666666666668E-4</v>
      </c>
      <c r="N321" s="19">
        <f t="shared" ca="1" si="44"/>
        <v>60.602548881368421</v>
      </c>
      <c r="O321" s="12">
        <f t="shared" ca="1" si="46"/>
        <v>119.22579598225278</v>
      </c>
      <c r="P321" s="18">
        <f t="shared" ca="1" si="45"/>
        <v>0</v>
      </c>
      <c r="Q321" s="19">
        <f t="shared" ca="1" si="47"/>
        <v>0</v>
      </c>
      <c r="R321" s="12">
        <f t="shared" ca="1" si="47"/>
        <v>0</v>
      </c>
      <c r="S321" s="12">
        <f t="shared" ca="1" si="48"/>
        <v>11.922579598225278</v>
      </c>
      <c r="T321" s="83">
        <f t="shared" ca="1" si="49"/>
        <v>11.922579598225278</v>
      </c>
      <c r="W321" s="1"/>
      <c r="Z321" s="6"/>
    </row>
    <row r="322" spans="1:26" x14ac:dyDescent="0.3">
      <c r="A322" s="11">
        <v>42095</v>
      </c>
      <c r="B322" s="94">
        <v>24906.77</v>
      </c>
      <c r="C322" s="97">
        <v>22916.32</v>
      </c>
      <c r="D322" s="109">
        <v>1990.45</v>
      </c>
      <c r="E322" s="109">
        <v>561.87</v>
      </c>
      <c r="F322" s="16">
        <f t="shared" ca="1" si="40"/>
        <v>945.65022298607528</v>
      </c>
      <c r="G322" s="12">
        <f t="shared" si="41"/>
        <v>18.139333333333333</v>
      </c>
      <c r="H322" s="12">
        <f t="shared" si="42"/>
        <v>378.88900000000001</v>
      </c>
      <c r="I322" s="17" cm="1">
        <f t="array" ref="I322">IF(MONTH(A322) = LOOKUP(YEAR(A322), YEAR('CNY Dates'!A$2:A$34), 'CNY Dates'!B$2:B$34), LOOKUP(YEAR(A322), YEAR('Hongbao demand'!B$4:B$35), 'Hongbao demand'!F$4:F$35)  - O321, 0)</f>
        <v>0</v>
      </c>
      <c r="J322" s="18">
        <f t="shared" si="43"/>
        <v>548.62188965274197</v>
      </c>
      <c r="K322" s="19">
        <v>35283.233333333301</v>
      </c>
      <c r="L322" s="12">
        <v>0.98828999999999989</v>
      </c>
      <c r="M322" s="14">
        <v>1.3333333333333334E-4</v>
      </c>
      <c r="N322" s="19">
        <f t="shared" ca="1" si="44"/>
        <v>-383.78022298607527</v>
      </c>
      <c r="O322" s="12">
        <f t="shared" ca="1" si="46"/>
        <v>118.23224768240067</v>
      </c>
      <c r="P322" s="18">
        <f t="shared" ca="1" si="45"/>
        <v>0</v>
      </c>
      <c r="Q322" s="19">
        <f t="shared" ca="1" si="47"/>
        <v>0</v>
      </c>
      <c r="R322" s="12">
        <f t="shared" ca="1" si="47"/>
        <v>0</v>
      </c>
      <c r="S322" s="12">
        <f t="shared" ca="1" si="48"/>
        <v>11.823224768240067</v>
      </c>
      <c r="T322" s="83">
        <f t="shared" ca="1" si="49"/>
        <v>11.823224768240067</v>
      </c>
      <c r="W322" s="1"/>
      <c r="Z322" s="6"/>
    </row>
    <row r="323" spans="1:26" x14ac:dyDescent="0.3">
      <c r="A323" s="11">
        <v>42125</v>
      </c>
      <c r="B323" s="94">
        <v>24904.18</v>
      </c>
      <c r="C323" s="97">
        <v>23078.65</v>
      </c>
      <c r="D323" s="109">
        <v>1825.53</v>
      </c>
      <c r="E323" s="109">
        <v>544.27</v>
      </c>
      <c r="F323" s="16">
        <f t="shared" ca="1" si="40"/>
        <v>372.46222764828991</v>
      </c>
      <c r="G323" s="12">
        <f t="shared" si="41"/>
        <v>16.587083333333332</v>
      </c>
      <c r="H323" s="12">
        <f t="shared" si="42"/>
        <v>381.93866666666668</v>
      </c>
      <c r="I323" s="17" cm="1">
        <f t="array" ref="I323">IF(MONTH(A323) = LOOKUP(YEAR(A323), YEAR('CNY Dates'!A$2:A$34), 'CNY Dates'!B$2:B$34), LOOKUP(YEAR(A323), YEAR('Hongbao demand'!B$4:B$35), 'Hongbao demand'!F$4:F$35)  - O322, 0)</f>
        <v>0</v>
      </c>
      <c r="J323" s="18">
        <f t="shared" si="43"/>
        <v>-26.063522351710127</v>
      </c>
      <c r="K323" s="19">
        <v>35283.233333333301</v>
      </c>
      <c r="L323" s="12">
        <v>0.99278999999999995</v>
      </c>
      <c r="M323" s="14">
        <v>1.3333333333333334E-4</v>
      </c>
      <c r="N323" s="19">
        <f t="shared" ca="1" si="44"/>
        <v>171.80777235171007</v>
      </c>
      <c r="O323" s="12">
        <f t="shared" ca="1" si="46"/>
        <v>117.246978951714</v>
      </c>
      <c r="P323" s="18">
        <f t="shared" ca="1" si="45"/>
        <v>0</v>
      </c>
      <c r="Q323" s="19">
        <f t="shared" ca="1" si="47"/>
        <v>0</v>
      </c>
      <c r="R323" s="12">
        <f t="shared" ca="1" si="47"/>
        <v>0</v>
      </c>
      <c r="S323" s="12">
        <f t="shared" ca="1" si="48"/>
        <v>11.724697895171401</v>
      </c>
      <c r="T323" s="83">
        <f t="shared" ca="1" si="49"/>
        <v>11.724697895171401</v>
      </c>
      <c r="W323" s="1"/>
      <c r="Z323" s="6"/>
    </row>
    <row r="324" spans="1:26" x14ac:dyDescent="0.3">
      <c r="A324" s="11">
        <v>42156</v>
      </c>
      <c r="B324" s="94">
        <v>26798.66</v>
      </c>
      <c r="C324" s="97">
        <v>23049.599999999999</v>
      </c>
      <c r="D324" s="109">
        <v>3749.06</v>
      </c>
      <c r="E324" s="109">
        <v>355.59</v>
      </c>
      <c r="F324" s="16">
        <f t="shared" ca="1" si="40"/>
        <v>406.08919288932185</v>
      </c>
      <c r="G324" s="12">
        <f t="shared" si="41"/>
        <v>15.21275</v>
      </c>
      <c r="H324" s="12">
        <f t="shared" si="42"/>
        <v>384.64416666666671</v>
      </c>
      <c r="I324" s="17" cm="1">
        <f t="array" ref="I324">IF(MONTH(A324) = LOOKUP(YEAR(A324), YEAR('CNY Dates'!A$2:A$34), 'CNY Dates'!B$2:B$34), LOOKUP(YEAR(A324), YEAR('Hongbao demand'!B$4:B$35), 'Hongbao demand'!F$4:F$35)  - O323, 0)</f>
        <v>0</v>
      </c>
      <c r="J324" s="18">
        <f t="shared" si="43"/>
        <v>6.2322762226550967</v>
      </c>
      <c r="K324" s="19">
        <v>35283.233333333301</v>
      </c>
      <c r="L324" s="12">
        <v>0.99171000000000009</v>
      </c>
      <c r="M324" s="14">
        <v>1.3333333333333334E-4</v>
      </c>
      <c r="N324" s="19">
        <f t="shared" ca="1" si="44"/>
        <v>-50.499192889321876</v>
      </c>
      <c r="O324" s="12">
        <f t="shared" ca="1" si="46"/>
        <v>116.26992079378304</v>
      </c>
      <c r="P324" s="18">
        <f t="shared" ca="1" si="45"/>
        <v>1393.600807110678</v>
      </c>
      <c r="Q324" s="19">
        <f t="shared" ca="1" si="47"/>
        <v>209.0401210666017</v>
      </c>
      <c r="R324" s="12">
        <f t="shared" ca="1" si="47"/>
        <v>278.72016142213562</v>
      </c>
      <c r="S324" s="12">
        <f t="shared" ca="1" si="48"/>
        <v>11.626992079378304</v>
      </c>
      <c r="T324" s="83">
        <f t="shared" ca="1" si="49"/>
        <v>499.38727456811557</v>
      </c>
      <c r="W324" s="1"/>
      <c r="Z324" s="6"/>
    </row>
    <row r="325" spans="1:26" x14ac:dyDescent="0.3">
      <c r="A325" s="11">
        <v>42186</v>
      </c>
      <c r="B325" s="94">
        <v>26794.6</v>
      </c>
      <c r="C325" s="97">
        <v>22984.71</v>
      </c>
      <c r="D325" s="109">
        <v>3809.89</v>
      </c>
      <c r="E325" s="109">
        <v>319.27</v>
      </c>
      <c r="F325" s="16">
        <f t="shared" ca="1" si="40"/>
        <v>143.17313047212104</v>
      </c>
      <c r="G325" s="12">
        <f t="shared" si="41"/>
        <v>31.242166666666666</v>
      </c>
      <c r="H325" s="12">
        <f t="shared" si="42"/>
        <v>384.15999999999997</v>
      </c>
      <c r="I325" s="17" cm="1">
        <f t="array" ref="I325">IF(MONTH(A325) = LOOKUP(YEAR(A325), YEAR('CNY Dates'!A$2:A$34), 'CNY Dates'!B$2:B$34), LOOKUP(YEAR(A325), YEAR('Hongbao demand'!B$4:B$35), 'Hongbao demand'!F$4:F$35)  - O324, 0)</f>
        <v>0</v>
      </c>
      <c r="J325" s="18">
        <f t="shared" si="43"/>
        <v>-272.22903619454559</v>
      </c>
      <c r="K325" s="19">
        <v>35594.400000000001</v>
      </c>
      <c r="L325" s="12">
        <v>0.98817999999999995</v>
      </c>
      <c r="M325" s="14">
        <v>1.4166666666666668E-4</v>
      </c>
      <c r="N325" s="19">
        <f t="shared" ca="1" si="44"/>
        <v>176.09686952787894</v>
      </c>
      <c r="O325" s="12">
        <f t="shared" ca="1" si="46"/>
        <v>115.3010047871682</v>
      </c>
      <c r="P325" s="18">
        <f t="shared" ca="1" si="45"/>
        <v>1687.5158695278787</v>
      </c>
      <c r="Q325" s="19">
        <f t="shared" ca="1" si="47"/>
        <v>253.12738042918181</v>
      </c>
      <c r="R325" s="12">
        <f t="shared" ca="1" si="47"/>
        <v>337.50317390557575</v>
      </c>
      <c r="S325" s="12">
        <f t="shared" ca="1" si="48"/>
        <v>11.53010047871682</v>
      </c>
      <c r="T325" s="83">
        <f t="shared" ca="1" si="49"/>
        <v>602.16065481347437</v>
      </c>
      <c r="W325" s="1"/>
      <c r="Z325" s="6"/>
    </row>
    <row r="326" spans="1:26" x14ac:dyDescent="0.3">
      <c r="A326" s="11">
        <v>42217</v>
      </c>
      <c r="B326" s="94">
        <v>26791.73</v>
      </c>
      <c r="C326" s="97">
        <v>23476.32</v>
      </c>
      <c r="D326" s="109">
        <v>3315.41</v>
      </c>
      <c r="E326" s="109">
        <v>874.69</v>
      </c>
      <c r="F326" s="16">
        <f t="shared" ca="1" si="40"/>
        <v>95.515626565781474</v>
      </c>
      <c r="G326" s="12">
        <f t="shared" si="41"/>
        <v>31.749083333333331</v>
      </c>
      <c r="H326" s="12">
        <f t="shared" si="42"/>
        <v>383.07849999999996</v>
      </c>
      <c r="I326" s="17" cm="1">
        <f t="array" ref="I326">IF(MONTH(A326) = LOOKUP(YEAR(A326), YEAR('CNY Dates'!A$2:A$34), 'CNY Dates'!B$2:B$34), LOOKUP(YEAR(A326), YEAR('Hongbao demand'!B$4:B$35), 'Hongbao demand'!F$4:F$35)  - O325, 0)</f>
        <v>0</v>
      </c>
      <c r="J326" s="18">
        <f t="shared" si="43"/>
        <v>-319.31195676755181</v>
      </c>
      <c r="K326" s="19">
        <v>35594.400000000001</v>
      </c>
      <c r="L326" s="12">
        <v>0.98911000000000004</v>
      </c>
      <c r="M326" s="14">
        <v>1.4999999999999999E-4</v>
      </c>
      <c r="N326" s="19">
        <f t="shared" ca="1" si="44"/>
        <v>779.17437343421852</v>
      </c>
      <c r="O326" s="12">
        <f t="shared" ca="1" si="46"/>
        <v>114.34016308060845</v>
      </c>
      <c r="P326" s="18">
        <f t="shared" ca="1" si="45"/>
        <v>1746.9523734342183</v>
      </c>
      <c r="Q326" s="19">
        <f t="shared" ca="1" si="47"/>
        <v>262.04285601513271</v>
      </c>
      <c r="R326" s="12">
        <f t="shared" ca="1" si="47"/>
        <v>349.39047468684367</v>
      </c>
      <c r="S326" s="12">
        <f t="shared" ca="1" si="48"/>
        <v>11.434016308060846</v>
      </c>
      <c r="T326" s="83">
        <f t="shared" ca="1" si="49"/>
        <v>622.86734701003718</v>
      </c>
      <c r="W326" s="1"/>
      <c r="Z326" s="6"/>
    </row>
    <row r="327" spans="1:26" x14ac:dyDescent="0.3">
      <c r="A327" s="11">
        <v>42248</v>
      </c>
      <c r="B327" s="94">
        <v>26788.720000000001</v>
      </c>
      <c r="C327" s="97">
        <v>23570.19</v>
      </c>
      <c r="D327" s="109">
        <v>3218.53</v>
      </c>
      <c r="E327" s="109">
        <v>485.14</v>
      </c>
      <c r="F327" s="16">
        <f t="shared" ca="1" si="40"/>
        <v>732.91500149980493</v>
      </c>
      <c r="G327" s="12">
        <f t="shared" si="41"/>
        <v>27.628416666666666</v>
      </c>
      <c r="H327" s="12">
        <f t="shared" si="42"/>
        <v>391.27199999999999</v>
      </c>
      <c r="I327" s="17" cm="1">
        <f t="array" ref="I327">IF(MONTH(A327) = LOOKUP(YEAR(A327), YEAR('CNY Dates'!A$2:A$34), 'CNY Dates'!B$2:B$34), LOOKUP(YEAR(A327), YEAR('Hongbao demand'!B$4:B$35), 'Hongbao demand'!F$4:F$35)  - O326, 0)</f>
        <v>0</v>
      </c>
      <c r="J327" s="18">
        <f t="shared" si="43"/>
        <v>314.01458483313831</v>
      </c>
      <c r="K327" s="19">
        <v>35594.400000000001</v>
      </c>
      <c r="L327" s="12">
        <v>0.98912000000000011</v>
      </c>
      <c r="M327" s="14">
        <v>1.4166666666666668E-4</v>
      </c>
      <c r="N327" s="19">
        <f t="shared" ca="1" si="44"/>
        <v>-247.77500149980494</v>
      </c>
      <c r="O327" s="12">
        <f t="shared" ca="1" si="46"/>
        <v>113.38732838827005</v>
      </c>
      <c r="P327" s="18">
        <f t="shared" ca="1" si="45"/>
        <v>613.73599850019536</v>
      </c>
      <c r="Q327" s="19">
        <f t="shared" ca="1" si="47"/>
        <v>92.060399775029296</v>
      </c>
      <c r="R327" s="12">
        <f t="shared" ca="1" si="47"/>
        <v>122.74719970003908</v>
      </c>
      <c r="S327" s="12">
        <f t="shared" ca="1" si="48"/>
        <v>11.338732838827006</v>
      </c>
      <c r="T327" s="83">
        <f t="shared" ca="1" si="49"/>
        <v>226.14633231389539</v>
      </c>
      <c r="W327" s="1"/>
      <c r="Z327" s="6"/>
    </row>
    <row r="328" spans="1:26" x14ac:dyDescent="0.3">
      <c r="A328" s="11">
        <v>42278</v>
      </c>
      <c r="B328" s="94">
        <v>26785.01</v>
      </c>
      <c r="C328" s="97">
        <v>23573.62</v>
      </c>
      <c r="D328" s="109">
        <v>3211.39</v>
      </c>
      <c r="E328" s="109">
        <v>396.27</v>
      </c>
      <c r="F328" s="16">
        <f t="shared" ref="F328:F391" ca="1" si="50">SUM(G328:J328)-MIN(0, P327)</f>
        <v>519.14639327867667</v>
      </c>
      <c r="G328" s="12">
        <f t="shared" ref="G328:G391" si="51">D327/($I$1*12)</f>
        <v>26.821083333333334</v>
      </c>
      <c r="H328" s="12">
        <f t="shared" ref="H328:H391" si="52">C327/($I$2*12)</f>
        <v>392.8365</v>
      </c>
      <c r="I328" s="17" cm="1">
        <f t="array" ref="I328">IF(MONTH(A328) = LOOKUP(YEAR(A328), YEAR('CNY Dates'!A$2:A$34), 'CNY Dates'!B$2:B$34), LOOKUP(YEAR(A328), YEAR('Hongbao demand'!B$4:B$35), 'Hongbao demand'!F$4:F$35)  - O327, 0)</f>
        <v>0</v>
      </c>
      <c r="J328" s="18">
        <f t="shared" ref="J328:J391" si="53">(SQRT(K328/(2*L328*M328))-SQRT(K327/(2*L327*M327)))*L328</f>
        <v>99.488809945343363</v>
      </c>
      <c r="K328" s="19">
        <v>36079.666666666701</v>
      </c>
      <c r="L328" s="12">
        <v>0.98486999999999991</v>
      </c>
      <c r="M328" s="14">
        <v>1.4166666666666668E-4</v>
      </c>
      <c r="N328" s="19">
        <f t="shared" ref="N328:N391" ca="1" si="54">E328-F328</f>
        <v>-122.87639327867669</v>
      </c>
      <c r="O328" s="12">
        <f t="shared" ca="1" si="46"/>
        <v>112.44243398503447</v>
      </c>
      <c r="P328" s="18">
        <f t="shared" ref="P328:P391" ca="1" si="55">MAX(MIN(D328+N328 - D$1*C328, 0), D328+N328 - D$2*C328)</f>
        <v>731.15160672132333</v>
      </c>
      <c r="Q328" s="19">
        <f t="shared" ca="1" si="47"/>
        <v>109.6727410081985</v>
      </c>
      <c r="R328" s="12">
        <f t="shared" ca="1" si="47"/>
        <v>146.23032134426467</v>
      </c>
      <c r="S328" s="12">
        <f t="shared" ca="1" si="48"/>
        <v>11.244243398503448</v>
      </c>
      <c r="T328" s="83">
        <f t="shared" ca="1" si="49"/>
        <v>267.14730575096661</v>
      </c>
      <c r="W328" s="1"/>
      <c r="Z328" s="6"/>
    </row>
    <row r="329" spans="1:26" x14ac:dyDescent="0.3">
      <c r="A329" s="11">
        <v>42309</v>
      </c>
      <c r="B329" s="94">
        <v>26782.63</v>
      </c>
      <c r="C329" s="97">
        <v>23730.35</v>
      </c>
      <c r="D329" s="109">
        <v>3052.28</v>
      </c>
      <c r="E329" s="109">
        <v>549.62</v>
      </c>
      <c r="F329" s="16">
        <f t="shared" ca="1" si="50"/>
        <v>92.611023981183223</v>
      </c>
      <c r="G329" s="12">
        <f t="shared" si="51"/>
        <v>26.761583333333331</v>
      </c>
      <c r="H329" s="12">
        <f t="shared" si="52"/>
        <v>392.89366666666666</v>
      </c>
      <c r="I329" s="17" cm="1">
        <f t="array" ref="I329">IF(MONTH(A329) = LOOKUP(YEAR(A329), YEAR('CNY Dates'!A$2:A$34), 'CNY Dates'!B$2:B$34), LOOKUP(YEAR(A329), YEAR('Hongbao demand'!B$4:B$35), 'Hongbao demand'!F$4:F$35)  - O328, 0)</f>
        <v>0</v>
      </c>
      <c r="J329" s="18">
        <f t="shared" si="53"/>
        <v>-327.04422601881674</v>
      </c>
      <c r="K329" s="19">
        <v>36079.666666666701</v>
      </c>
      <c r="L329" s="12">
        <v>0.98683999999999994</v>
      </c>
      <c r="M329" s="14">
        <v>1.4999999999999999E-4</v>
      </c>
      <c r="N329" s="19">
        <f t="shared" ca="1" si="54"/>
        <v>457.00897601881678</v>
      </c>
      <c r="O329" s="12">
        <f t="shared" ref="O329:O392" ca="1" si="56">MIN(IF(I329=0, O328*(I$1*12-1)/(I$1*12), MAX(O$5*N329, 0)), D$2*O$5*C328)</f>
        <v>111.50541370182584</v>
      </c>
      <c r="P329" s="18">
        <f t="shared" ca="1" si="55"/>
        <v>1136.253976018817</v>
      </c>
      <c r="Q329" s="19">
        <f t="shared" ref="Q329:R360" ca="1" si="57">MAX(0,$P329)*Q$5</f>
        <v>170.43809640282254</v>
      </c>
      <c r="R329" s="12">
        <f t="shared" ca="1" si="57"/>
        <v>227.2507952037634</v>
      </c>
      <c r="S329" s="12">
        <f t="shared" ref="S329:S392" ca="1" si="58">O329*$S$5</f>
        <v>11.150541370182586</v>
      </c>
      <c r="T329" s="83">
        <f t="shared" ref="T329:T392" ca="1" si="59">SUM(Q329:S329)</f>
        <v>408.83943297676848</v>
      </c>
      <c r="W329" s="1"/>
      <c r="Z329" s="6"/>
    </row>
    <row r="330" spans="1:26" x14ac:dyDescent="0.3">
      <c r="A330" s="11">
        <v>42339</v>
      </c>
      <c r="B330" s="94">
        <v>26777.87</v>
      </c>
      <c r="C330" s="97">
        <v>23906.12</v>
      </c>
      <c r="D330" s="109">
        <v>2871.75</v>
      </c>
      <c r="E330" s="109">
        <v>571.28</v>
      </c>
      <c r="F330" s="16">
        <f t="shared" ca="1" si="50"/>
        <v>129.86799773040588</v>
      </c>
      <c r="G330" s="12">
        <f t="shared" si="51"/>
        <v>25.43566666666667</v>
      </c>
      <c r="H330" s="12">
        <f t="shared" si="52"/>
        <v>395.50583333333333</v>
      </c>
      <c r="I330" s="17" cm="1">
        <f t="array" ref="I330">IF(MONTH(A330) = LOOKUP(YEAR(A330), YEAR('CNY Dates'!A$2:A$34), 'CNY Dates'!B$2:B$34), LOOKUP(YEAR(A330), YEAR('Hongbao demand'!B$4:B$35), 'Hongbao demand'!F$4:F$35)  - O329, 0)</f>
        <v>0</v>
      </c>
      <c r="J330" s="18">
        <f t="shared" si="53"/>
        <v>-291.07350226959414</v>
      </c>
      <c r="K330" s="19">
        <v>36079.666666666701</v>
      </c>
      <c r="L330" s="12">
        <v>0.98692999999999997</v>
      </c>
      <c r="M330" s="14">
        <v>1.5833333333333332E-4</v>
      </c>
      <c r="N330" s="19">
        <f t="shared" ca="1" si="54"/>
        <v>441.4120022695941</v>
      </c>
      <c r="O330" s="12">
        <f t="shared" ca="1" si="56"/>
        <v>110.5762019209773</v>
      </c>
      <c r="P330" s="18">
        <f t="shared" ca="1" si="55"/>
        <v>922.55000226959419</v>
      </c>
      <c r="Q330" s="19">
        <f t="shared" ca="1" si="57"/>
        <v>138.38250034043912</v>
      </c>
      <c r="R330" s="12">
        <f t="shared" ca="1" si="57"/>
        <v>184.51000045391885</v>
      </c>
      <c r="S330" s="12">
        <f t="shared" ca="1" si="58"/>
        <v>11.05762019209773</v>
      </c>
      <c r="T330" s="83">
        <f t="shared" ca="1" si="59"/>
        <v>333.95012098645566</v>
      </c>
      <c r="W330" s="1"/>
      <c r="Z330" s="6"/>
    </row>
    <row r="331" spans="1:26" x14ac:dyDescent="0.3">
      <c r="A331" s="11">
        <v>42370</v>
      </c>
      <c r="B331" s="94">
        <v>28871.78</v>
      </c>
      <c r="C331" s="97">
        <v>23893.24</v>
      </c>
      <c r="D331" s="109">
        <v>4978.54</v>
      </c>
      <c r="E331" s="109">
        <v>385.56</v>
      </c>
      <c r="F331" s="16">
        <f t="shared" ca="1" si="50"/>
        <v>322.00559784186953</v>
      </c>
      <c r="G331" s="12">
        <f t="shared" si="51"/>
        <v>23.931249999999999</v>
      </c>
      <c r="H331" s="12">
        <f t="shared" si="52"/>
        <v>398.43533333333329</v>
      </c>
      <c r="I331" s="17" cm="1">
        <f t="array" ref="I331">IF(MONTH(A331) = LOOKUP(YEAR(A331), YEAR('CNY Dates'!A$2:A$34), 'CNY Dates'!B$2:B$34), LOOKUP(YEAR(A331), YEAR('Hongbao demand'!B$4:B$35), 'Hongbao demand'!F$4:F$35)  - O330, 0)</f>
        <v>0</v>
      </c>
      <c r="J331" s="18">
        <f t="shared" si="53"/>
        <v>-100.36098549146371</v>
      </c>
      <c r="K331" s="19">
        <v>35320.633333333302</v>
      </c>
      <c r="L331" s="12">
        <v>0.98475999999999997</v>
      </c>
      <c r="M331" s="14">
        <v>1.5833333333333332E-4</v>
      </c>
      <c r="N331" s="19">
        <f t="shared" ca="1" si="54"/>
        <v>63.554402158130472</v>
      </c>
      <c r="O331" s="12">
        <f t="shared" ca="1" si="56"/>
        <v>109.65473357163583</v>
      </c>
      <c r="P331" s="18">
        <f t="shared" ca="1" si="55"/>
        <v>2652.7704021581308</v>
      </c>
      <c r="Q331" s="19">
        <f t="shared" ca="1" si="57"/>
        <v>397.9155603237196</v>
      </c>
      <c r="R331" s="12">
        <f t="shared" ca="1" si="57"/>
        <v>530.55408043162618</v>
      </c>
      <c r="S331" s="12">
        <f t="shared" ca="1" si="58"/>
        <v>10.965473357163583</v>
      </c>
      <c r="T331" s="83">
        <f t="shared" ca="1" si="59"/>
        <v>939.43511411250938</v>
      </c>
      <c r="W331" s="1"/>
      <c r="Z331" s="6"/>
    </row>
    <row r="332" spans="1:26" x14ac:dyDescent="0.3">
      <c r="A332" s="11">
        <v>42401</v>
      </c>
      <c r="B332" s="94">
        <v>28870.94</v>
      </c>
      <c r="C332" s="97">
        <v>24152.66</v>
      </c>
      <c r="D332" s="109">
        <v>4718.28</v>
      </c>
      <c r="E332" s="109">
        <v>657.64</v>
      </c>
      <c r="F332" s="16">
        <f t="shared" ca="1" si="50"/>
        <v>348.04146563430857</v>
      </c>
      <c r="G332" s="12">
        <f t="shared" si="51"/>
        <v>41.487833333333334</v>
      </c>
      <c r="H332" s="12">
        <f t="shared" si="52"/>
        <v>398.22066666666672</v>
      </c>
      <c r="I332" s="17" cm="1">
        <f t="array" aca="1" ref="I332" ca="1">IF(MONTH(A332) = LOOKUP(YEAR(A332), YEAR('CNY Dates'!A$2:A$34), 'CNY Dates'!B$2:B$34), LOOKUP(YEAR(A332), YEAR('Hongbao demand'!B$4:B$35), 'Hongbao demand'!F$4:F$35)  - O331, 0)</f>
        <v>-97.040170156718332</v>
      </c>
      <c r="J332" s="18">
        <f t="shared" si="53"/>
        <v>5.3731357910267912</v>
      </c>
      <c r="K332" s="19">
        <v>35320.633333333302</v>
      </c>
      <c r="L332" s="12">
        <v>0.98375000000000001</v>
      </c>
      <c r="M332" s="14">
        <v>1.5833333333333332E-4</v>
      </c>
      <c r="N332" s="19">
        <f t="shared" ca="1" si="54"/>
        <v>309.59853436569142</v>
      </c>
      <c r="O332" s="12">
        <f t="shared" ca="1" si="56"/>
        <v>61.919706873138288</v>
      </c>
      <c r="P332" s="18">
        <f t="shared" ca="1" si="55"/>
        <v>2612.6125343656909</v>
      </c>
      <c r="Q332" s="19">
        <f t="shared" ca="1" si="57"/>
        <v>391.8918801548536</v>
      </c>
      <c r="R332" s="12">
        <f t="shared" ca="1" si="57"/>
        <v>522.52250687313824</v>
      </c>
      <c r="S332" s="12">
        <f t="shared" ca="1" si="58"/>
        <v>6.1919706873138294</v>
      </c>
      <c r="T332" s="83">
        <f t="shared" ca="1" si="59"/>
        <v>920.60635771530565</v>
      </c>
      <c r="W332" s="1"/>
      <c r="Z332" s="6"/>
    </row>
    <row r="333" spans="1:26" x14ac:dyDescent="0.3">
      <c r="A333" s="11">
        <v>42430</v>
      </c>
      <c r="B333" s="94">
        <v>26523.63</v>
      </c>
      <c r="C333" s="97">
        <v>24217.97</v>
      </c>
      <c r="D333" s="109">
        <v>2305.66</v>
      </c>
      <c r="E333" s="109">
        <v>467.85</v>
      </c>
      <c r="F333" s="16">
        <f t="shared" ca="1" si="50"/>
        <v>439.68025261938226</v>
      </c>
      <c r="G333" s="12">
        <f t="shared" si="51"/>
        <v>39.318999999999996</v>
      </c>
      <c r="H333" s="12">
        <f t="shared" si="52"/>
        <v>402.54433333333333</v>
      </c>
      <c r="I333" s="17" cm="1">
        <f t="array" ref="I333">IF(MONTH(A333) = LOOKUP(YEAR(A333), YEAR('CNY Dates'!A$2:A$34), 'CNY Dates'!B$2:B$34), LOOKUP(YEAR(A333), YEAR('Hongbao demand'!B$4:B$35), 'Hongbao demand'!F$4:F$35)  - O332, 0)</f>
        <v>0</v>
      </c>
      <c r="J333" s="18">
        <f t="shared" si="53"/>
        <v>-2.1830807139510946</v>
      </c>
      <c r="K333" s="19">
        <v>35320.633333333302</v>
      </c>
      <c r="L333" s="12">
        <v>0.98415999999999992</v>
      </c>
      <c r="M333" s="14">
        <v>1.5833333333333332E-4</v>
      </c>
      <c r="N333" s="19">
        <f t="shared" ca="1" si="54"/>
        <v>28.169747380617764</v>
      </c>
      <c r="O333" s="12">
        <f t="shared" ca="1" si="56"/>
        <v>61.403709315862137</v>
      </c>
      <c r="P333" s="18">
        <f t="shared" ca="1" si="55"/>
        <v>0</v>
      </c>
      <c r="Q333" s="19">
        <f t="shared" ca="1" si="57"/>
        <v>0</v>
      </c>
      <c r="R333" s="12">
        <f t="shared" ca="1" si="57"/>
        <v>0</v>
      </c>
      <c r="S333" s="12">
        <f t="shared" ca="1" si="58"/>
        <v>6.1403709315862143</v>
      </c>
      <c r="T333" s="83">
        <f t="shared" ca="1" si="59"/>
        <v>6.1403709315862143</v>
      </c>
      <c r="W333" s="1"/>
      <c r="Z333" s="6"/>
    </row>
    <row r="334" spans="1:26" x14ac:dyDescent="0.3">
      <c r="A334" s="11">
        <v>42461</v>
      </c>
      <c r="B334" s="94">
        <v>28606.83</v>
      </c>
      <c r="C334" s="97">
        <v>24510.5</v>
      </c>
      <c r="D334" s="109">
        <v>4096.33</v>
      </c>
      <c r="E334" s="109">
        <v>696.16</v>
      </c>
      <c r="F334" s="16">
        <f t="shared" ca="1" si="50"/>
        <v>575.84444950840293</v>
      </c>
      <c r="G334" s="12">
        <f t="shared" si="51"/>
        <v>19.213833333333334</v>
      </c>
      <c r="H334" s="12">
        <f t="shared" si="52"/>
        <v>403.63283333333334</v>
      </c>
      <c r="I334" s="17" cm="1">
        <f t="array" ref="I334">IF(MONTH(A334) = LOOKUP(YEAR(A334), YEAR('CNY Dates'!A$2:A$34), 'CNY Dates'!B$2:B$34), LOOKUP(YEAR(A334), YEAR('Hongbao demand'!B$4:B$35), 'Hongbao demand'!F$4:F$35)  - O333, 0)</f>
        <v>0</v>
      </c>
      <c r="J334" s="18">
        <f t="shared" si="53"/>
        <v>152.99778284173627</v>
      </c>
      <c r="K334" s="19">
        <v>36341.433333333298</v>
      </c>
      <c r="L334" s="12">
        <v>0.98364999999999991</v>
      </c>
      <c r="M334" s="14">
        <v>1.5833333333333332E-4</v>
      </c>
      <c r="N334" s="19">
        <f t="shared" ca="1" si="54"/>
        <v>120.31555049159704</v>
      </c>
      <c r="O334" s="12">
        <f t="shared" ca="1" si="56"/>
        <v>60.892011738229954</v>
      </c>
      <c r="P334" s="18">
        <f t="shared" ca="1" si="55"/>
        <v>1765.5955504915964</v>
      </c>
      <c r="Q334" s="19">
        <f t="shared" ca="1" si="57"/>
        <v>264.83933257373945</v>
      </c>
      <c r="R334" s="12">
        <f t="shared" ca="1" si="57"/>
        <v>353.11911009831931</v>
      </c>
      <c r="S334" s="12">
        <f t="shared" ca="1" si="58"/>
        <v>6.0892011738229961</v>
      </c>
      <c r="T334" s="83">
        <f t="shared" ca="1" si="59"/>
        <v>624.04764384588168</v>
      </c>
      <c r="W334" s="1"/>
      <c r="Z334" s="6"/>
    </row>
    <row r="335" spans="1:26" x14ac:dyDescent="0.3">
      <c r="A335" s="11">
        <v>42491</v>
      </c>
      <c r="B335" s="94">
        <v>28604.03</v>
      </c>
      <c r="C335" s="97">
        <v>24492.37</v>
      </c>
      <c r="D335" s="109">
        <v>4111.66</v>
      </c>
      <c r="E335" s="109">
        <v>390.38</v>
      </c>
      <c r="F335" s="16">
        <f t="shared" ca="1" si="50"/>
        <v>477.20628139746708</v>
      </c>
      <c r="G335" s="12">
        <f t="shared" si="51"/>
        <v>34.136083333333332</v>
      </c>
      <c r="H335" s="12">
        <f t="shared" si="52"/>
        <v>408.50833333333333</v>
      </c>
      <c r="I335" s="17" cm="1">
        <f t="array" ref="I335">IF(MONTH(A335) = LOOKUP(YEAR(A335), YEAR('CNY Dates'!A$2:A$34), 'CNY Dates'!B$2:B$34), LOOKUP(YEAR(A335), YEAR('Hongbao demand'!B$4:B$35), 'Hongbao demand'!F$4:F$35)  - O334, 0)</f>
        <v>0</v>
      </c>
      <c r="J335" s="18">
        <f t="shared" si="53"/>
        <v>34.561864730800444</v>
      </c>
      <c r="K335" s="19">
        <v>36341.433333333298</v>
      </c>
      <c r="L335" s="12">
        <v>0.97724</v>
      </c>
      <c r="M335" s="14">
        <v>1.5833333333333332E-4</v>
      </c>
      <c r="N335" s="19">
        <f t="shared" ca="1" si="54"/>
        <v>-86.826281397467085</v>
      </c>
      <c r="O335" s="12">
        <f t="shared" ca="1" si="56"/>
        <v>60.384578307078037</v>
      </c>
      <c r="P335" s="18">
        <f t="shared" ca="1" si="55"/>
        <v>1575.5967186025327</v>
      </c>
      <c r="Q335" s="19">
        <f t="shared" ca="1" si="57"/>
        <v>236.33950779037991</v>
      </c>
      <c r="R335" s="12">
        <f t="shared" ca="1" si="57"/>
        <v>315.11934372050655</v>
      </c>
      <c r="S335" s="12">
        <f t="shared" ca="1" si="58"/>
        <v>6.0384578307078041</v>
      </c>
      <c r="T335" s="83">
        <f t="shared" ca="1" si="59"/>
        <v>557.49730934159425</v>
      </c>
      <c r="W335" s="1"/>
      <c r="Z335" s="6"/>
    </row>
    <row r="336" spans="1:26" x14ac:dyDescent="0.3">
      <c r="A336" s="11">
        <v>42522</v>
      </c>
      <c r="B336" s="94">
        <v>28600.25</v>
      </c>
      <c r="C336" s="97">
        <v>24512.46</v>
      </c>
      <c r="D336" s="109">
        <v>4087.79</v>
      </c>
      <c r="E336" s="109">
        <v>428.3</v>
      </c>
      <c r="F336" s="16">
        <f t="shared" ca="1" si="50"/>
        <v>403.11417495505918</v>
      </c>
      <c r="G336" s="12">
        <f t="shared" si="51"/>
        <v>34.263833333333331</v>
      </c>
      <c r="H336" s="12">
        <f t="shared" si="52"/>
        <v>408.20616666666666</v>
      </c>
      <c r="I336" s="17" cm="1">
        <f t="array" ref="I336">IF(MONTH(A336) = LOOKUP(YEAR(A336), YEAR('CNY Dates'!A$2:A$34), 'CNY Dates'!B$2:B$34), LOOKUP(YEAR(A336), YEAR('Hongbao demand'!B$4:B$35), 'Hongbao demand'!F$4:F$35)  - O335, 0)</f>
        <v>0</v>
      </c>
      <c r="J336" s="18">
        <f t="shared" si="53"/>
        <v>-39.355825044940772</v>
      </c>
      <c r="K336" s="19">
        <v>36341.433333333298</v>
      </c>
      <c r="L336" s="12">
        <v>0.98448999999999998</v>
      </c>
      <c r="M336" s="14">
        <v>1.5833333333333332E-4</v>
      </c>
      <c r="N336" s="19">
        <f t="shared" ca="1" si="54"/>
        <v>25.185825044940827</v>
      </c>
      <c r="O336" s="12">
        <f t="shared" ca="1" si="56"/>
        <v>59.881373487852393</v>
      </c>
      <c r="P336" s="18">
        <f t="shared" ca="1" si="55"/>
        <v>1661.7298250449403</v>
      </c>
      <c r="Q336" s="19">
        <f t="shared" ca="1" si="57"/>
        <v>249.25947375674104</v>
      </c>
      <c r="R336" s="12">
        <f t="shared" ca="1" si="57"/>
        <v>332.34596500898806</v>
      </c>
      <c r="S336" s="12">
        <f t="shared" ca="1" si="58"/>
        <v>5.9881373487852398</v>
      </c>
      <c r="T336" s="83">
        <f t="shared" ca="1" si="59"/>
        <v>587.59357611451435</v>
      </c>
      <c r="W336" s="1"/>
      <c r="Z336" s="6"/>
    </row>
    <row r="337" spans="1:26" x14ac:dyDescent="0.3">
      <c r="A337" s="11">
        <v>42552</v>
      </c>
      <c r="B337" s="94">
        <v>28595.7</v>
      </c>
      <c r="C337" s="97">
        <v>24967.599999999999</v>
      </c>
      <c r="D337" s="109">
        <v>3628.1</v>
      </c>
      <c r="E337" s="109">
        <v>863.68</v>
      </c>
      <c r="F337" s="16">
        <f t="shared" ca="1" si="50"/>
        <v>509.66277847637264</v>
      </c>
      <c r="G337" s="12">
        <f t="shared" si="51"/>
        <v>34.064916666666669</v>
      </c>
      <c r="H337" s="12">
        <f t="shared" si="52"/>
        <v>408.541</v>
      </c>
      <c r="I337" s="17" cm="1">
        <f t="array" ref="I337">IF(MONTH(A337) = LOOKUP(YEAR(A337), YEAR('CNY Dates'!A$2:A$34), 'CNY Dates'!B$2:B$34), LOOKUP(YEAR(A337), YEAR('Hongbao demand'!B$4:B$35), 'Hongbao demand'!F$4:F$35)  - O336, 0)</f>
        <v>0</v>
      </c>
      <c r="J337" s="18">
        <f t="shared" si="53"/>
        <v>67.056861809705978</v>
      </c>
      <c r="K337" s="19">
        <v>36699.533333333296</v>
      </c>
      <c r="L337" s="12">
        <v>0.98172999999999999</v>
      </c>
      <c r="M337" s="14">
        <v>1.5833333333333332E-4</v>
      </c>
      <c r="N337" s="19">
        <f t="shared" ca="1" si="54"/>
        <v>354.01722152362731</v>
      </c>
      <c r="O337" s="12">
        <f t="shared" ca="1" si="56"/>
        <v>59.382362042120285</v>
      </c>
      <c r="P337" s="18">
        <f t="shared" ca="1" si="55"/>
        <v>1485.3572215236272</v>
      </c>
      <c r="Q337" s="19">
        <f t="shared" ca="1" si="57"/>
        <v>222.80358322854408</v>
      </c>
      <c r="R337" s="12">
        <f t="shared" ca="1" si="57"/>
        <v>297.07144430472545</v>
      </c>
      <c r="S337" s="12">
        <f t="shared" ca="1" si="58"/>
        <v>5.9382362042120285</v>
      </c>
      <c r="T337" s="83">
        <f t="shared" ca="1" si="59"/>
        <v>525.81326373748152</v>
      </c>
      <c r="W337" s="1"/>
      <c r="Z337" s="6"/>
    </row>
    <row r="338" spans="1:26" x14ac:dyDescent="0.3">
      <c r="A338" s="11">
        <v>42583</v>
      </c>
      <c r="B338" s="94">
        <v>28592.06</v>
      </c>
      <c r="C338" s="97">
        <v>25244.59</v>
      </c>
      <c r="D338" s="109">
        <v>3347.47</v>
      </c>
      <c r="E338" s="109">
        <v>693.12</v>
      </c>
      <c r="F338" s="16">
        <f t="shared" ca="1" si="50"/>
        <v>420.03500392222219</v>
      </c>
      <c r="G338" s="12">
        <f t="shared" si="51"/>
        <v>30.234166666666667</v>
      </c>
      <c r="H338" s="12">
        <f t="shared" si="52"/>
        <v>416.12666666666667</v>
      </c>
      <c r="I338" s="17" cm="1">
        <f t="array" ref="I338">IF(MONTH(A338) = LOOKUP(YEAR(A338), YEAR('CNY Dates'!A$2:A$34), 'CNY Dates'!B$2:B$34), LOOKUP(YEAR(A338), YEAR('Hongbao demand'!B$4:B$35), 'Hongbao demand'!F$4:F$35)  - O337, 0)</f>
        <v>0</v>
      </c>
      <c r="J338" s="18">
        <f t="shared" si="53"/>
        <v>-26.32582941111114</v>
      </c>
      <c r="K338" s="19">
        <v>36699.533333333296</v>
      </c>
      <c r="L338" s="12">
        <v>0.98656999999999995</v>
      </c>
      <c r="M338" s="14">
        <v>1.5833333333333332E-4</v>
      </c>
      <c r="N338" s="19">
        <f t="shared" ca="1" si="54"/>
        <v>273.08499607777782</v>
      </c>
      <c r="O338" s="12">
        <f t="shared" ca="1" si="56"/>
        <v>58.887509025102617</v>
      </c>
      <c r="P338" s="18">
        <f t="shared" ca="1" si="55"/>
        <v>1096.0959960777773</v>
      </c>
      <c r="Q338" s="19">
        <f t="shared" ca="1" si="57"/>
        <v>164.41439941166658</v>
      </c>
      <c r="R338" s="12">
        <f t="shared" ca="1" si="57"/>
        <v>219.21919921555548</v>
      </c>
      <c r="S338" s="12">
        <f t="shared" ca="1" si="58"/>
        <v>5.888750902510262</v>
      </c>
      <c r="T338" s="83">
        <f t="shared" ca="1" si="59"/>
        <v>389.52234952973231</v>
      </c>
      <c r="W338" s="1"/>
      <c r="Z338" s="6"/>
    </row>
    <row r="339" spans="1:26" x14ac:dyDescent="0.3">
      <c r="A339" s="11">
        <v>42614</v>
      </c>
      <c r="B339" s="94">
        <v>28588.7</v>
      </c>
      <c r="C339" s="97">
        <v>25632.39</v>
      </c>
      <c r="D339" s="109">
        <v>2956.31</v>
      </c>
      <c r="E339" s="109">
        <v>808.54</v>
      </c>
      <c r="F339" s="16">
        <f t="shared" ca="1" si="50"/>
        <v>448.15101091305667</v>
      </c>
      <c r="G339" s="12">
        <f t="shared" si="51"/>
        <v>27.895583333333331</v>
      </c>
      <c r="H339" s="12">
        <f t="shared" si="52"/>
        <v>420.7431666666667</v>
      </c>
      <c r="I339" s="17" cm="1">
        <f t="array" ref="I339">IF(MONTH(A339) = LOOKUP(YEAR(A339), YEAR('CNY Dates'!A$2:A$34), 'CNY Dates'!B$2:B$34), LOOKUP(YEAR(A339), YEAR('Hongbao demand'!B$4:B$35), 'Hongbao demand'!F$4:F$35)  - O338, 0)</f>
        <v>0</v>
      </c>
      <c r="J339" s="18">
        <f t="shared" si="53"/>
        <v>-0.48773908694336199</v>
      </c>
      <c r="K339" s="19">
        <v>36699.533333333296</v>
      </c>
      <c r="L339" s="12">
        <v>0.98665999999999998</v>
      </c>
      <c r="M339" s="14">
        <v>1.5833333333333332E-4</v>
      </c>
      <c r="N339" s="19">
        <f t="shared" ca="1" si="54"/>
        <v>360.3889890869433</v>
      </c>
      <c r="O339" s="12">
        <f t="shared" ca="1" si="56"/>
        <v>58.396779783226762</v>
      </c>
      <c r="P339" s="18">
        <f t="shared" ca="1" si="55"/>
        <v>753.4599890869431</v>
      </c>
      <c r="Q339" s="19">
        <f t="shared" ca="1" si="57"/>
        <v>113.01899836304146</v>
      </c>
      <c r="R339" s="12">
        <f t="shared" ca="1" si="57"/>
        <v>150.69199781738862</v>
      </c>
      <c r="S339" s="12">
        <f t="shared" ca="1" si="58"/>
        <v>5.8396779783226762</v>
      </c>
      <c r="T339" s="83">
        <f t="shared" ca="1" si="59"/>
        <v>269.55067415875277</v>
      </c>
      <c r="W339" s="1"/>
      <c r="Z339" s="6"/>
    </row>
    <row r="340" spans="1:26" x14ac:dyDescent="0.3">
      <c r="A340" s="11">
        <v>42644</v>
      </c>
      <c r="B340" s="94">
        <v>28586.18</v>
      </c>
      <c r="C340" s="97">
        <v>26244.33</v>
      </c>
      <c r="D340" s="109">
        <v>2341.85</v>
      </c>
      <c r="E340" s="109">
        <v>1039.1500000000001</v>
      </c>
      <c r="F340" s="16">
        <f t="shared" ca="1" si="50"/>
        <v>628.04237033804088</v>
      </c>
      <c r="G340" s="12">
        <f t="shared" si="51"/>
        <v>24.635916666666667</v>
      </c>
      <c r="H340" s="12">
        <f t="shared" si="52"/>
        <v>427.20650000000001</v>
      </c>
      <c r="I340" s="17" cm="1">
        <f t="array" ref="I340">IF(MONTH(A340) = LOOKUP(YEAR(A340), YEAR('CNY Dates'!A$2:A$34), 'CNY Dates'!B$2:B$34), LOOKUP(YEAR(A340), YEAR('Hongbao demand'!B$4:B$35), 'Hongbao demand'!F$4:F$35)  - O339, 0)</f>
        <v>0</v>
      </c>
      <c r="J340" s="18">
        <f t="shared" si="53"/>
        <v>176.19995367137417</v>
      </c>
      <c r="K340" s="19">
        <v>37813.699999999997</v>
      </c>
      <c r="L340" s="12">
        <v>0.98382999999999998</v>
      </c>
      <c r="M340" s="14">
        <v>1.5833333333333332E-4</v>
      </c>
      <c r="N340" s="19">
        <f t="shared" ca="1" si="54"/>
        <v>411.10762966195921</v>
      </c>
      <c r="O340" s="12">
        <f t="shared" ca="1" si="56"/>
        <v>57.910139951699875</v>
      </c>
      <c r="P340" s="18">
        <f t="shared" ca="1" si="55"/>
        <v>128.52462966195844</v>
      </c>
      <c r="Q340" s="19">
        <f t="shared" ca="1" si="57"/>
        <v>19.278694449293766</v>
      </c>
      <c r="R340" s="12">
        <f t="shared" ca="1" si="57"/>
        <v>25.704925932391689</v>
      </c>
      <c r="S340" s="12">
        <f t="shared" ca="1" si="58"/>
        <v>5.7910139951699877</v>
      </c>
      <c r="T340" s="83">
        <f t="shared" ca="1" si="59"/>
        <v>50.774634376855445</v>
      </c>
      <c r="W340" s="1"/>
      <c r="Z340" s="6"/>
    </row>
    <row r="341" spans="1:26" x14ac:dyDescent="0.3">
      <c r="A341" s="11">
        <v>42675</v>
      </c>
      <c r="B341" s="94">
        <v>28584.5</v>
      </c>
      <c r="C341" s="97">
        <v>26445.86</v>
      </c>
      <c r="D341" s="109">
        <v>2138.64</v>
      </c>
      <c r="E341" s="109">
        <v>638.94000000000005</v>
      </c>
      <c r="F341" s="16">
        <f t="shared" ca="1" si="50"/>
        <v>439.50010036063389</v>
      </c>
      <c r="G341" s="12">
        <f t="shared" si="51"/>
        <v>19.515416666666667</v>
      </c>
      <c r="H341" s="12">
        <f t="shared" si="52"/>
        <v>437.40550000000002</v>
      </c>
      <c r="I341" s="17" cm="1">
        <f t="array" ref="I341">IF(MONTH(A341) = LOOKUP(YEAR(A341), YEAR('CNY Dates'!A$2:A$34), 'CNY Dates'!B$2:B$34), LOOKUP(YEAR(A341), YEAR('Hongbao demand'!B$4:B$35), 'Hongbao demand'!F$4:F$35)  - O340, 0)</f>
        <v>0</v>
      </c>
      <c r="J341" s="18">
        <f t="shared" si="53"/>
        <v>-17.42081630603283</v>
      </c>
      <c r="K341" s="19">
        <v>37813.699999999997</v>
      </c>
      <c r="L341" s="12">
        <v>0.98699000000000003</v>
      </c>
      <c r="M341" s="14">
        <v>1.5833333333333332E-4</v>
      </c>
      <c r="N341" s="19">
        <f t="shared" ca="1" si="54"/>
        <v>199.43989963936616</v>
      </c>
      <c r="O341" s="12">
        <f t="shared" ca="1" si="56"/>
        <v>57.427555452102375</v>
      </c>
      <c r="P341" s="18">
        <f t="shared" ca="1" si="55"/>
        <v>0</v>
      </c>
      <c r="Q341" s="19">
        <f t="shared" ca="1" si="57"/>
        <v>0</v>
      </c>
      <c r="R341" s="12">
        <f t="shared" ca="1" si="57"/>
        <v>0</v>
      </c>
      <c r="S341" s="12">
        <f t="shared" ca="1" si="58"/>
        <v>5.7427555452102377</v>
      </c>
      <c r="T341" s="83">
        <f t="shared" ca="1" si="59"/>
        <v>5.7427555452102377</v>
      </c>
      <c r="W341" s="1"/>
      <c r="Z341" s="6"/>
    </row>
    <row r="342" spans="1:26" x14ac:dyDescent="0.3">
      <c r="A342" s="11">
        <v>42705</v>
      </c>
      <c r="B342" s="94">
        <v>30681.49</v>
      </c>
      <c r="C342" s="97">
        <v>27038.06</v>
      </c>
      <c r="D342" s="109">
        <v>3643.43</v>
      </c>
      <c r="E342" s="109">
        <v>1032.96</v>
      </c>
      <c r="F342" s="16">
        <f t="shared" ca="1" si="50"/>
        <v>1813.1836893384295</v>
      </c>
      <c r="G342" s="12">
        <f t="shared" si="51"/>
        <v>17.821999999999999</v>
      </c>
      <c r="H342" s="12">
        <f t="shared" si="52"/>
        <v>440.76433333333335</v>
      </c>
      <c r="I342" s="17" cm="1">
        <f t="array" ref="I342">IF(MONTH(A342) = LOOKUP(YEAR(A342), YEAR('CNY Dates'!A$2:A$34), 'CNY Dates'!B$2:B$34), LOOKUP(YEAR(A342), YEAR('Hongbao demand'!B$4:B$35), 'Hongbao demand'!F$4:F$35)  - O341, 0)</f>
        <v>0</v>
      </c>
      <c r="J342" s="18">
        <f t="shared" si="53"/>
        <v>1354.5973560050961</v>
      </c>
      <c r="K342" s="19">
        <v>37813.699999999997</v>
      </c>
      <c r="L342" s="12">
        <v>0.98853999999999997</v>
      </c>
      <c r="M342" s="14">
        <v>1.25E-4</v>
      </c>
      <c r="N342" s="19">
        <f t="shared" ca="1" si="54"/>
        <v>-780.22368933842949</v>
      </c>
      <c r="O342" s="12">
        <f t="shared" ca="1" si="56"/>
        <v>56.948992490001523</v>
      </c>
      <c r="P342" s="18">
        <f t="shared" ca="1" si="55"/>
        <v>159.40031066157007</v>
      </c>
      <c r="Q342" s="19">
        <f t="shared" ca="1" si="57"/>
        <v>23.91004659923551</v>
      </c>
      <c r="R342" s="12">
        <f t="shared" ca="1" si="57"/>
        <v>31.880062132314016</v>
      </c>
      <c r="S342" s="12">
        <f t="shared" ca="1" si="58"/>
        <v>5.6948992490001524</v>
      </c>
      <c r="T342" s="83">
        <f t="shared" ca="1" si="59"/>
        <v>61.485007980549675</v>
      </c>
      <c r="W342" s="1"/>
      <c r="Z342" s="6"/>
    </row>
    <row r="343" spans="1:26" x14ac:dyDescent="0.3">
      <c r="A343" s="11">
        <v>42736</v>
      </c>
      <c r="B343" s="94">
        <v>31729.18</v>
      </c>
      <c r="C343" s="97">
        <v>27081.040000000001</v>
      </c>
      <c r="D343" s="109">
        <v>4648.1400000000003</v>
      </c>
      <c r="E343" s="109">
        <v>493.61</v>
      </c>
      <c r="F343" s="16">
        <f t="shared" ca="1" si="50"/>
        <v>289.91164554607326</v>
      </c>
      <c r="G343" s="12">
        <f t="shared" si="51"/>
        <v>30.361916666666666</v>
      </c>
      <c r="H343" s="12">
        <f t="shared" si="52"/>
        <v>450.63433333333336</v>
      </c>
      <c r="I343" s="17" cm="1">
        <f t="array" aca="1" ref="I343" ca="1">IF(MONTH(A343) = LOOKUP(YEAR(A343), YEAR('CNY Dates'!A$2:A$34), 'CNY Dates'!B$2:B$34), LOOKUP(YEAR(A343), YEAR('Hongbao demand'!B$4:B$35), 'Hongbao demand'!F$4:F$35)  - O342, 0)</f>
        <v>-44.698892394676065</v>
      </c>
      <c r="J343" s="18">
        <f t="shared" si="53"/>
        <v>-146.38571205925072</v>
      </c>
      <c r="K343" s="19">
        <v>36979.533333333296</v>
      </c>
      <c r="L343" s="12">
        <v>0.99025999999999992</v>
      </c>
      <c r="M343" s="14">
        <v>1.25E-4</v>
      </c>
      <c r="N343" s="19">
        <f t="shared" ca="1" si="54"/>
        <v>203.69835445392675</v>
      </c>
      <c r="O343" s="12">
        <f t="shared" ca="1" si="56"/>
        <v>40.739670890785355</v>
      </c>
      <c r="P343" s="18">
        <f t="shared" ca="1" si="55"/>
        <v>2143.7343544539272</v>
      </c>
      <c r="Q343" s="19">
        <f t="shared" ca="1" si="57"/>
        <v>321.56015316808907</v>
      </c>
      <c r="R343" s="12">
        <f t="shared" ca="1" si="57"/>
        <v>428.74687089078543</v>
      </c>
      <c r="S343" s="12">
        <f t="shared" ca="1" si="58"/>
        <v>4.0739670890785353</v>
      </c>
      <c r="T343" s="83">
        <f t="shared" ca="1" si="59"/>
        <v>754.38099114795307</v>
      </c>
      <c r="W343" s="1"/>
      <c r="Z343" s="6"/>
    </row>
    <row r="344" spans="1:26" x14ac:dyDescent="0.3">
      <c r="A344" s="11">
        <v>42767</v>
      </c>
      <c r="B344" s="94">
        <v>31728.13</v>
      </c>
      <c r="C344" s="97">
        <v>27044.639999999999</v>
      </c>
      <c r="D344" s="109">
        <v>4683.49</v>
      </c>
      <c r="E344" s="109">
        <v>414.95</v>
      </c>
      <c r="F344" s="16">
        <f t="shared" ca="1" si="50"/>
        <v>915.04971770776842</v>
      </c>
      <c r="G344" s="12">
        <f t="shared" si="51"/>
        <v>38.734500000000004</v>
      </c>
      <c r="H344" s="12">
        <f t="shared" si="52"/>
        <v>451.35066666666665</v>
      </c>
      <c r="I344" s="17" cm="1">
        <f t="array" ref="I344">IF(MONTH(A344) = LOOKUP(YEAR(A344), YEAR('CNY Dates'!A$2:A$34), 'CNY Dates'!B$2:B$34), LOOKUP(YEAR(A344), YEAR('Hongbao demand'!B$4:B$35), 'Hongbao demand'!F$4:F$35)  - O343, 0)</f>
        <v>0</v>
      </c>
      <c r="J344" s="18">
        <f t="shared" si="53"/>
        <v>424.96455104110174</v>
      </c>
      <c r="K344" s="19">
        <v>36979.533333333296</v>
      </c>
      <c r="L344" s="12">
        <v>0.99022999999999994</v>
      </c>
      <c r="M344" s="14">
        <v>1.1666666666666668E-4</v>
      </c>
      <c r="N344" s="19">
        <f t="shared" ca="1" si="54"/>
        <v>-500.09971770776843</v>
      </c>
      <c r="O344" s="12">
        <f t="shared" ca="1" si="56"/>
        <v>40.400173633362144</v>
      </c>
      <c r="P344" s="18">
        <f t="shared" ca="1" si="55"/>
        <v>1478.926282292231</v>
      </c>
      <c r="Q344" s="19">
        <f t="shared" ca="1" si="57"/>
        <v>221.83894234383465</v>
      </c>
      <c r="R344" s="12">
        <f t="shared" ca="1" si="57"/>
        <v>295.78525645844621</v>
      </c>
      <c r="S344" s="12">
        <f t="shared" ca="1" si="58"/>
        <v>4.0400173633362142</v>
      </c>
      <c r="T344" s="83">
        <f t="shared" ca="1" si="59"/>
        <v>521.66421616561706</v>
      </c>
      <c r="W344" s="1"/>
      <c r="Z344" s="6"/>
    </row>
    <row r="345" spans="1:26" x14ac:dyDescent="0.3">
      <c r="A345" s="11">
        <v>42795</v>
      </c>
      <c r="B345" s="94">
        <v>29766.31</v>
      </c>
      <c r="C345" s="97">
        <v>27300.28</v>
      </c>
      <c r="D345" s="109">
        <v>2466.0300000000002</v>
      </c>
      <c r="E345" s="109">
        <v>706.38</v>
      </c>
      <c r="F345" s="16">
        <f t="shared" ca="1" si="50"/>
        <v>487.17936337134006</v>
      </c>
      <c r="G345" s="12">
        <f t="shared" si="51"/>
        <v>39.029083333333332</v>
      </c>
      <c r="H345" s="12">
        <f t="shared" si="52"/>
        <v>450.74399999999997</v>
      </c>
      <c r="I345" s="17" cm="1">
        <f t="array" ref="I345">IF(MONTH(A345) = LOOKUP(YEAR(A345), YEAR('CNY Dates'!A$2:A$34), 'CNY Dates'!B$2:B$34), LOOKUP(YEAR(A345), YEAR('Hongbao demand'!B$4:B$35), 'Hongbao demand'!F$4:F$35)  - O344, 0)</f>
        <v>0</v>
      </c>
      <c r="J345" s="18">
        <f t="shared" si="53"/>
        <v>-2.5937199619932665</v>
      </c>
      <c r="K345" s="19">
        <v>36979.533333333296</v>
      </c>
      <c r="L345" s="12">
        <v>0.99063999999999997</v>
      </c>
      <c r="M345" s="14">
        <v>1.1666666666666668E-4</v>
      </c>
      <c r="N345" s="19">
        <f t="shared" ca="1" si="54"/>
        <v>219.20063662865994</v>
      </c>
      <c r="O345" s="12">
        <f t="shared" ca="1" si="56"/>
        <v>40.063505519750798</v>
      </c>
      <c r="P345" s="18">
        <f t="shared" ca="1" si="55"/>
        <v>0</v>
      </c>
      <c r="Q345" s="19">
        <f t="shared" ca="1" si="57"/>
        <v>0</v>
      </c>
      <c r="R345" s="12">
        <f t="shared" ca="1" si="57"/>
        <v>0</v>
      </c>
      <c r="S345" s="12">
        <f t="shared" ca="1" si="58"/>
        <v>4.0063505519750802</v>
      </c>
      <c r="T345" s="83">
        <f t="shared" ca="1" si="59"/>
        <v>4.0063505519750802</v>
      </c>
      <c r="W345" s="1"/>
      <c r="Z345" s="6"/>
    </row>
    <row r="346" spans="1:26" x14ac:dyDescent="0.3">
      <c r="A346" s="11">
        <v>42826</v>
      </c>
      <c r="B346" s="94">
        <v>29765.119999999999</v>
      </c>
      <c r="C346" s="97">
        <v>27537.93</v>
      </c>
      <c r="D346" s="109">
        <v>2227.19</v>
      </c>
      <c r="E346" s="109">
        <v>692.65</v>
      </c>
      <c r="F346" s="16">
        <f t="shared" ca="1" si="50"/>
        <v>618.26478700053019</v>
      </c>
      <c r="G346" s="12">
        <f t="shared" si="51"/>
        <v>20.550250000000002</v>
      </c>
      <c r="H346" s="12">
        <f t="shared" si="52"/>
        <v>455.00466666666665</v>
      </c>
      <c r="I346" s="17" cm="1">
        <f t="array" ref="I346">IF(MONTH(A346) = LOOKUP(YEAR(A346), YEAR('CNY Dates'!A$2:A$34), 'CNY Dates'!B$2:B$34), LOOKUP(YEAR(A346), YEAR('Hongbao demand'!B$4:B$35), 'Hongbao demand'!F$4:F$35)  - O345, 0)</f>
        <v>0</v>
      </c>
      <c r="J346" s="18">
        <f t="shared" si="53"/>
        <v>142.70987033386353</v>
      </c>
      <c r="K346" s="19">
        <v>37713.966666666704</v>
      </c>
      <c r="L346" s="12">
        <v>0.98762000000000005</v>
      </c>
      <c r="M346" s="14">
        <v>1.1666666666666668E-4</v>
      </c>
      <c r="N346" s="19">
        <f t="shared" ca="1" si="54"/>
        <v>74.385212999469786</v>
      </c>
      <c r="O346" s="12">
        <f t="shared" ca="1" si="56"/>
        <v>39.729642973752874</v>
      </c>
      <c r="P346" s="18">
        <f t="shared" ca="1" si="55"/>
        <v>0</v>
      </c>
      <c r="Q346" s="19">
        <f t="shared" ca="1" si="57"/>
        <v>0</v>
      </c>
      <c r="R346" s="12">
        <f t="shared" ca="1" si="57"/>
        <v>0</v>
      </c>
      <c r="S346" s="12">
        <f t="shared" ca="1" si="58"/>
        <v>3.9729642973752877</v>
      </c>
      <c r="T346" s="83">
        <f t="shared" ca="1" si="59"/>
        <v>3.9729642973752877</v>
      </c>
      <c r="W346" s="1"/>
      <c r="Z346" s="6"/>
    </row>
    <row r="347" spans="1:26" x14ac:dyDescent="0.3">
      <c r="A347" s="11">
        <v>42856</v>
      </c>
      <c r="B347" s="94">
        <v>29763.86</v>
      </c>
      <c r="C347" s="97">
        <v>27884.080000000002</v>
      </c>
      <c r="D347" s="109">
        <v>1879.78</v>
      </c>
      <c r="E347" s="109">
        <v>805.12</v>
      </c>
      <c r="F347" s="16">
        <f t="shared" ca="1" si="50"/>
        <v>456.01515694208126</v>
      </c>
      <c r="G347" s="12">
        <f t="shared" si="51"/>
        <v>18.559916666666666</v>
      </c>
      <c r="H347" s="12">
        <f t="shared" si="52"/>
        <v>458.96550000000002</v>
      </c>
      <c r="I347" s="17" cm="1">
        <f t="array" ref="I347">IF(MONTH(A347) = LOOKUP(YEAR(A347), YEAR('CNY Dates'!A$2:A$34), 'CNY Dates'!B$2:B$34), LOOKUP(YEAR(A347), YEAR('Hongbao demand'!B$4:B$35), 'Hongbao demand'!F$4:F$35)  - O346, 0)</f>
        <v>0</v>
      </c>
      <c r="J347" s="18">
        <f t="shared" si="53"/>
        <v>-21.510259724585381</v>
      </c>
      <c r="K347" s="19">
        <v>37713.966666666704</v>
      </c>
      <c r="L347" s="12">
        <v>0.99097999999999997</v>
      </c>
      <c r="M347" s="14">
        <v>1.1666666666666668E-4</v>
      </c>
      <c r="N347" s="19">
        <f t="shared" ca="1" si="54"/>
        <v>349.10484305791874</v>
      </c>
      <c r="O347" s="12">
        <f t="shared" ca="1" si="56"/>
        <v>39.398562615638269</v>
      </c>
      <c r="P347" s="18">
        <f t="shared" ca="1" si="55"/>
        <v>0</v>
      </c>
      <c r="Q347" s="19">
        <f t="shared" ca="1" si="57"/>
        <v>0</v>
      </c>
      <c r="R347" s="12">
        <f t="shared" ca="1" si="57"/>
        <v>0</v>
      </c>
      <c r="S347" s="12">
        <f t="shared" ca="1" si="58"/>
        <v>3.9398562615638273</v>
      </c>
      <c r="T347" s="83">
        <f t="shared" ca="1" si="59"/>
        <v>3.9398562615638273</v>
      </c>
      <c r="W347" s="1"/>
      <c r="Z347" s="6"/>
    </row>
    <row r="348" spans="1:26" x14ac:dyDescent="0.3">
      <c r="A348" s="11">
        <v>42887</v>
      </c>
      <c r="B348" s="94">
        <v>31441.41</v>
      </c>
      <c r="C348" s="97">
        <v>28230.16</v>
      </c>
      <c r="D348" s="109">
        <v>3211.25</v>
      </c>
      <c r="E348" s="109">
        <v>810.81</v>
      </c>
      <c r="F348" s="16">
        <f t="shared" ca="1" si="50"/>
        <v>489.46377139561901</v>
      </c>
      <c r="G348" s="12">
        <f t="shared" si="51"/>
        <v>15.664833333333332</v>
      </c>
      <c r="H348" s="12">
        <f t="shared" si="52"/>
        <v>464.73466666666667</v>
      </c>
      <c r="I348" s="17" cm="1">
        <f t="array" ref="I348">IF(MONTH(A348) = LOOKUP(YEAR(A348), YEAR('CNY Dates'!A$2:A$34), 'CNY Dates'!B$2:B$34), LOOKUP(YEAR(A348), YEAR('Hongbao demand'!B$4:B$35), 'Hongbao demand'!F$4:F$35)  - O347, 0)</f>
        <v>0</v>
      </c>
      <c r="J348" s="18">
        <f t="shared" si="53"/>
        <v>9.0642713956190022</v>
      </c>
      <c r="K348" s="19">
        <v>37713.966666666704</v>
      </c>
      <c r="L348" s="12">
        <v>0.98956</v>
      </c>
      <c r="M348" s="14">
        <v>1.1666666666666668E-4</v>
      </c>
      <c r="N348" s="19">
        <f t="shared" ca="1" si="54"/>
        <v>321.34622860438094</v>
      </c>
      <c r="O348" s="12">
        <f t="shared" ca="1" si="56"/>
        <v>39.070241260507949</v>
      </c>
      <c r="P348" s="18">
        <f t="shared" ca="1" si="55"/>
        <v>709.58022860438086</v>
      </c>
      <c r="Q348" s="19">
        <f t="shared" ca="1" si="57"/>
        <v>106.43703429065712</v>
      </c>
      <c r="R348" s="12">
        <f t="shared" ca="1" si="57"/>
        <v>141.91604572087618</v>
      </c>
      <c r="S348" s="12">
        <f t="shared" ca="1" si="58"/>
        <v>3.907024126050795</v>
      </c>
      <c r="T348" s="83">
        <f t="shared" ca="1" si="59"/>
        <v>252.26010413758411</v>
      </c>
      <c r="W348" s="1"/>
      <c r="Z348" s="6"/>
    </row>
    <row r="349" spans="1:26" x14ac:dyDescent="0.3">
      <c r="A349" s="11">
        <v>42917</v>
      </c>
      <c r="B349" s="94">
        <v>31439.45</v>
      </c>
      <c r="C349" s="97">
        <v>28561.96</v>
      </c>
      <c r="D349" s="109">
        <v>2877.49</v>
      </c>
      <c r="E349" s="109">
        <v>802.3</v>
      </c>
      <c r="F349" s="16">
        <f t="shared" ca="1" si="50"/>
        <v>676.46731454715609</v>
      </c>
      <c r="G349" s="12">
        <f t="shared" si="51"/>
        <v>26.760416666666668</v>
      </c>
      <c r="H349" s="12">
        <f t="shared" si="52"/>
        <v>470.50266666666664</v>
      </c>
      <c r="I349" s="17" cm="1">
        <f t="array" ref="I349">IF(MONTH(A349) = LOOKUP(YEAR(A349), YEAR('CNY Dates'!A$2:A$34), 'CNY Dates'!B$2:B$34), LOOKUP(YEAR(A349), YEAR('Hongbao demand'!B$4:B$35), 'Hongbao demand'!F$4:F$35)  - O348, 0)</f>
        <v>0</v>
      </c>
      <c r="J349" s="18">
        <f t="shared" si="53"/>
        <v>179.20423121382282</v>
      </c>
      <c r="K349" s="19">
        <v>38702.699999999997</v>
      </c>
      <c r="L349" s="12">
        <v>0.98726000000000003</v>
      </c>
      <c r="M349" s="14">
        <v>1.1666666666666668E-4</v>
      </c>
      <c r="N349" s="19">
        <f t="shared" ca="1" si="54"/>
        <v>125.83268545284386</v>
      </c>
      <c r="O349" s="12">
        <f t="shared" ca="1" si="56"/>
        <v>38.744655916670382</v>
      </c>
      <c r="P349" s="18">
        <f t="shared" ca="1" si="55"/>
        <v>147.12668545284396</v>
      </c>
      <c r="Q349" s="19">
        <f t="shared" ca="1" si="57"/>
        <v>22.069002817926592</v>
      </c>
      <c r="R349" s="12">
        <f t="shared" ca="1" si="57"/>
        <v>29.425337090568792</v>
      </c>
      <c r="S349" s="12">
        <f t="shared" ca="1" si="58"/>
        <v>3.8744655916670383</v>
      </c>
      <c r="T349" s="83">
        <f t="shared" ca="1" si="59"/>
        <v>55.368805500162424</v>
      </c>
      <c r="W349" s="1"/>
      <c r="Z349" s="6"/>
    </row>
    <row r="350" spans="1:26" x14ac:dyDescent="0.3">
      <c r="A350" s="11">
        <v>42948</v>
      </c>
      <c r="B350" s="94">
        <v>31436.09</v>
      </c>
      <c r="C350" s="97">
        <v>28772.94</v>
      </c>
      <c r="D350" s="109">
        <v>2663.15</v>
      </c>
      <c r="E350" s="109">
        <v>687.01</v>
      </c>
      <c r="F350" s="16">
        <f t="shared" ca="1" si="50"/>
        <v>478.60688107012993</v>
      </c>
      <c r="G350" s="12">
        <f t="shared" si="51"/>
        <v>23.979083333333332</v>
      </c>
      <c r="H350" s="12">
        <f t="shared" si="52"/>
        <v>476.03266666666667</v>
      </c>
      <c r="I350" s="17" cm="1">
        <f t="array" ref="I350">IF(MONTH(A350) = LOOKUP(YEAR(A350), YEAR('CNY Dates'!A$2:A$34), 'CNY Dates'!B$2:B$34), LOOKUP(YEAR(A350), YEAR('Hongbao demand'!B$4:B$35), 'Hongbao demand'!F$4:F$35)  - O349, 0)</f>
        <v>0</v>
      </c>
      <c r="J350" s="18">
        <f t="shared" si="53"/>
        <v>-21.404868929870052</v>
      </c>
      <c r="K350" s="19">
        <v>38702.699999999997</v>
      </c>
      <c r="L350" s="12">
        <v>0.99056</v>
      </c>
      <c r="M350" s="14">
        <v>1.1666666666666668E-4</v>
      </c>
      <c r="N350" s="19">
        <f t="shared" ca="1" si="54"/>
        <v>208.40311892987006</v>
      </c>
      <c r="O350" s="12">
        <f t="shared" ca="1" si="56"/>
        <v>38.421783784031462</v>
      </c>
      <c r="P350" s="18">
        <f t="shared" ca="1" si="55"/>
        <v>0</v>
      </c>
      <c r="Q350" s="19">
        <f t="shared" ca="1" si="57"/>
        <v>0</v>
      </c>
      <c r="R350" s="12">
        <f t="shared" ca="1" si="57"/>
        <v>0</v>
      </c>
      <c r="S350" s="12">
        <f t="shared" ca="1" si="58"/>
        <v>3.8421783784031462</v>
      </c>
      <c r="T350" s="83">
        <f t="shared" ca="1" si="59"/>
        <v>3.8421783784031462</v>
      </c>
      <c r="W350" s="1"/>
      <c r="Z350" s="6"/>
    </row>
    <row r="351" spans="1:26" x14ac:dyDescent="0.3">
      <c r="A351" s="11">
        <v>42979</v>
      </c>
      <c r="B351" s="94">
        <v>31433.15</v>
      </c>
      <c r="C351" s="97">
        <v>29033.06</v>
      </c>
      <c r="D351" s="109">
        <v>2400.09</v>
      </c>
      <c r="E351" s="109">
        <v>739.67</v>
      </c>
      <c r="F351" s="16">
        <f t="shared" ca="1" si="50"/>
        <v>503.03587389613114</v>
      </c>
      <c r="G351" s="12">
        <f t="shared" si="51"/>
        <v>22.192916666666669</v>
      </c>
      <c r="H351" s="12">
        <f t="shared" si="52"/>
        <v>479.54899999999998</v>
      </c>
      <c r="I351" s="17" cm="1">
        <f t="array" ref="I351">IF(MONTH(A351) = LOOKUP(YEAR(A351), YEAR('CNY Dates'!A$2:A$34), 'CNY Dates'!B$2:B$34), LOOKUP(YEAR(A351), YEAR('Hongbao demand'!B$4:B$35), 'Hongbao demand'!F$4:F$35)  - O350, 0)</f>
        <v>0</v>
      </c>
      <c r="J351" s="18">
        <f t="shared" si="53"/>
        <v>1.2939572294644655</v>
      </c>
      <c r="K351" s="19">
        <v>38702.699999999997</v>
      </c>
      <c r="L351" s="12">
        <v>0.99036000000000002</v>
      </c>
      <c r="M351" s="14">
        <v>1.1666666666666668E-4</v>
      </c>
      <c r="N351" s="19">
        <f t="shared" ca="1" si="54"/>
        <v>236.63412610386882</v>
      </c>
      <c r="O351" s="12">
        <f t="shared" ca="1" si="56"/>
        <v>38.101602252497862</v>
      </c>
      <c r="P351" s="18">
        <f t="shared" ca="1" si="55"/>
        <v>0</v>
      </c>
      <c r="Q351" s="19">
        <f t="shared" ca="1" si="57"/>
        <v>0</v>
      </c>
      <c r="R351" s="12">
        <f t="shared" ca="1" si="57"/>
        <v>0</v>
      </c>
      <c r="S351" s="12">
        <f t="shared" ca="1" si="58"/>
        <v>3.8101602252497866</v>
      </c>
      <c r="T351" s="83">
        <f t="shared" ca="1" si="59"/>
        <v>3.8101602252497866</v>
      </c>
      <c r="W351" s="1"/>
      <c r="Z351" s="6"/>
    </row>
    <row r="352" spans="1:26" x14ac:dyDescent="0.3">
      <c r="A352" s="11">
        <v>43009</v>
      </c>
      <c r="B352" s="94">
        <v>30250.5</v>
      </c>
      <c r="C352" s="97">
        <v>29303.89</v>
      </c>
      <c r="D352" s="109">
        <v>946.61</v>
      </c>
      <c r="E352" s="109">
        <v>754.71</v>
      </c>
      <c r="F352" s="16">
        <f t="shared" ca="1" si="50"/>
        <v>668.73844100755696</v>
      </c>
      <c r="G352" s="12">
        <f t="shared" si="51"/>
        <v>20.00075</v>
      </c>
      <c r="H352" s="12">
        <f t="shared" si="52"/>
        <v>483.88433333333336</v>
      </c>
      <c r="I352" s="17" cm="1">
        <f t="array" ref="I352">IF(MONTH(A352) = LOOKUP(YEAR(A352), YEAR('CNY Dates'!A$2:A$34), 'CNY Dates'!B$2:B$34), LOOKUP(YEAR(A352), YEAR('Hongbao demand'!B$4:B$35), 'Hongbao demand'!F$4:F$35)  - O351, 0)</f>
        <v>0</v>
      </c>
      <c r="J352" s="18">
        <f t="shared" si="53"/>
        <v>164.85335767422359</v>
      </c>
      <c r="K352" s="19">
        <v>39592.966666666704</v>
      </c>
      <c r="L352" s="12">
        <v>0.98750000000000004</v>
      </c>
      <c r="M352" s="14">
        <v>1.1666666666666668E-4</v>
      </c>
      <c r="N352" s="19">
        <f t="shared" ca="1" si="54"/>
        <v>85.971558992443079</v>
      </c>
      <c r="O352" s="12">
        <f t="shared" ca="1" si="56"/>
        <v>37.784088900393712</v>
      </c>
      <c r="P352" s="18">
        <f t="shared" ca="1" si="55"/>
        <v>0</v>
      </c>
      <c r="Q352" s="19">
        <f t="shared" ca="1" si="57"/>
        <v>0</v>
      </c>
      <c r="R352" s="12">
        <f t="shared" ca="1" si="57"/>
        <v>0</v>
      </c>
      <c r="S352" s="12">
        <f t="shared" ca="1" si="58"/>
        <v>3.7784088900393713</v>
      </c>
      <c r="T352" s="83">
        <f t="shared" ca="1" si="59"/>
        <v>3.7784088900393713</v>
      </c>
      <c r="W352" s="1"/>
      <c r="Z352" s="6"/>
    </row>
    <row r="353" spans="1:26" x14ac:dyDescent="0.3">
      <c r="A353" s="11">
        <v>43040</v>
      </c>
      <c r="B353" s="94">
        <v>30454.9</v>
      </c>
      <c r="C353" s="97">
        <v>29515.64</v>
      </c>
      <c r="D353" s="109">
        <v>939.26</v>
      </c>
      <c r="E353" s="109">
        <v>700.15</v>
      </c>
      <c r="F353" s="16">
        <f t="shared" ca="1" si="50"/>
        <v>458.74221986002004</v>
      </c>
      <c r="G353" s="12">
        <f t="shared" si="51"/>
        <v>7.8884166666666671</v>
      </c>
      <c r="H353" s="12">
        <f t="shared" si="52"/>
        <v>488.39816666666667</v>
      </c>
      <c r="I353" s="17" cm="1">
        <f t="array" ref="I353">IF(MONTH(A353) = LOOKUP(YEAR(A353), YEAR('CNY Dates'!A$2:A$34), 'CNY Dates'!B$2:B$34), LOOKUP(YEAR(A353), YEAR('Hongbao demand'!B$4:B$35), 'Hongbao demand'!F$4:F$35)  - O352, 0)</f>
        <v>0</v>
      </c>
      <c r="J353" s="18">
        <f t="shared" si="53"/>
        <v>-37.544363473313275</v>
      </c>
      <c r="K353" s="19">
        <v>39592.966666666704</v>
      </c>
      <c r="L353" s="12">
        <v>0.99321999999999999</v>
      </c>
      <c r="M353" s="14">
        <v>1.1666666666666668E-4</v>
      </c>
      <c r="N353" s="19">
        <f t="shared" ca="1" si="54"/>
        <v>241.40778013997993</v>
      </c>
      <c r="O353" s="12">
        <f t="shared" ca="1" si="56"/>
        <v>37.469221492890433</v>
      </c>
      <c r="P353" s="18">
        <f t="shared" ca="1" si="55"/>
        <v>0</v>
      </c>
      <c r="Q353" s="19">
        <f t="shared" ca="1" si="57"/>
        <v>0</v>
      </c>
      <c r="R353" s="12">
        <f t="shared" ca="1" si="57"/>
        <v>0</v>
      </c>
      <c r="S353" s="12">
        <f t="shared" ca="1" si="58"/>
        <v>3.7469221492890434</v>
      </c>
      <c r="T353" s="83">
        <f t="shared" ca="1" si="59"/>
        <v>3.7469221492890434</v>
      </c>
      <c r="W353" s="1"/>
      <c r="Z353" s="6"/>
    </row>
    <row r="354" spans="1:26" x14ac:dyDescent="0.3">
      <c r="A354" s="11">
        <v>43070</v>
      </c>
      <c r="B354" s="94">
        <v>31139.01</v>
      </c>
      <c r="C354" s="97">
        <v>29721.93</v>
      </c>
      <c r="D354" s="109">
        <v>1417.08</v>
      </c>
      <c r="E354" s="109">
        <v>698.22</v>
      </c>
      <c r="F354" s="16">
        <f t="shared" ca="1" si="50"/>
        <v>66.108984557128224</v>
      </c>
      <c r="G354" s="12">
        <f t="shared" si="51"/>
        <v>7.8271666666666668</v>
      </c>
      <c r="H354" s="12">
        <f t="shared" si="52"/>
        <v>491.92733333333331</v>
      </c>
      <c r="I354" s="17" cm="1">
        <f t="array" ref="I354">IF(MONTH(A354) = LOOKUP(YEAR(A354), YEAR('CNY Dates'!A$2:A$34), 'CNY Dates'!B$2:B$34), LOOKUP(YEAR(A354), YEAR('Hongbao demand'!B$4:B$35), 'Hongbao demand'!F$4:F$35)  - O353, 0)</f>
        <v>0</v>
      </c>
      <c r="J354" s="18">
        <f t="shared" si="53"/>
        <v>-433.64551544287173</v>
      </c>
      <c r="K354" s="19">
        <v>39592.966666666704</v>
      </c>
      <c r="L354" s="12">
        <v>0.99224999999999997</v>
      </c>
      <c r="M354" s="14">
        <v>1.25E-4</v>
      </c>
      <c r="N354" s="19">
        <f t="shared" ca="1" si="54"/>
        <v>632.1110154428718</v>
      </c>
      <c r="O354" s="12">
        <f t="shared" ca="1" si="56"/>
        <v>37.156977980449682</v>
      </c>
      <c r="P354" s="18">
        <f t="shared" ca="1" si="55"/>
        <v>0</v>
      </c>
      <c r="Q354" s="19">
        <f t="shared" ca="1" si="57"/>
        <v>0</v>
      </c>
      <c r="R354" s="12">
        <f t="shared" ca="1" si="57"/>
        <v>0</v>
      </c>
      <c r="S354" s="12">
        <f t="shared" ca="1" si="58"/>
        <v>3.7156977980449684</v>
      </c>
      <c r="T354" s="83">
        <f t="shared" ca="1" si="59"/>
        <v>3.7156977980449684</v>
      </c>
      <c r="W354" s="1"/>
      <c r="Z354" s="6"/>
    </row>
    <row r="355" spans="1:26" x14ac:dyDescent="0.3">
      <c r="A355" s="11">
        <v>43101</v>
      </c>
      <c r="B355" s="94">
        <v>31793.72</v>
      </c>
      <c r="C355" s="97">
        <v>30010.61</v>
      </c>
      <c r="D355" s="109">
        <v>1783.11</v>
      </c>
      <c r="E355" s="109">
        <v>784.05</v>
      </c>
      <c r="F355" s="16">
        <f t="shared" ca="1" si="50"/>
        <v>395.53626139279186</v>
      </c>
      <c r="G355" s="12">
        <f t="shared" si="51"/>
        <v>11.808999999999999</v>
      </c>
      <c r="H355" s="12">
        <f t="shared" si="52"/>
        <v>495.3655</v>
      </c>
      <c r="I355" s="17" cm="1">
        <f t="array" ref="I355">IF(MONTH(A355) = LOOKUP(YEAR(A355), YEAR('CNY Dates'!A$2:A$34), 'CNY Dates'!B$2:B$34), LOOKUP(YEAR(A355), YEAR('Hongbao demand'!B$4:B$35), 'Hongbao demand'!F$4:F$35)  - O354, 0)</f>
        <v>0</v>
      </c>
      <c r="J355" s="18">
        <f t="shared" si="53"/>
        <v>-111.63823860720817</v>
      </c>
      <c r="K355" s="19">
        <v>38815.1</v>
      </c>
      <c r="L355" s="12">
        <v>0.99034999999999995</v>
      </c>
      <c r="M355" s="14">
        <v>1.25E-4</v>
      </c>
      <c r="N355" s="19">
        <f t="shared" ca="1" si="54"/>
        <v>388.5137386072081</v>
      </c>
      <c r="O355" s="12">
        <f t="shared" ca="1" si="56"/>
        <v>36.847336497279265</v>
      </c>
      <c r="P355" s="18">
        <f t="shared" ca="1" si="55"/>
        <v>0</v>
      </c>
      <c r="Q355" s="19">
        <f t="shared" ca="1" si="57"/>
        <v>0</v>
      </c>
      <c r="R355" s="12">
        <f t="shared" ca="1" si="57"/>
        <v>0</v>
      </c>
      <c r="S355" s="12">
        <f t="shared" ca="1" si="58"/>
        <v>3.6847336497279266</v>
      </c>
      <c r="T355" s="83">
        <f t="shared" ca="1" si="59"/>
        <v>3.6847336497279266</v>
      </c>
      <c r="W355" s="1"/>
      <c r="Z355" s="6"/>
    </row>
    <row r="356" spans="1:26" x14ac:dyDescent="0.3">
      <c r="A356" s="11">
        <v>43132</v>
      </c>
      <c r="B356" s="94">
        <v>32209.24</v>
      </c>
      <c r="C356" s="97">
        <v>29509.55</v>
      </c>
      <c r="D356" s="109">
        <v>2699.69</v>
      </c>
      <c r="E356" s="109">
        <v>0</v>
      </c>
      <c r="F356" s="16">
        <f t="shared" ca="1" si="50"/>
        <v>460.64319578186115</v>
      </c>
      <c r="G356" s="12">
        <f t="shared" si="51"/>
        <v>14.859249999999999</v>
      </c>
      <c r="H356" s="12">
        <f t="shared" si="52"/>
        <v>500.17683333333332</v>
      </c>
      <c r="I356" s="17" cm="1">
        <f t="array" aca="1" ref="I356" ca="1">IF(MONTH(A356) = LOOKUP(YEAR(A356), YEAR('CNY Dates'!A$2:A$34), 'CNY Dates'!B$2:B$34), LOOKUP(YEAR(A356), YEAR('Hongbao demand'!B$4:B$35), 'Hongbao demand'!F$4:F$35)  - O355, 0)</f>
        <v>-25.184922234730998</v>
      </c>
      <c r="J356" s="18">
        <f t="shared" si="53"/>
        <v>-29.207965316741145</v>
      </c>
      <c r="K356" s="19">
        <v>38815.1</v>
      </c>
      <c r="L356" s="12">
        <v>0.99501000000000006</v>
      </c>
      <c r="M356" s="14">
        <v>1.25E-4</v>
      </c>
      <c r="N356" s="19">
        <f t="shared" ca="1" si="54"/>
        <v>-460.64319578186115</v>
      </c>
      <c r="O356" s="12">
        <f t="shared" ca="1" si="56"/>
        <v>0</v>
      </c>
      <c r="P356" s="18">
        <f t="shared" ca="1" si="55"/>
        <v>0</v>
      </c>
      <c r="Q356" s="19">
        <f t="shared" ca="1" si="57"/>
        <v>0</v>
      </c>
      <c r="R356" s="12">
        <f t="shared" ca="1" si="57"/>
        <v>0</v>
      </c>
      <c r="S356" s="12">
        <f t="shared" ca="1" si="58"/>
        <v>0</v>
      </c>
      <c r="T356" s="83">
        <f t="shared" ca="1" si="59"/>
        <v>0</v>
      </c>
      <c r="W356" s="1"/>
      <c r="Z356" s="6"/>
    </row>
    <row r="357" spans="1:26" x14ac:dyDescent="0.3">
      <c r="A357" s="11">
        <v>43160</v>
      </c>
      <c r="B357" s="94">
        <v>31908.66</v>
      </c>
      <c r="C357" s="97">
        <v>30282.21</v>
      </c>
      <c r="D357" s="109">
        <v>1626.45</v>
      </c>
      <c r="E357" s="109">
        <v>1264.49</v>
      </c>
      <c r="F357" s="16">
        <f t="shared" ca="1" si="50"/>
        <v>526.93331434666914</v>
      </c>
      <c r="G357" s="12">
        <f t="shared" si="51"/>
        <v>22.497416666666666</v>
      </c>
      <c r="H357" s="12">
        <f t="shared" si="52"/>
        <v>491.82583333333332</v>
      </c>
      <c r="I357" s="17" cm="1">
        <f t="array" ref="I357">IF(MONTH(A357) = LOOKUP(YEAR(A357), YEAR('CNY Dates'!A$2:A$34), 'CNY Dates'!B$2:B$34), LOOKUP(YEAR(A357), YEAR('Hongbao demand'!B$4:B$35), 'Hongbao demand'!F$4:F$35)  - O356, 0)</f>
        <v>0</v>
      </c>
      <c r="J357" s="18">
        <f t="shared" si="53"/>
        <v>12.610064346669132</v>
      </c>
      <c r="K357" s="19">
        <v>38815.1</v>
      </c>
      <c r="L357" s="12">
        <v>0.99299000000000004</v>
      </c>
      <c r="M357" s="14">
        <v>1.25E-4</v>
      </c>
      <c r="N357" s="19">
        <f t="shared" ca="1" si="54"/>
        <v>737.55668565333087</v>
      </c>
      <c r="O357" s="12">
        <f t="shared" ca="1" si="56"/>
        <v>0</v>
      </c>
      <c r="P357" s="18">
        <f t="shared" ca="1" si="55"/>
        <v>0</v>
      </c>
      <c r="Q357" s="19">
        <f t="shared" ca="1" si="57"/>
        <v>0</v>
      </c>
      <c r="R357" s="12">
        <f t="shared" ca="1" si="57"/>
        <v>0</v>
      </c>
      <c r="S357" s="12">
        <f t="shared" ca="1" si="58"/>
        <v>0</v>
      </c>
      <c r="T357" s="83">
        <f t="shared" ca="1" si="59"/>
        <v>0</v>
      </c>
      <c r="W357" s="1"/>
      <c r="Z357" s="6"/>
    </row>
    <row r="358" spans="1:26" x14ac:dyDescent="0.3">
      <c r="A358" s="11">
        <v>43191</v>
      </c>
      <c r="B358" s="94">
        <v>31894.38</v>
      </c>
      <c r="C358" s="97">
        <v>30636.62</v>
      </c>
      <c r="D358" s="109">
        <v>1257.76</v>
      </c>
      <c r="E358" s="109">
        <v>859.11</v>
      </c>
      <c r="F358" s="16">
        <f t="shared" ca="1" si="50"/>
        <v>679.16869019654416</v>
      </c>
      <c r="G358" s="12">
        <f t="shared" si="51"/>
        <v>13.553750000000001</v>
      </c>
      <c r="H358" s="12">
        <f t="shared" si="52"/>
        <v>504.70349999999996</v>
      </c>
      <c r="I358" s="17" cm="1">
        <f t="array" ref="I358">IF(MONTH(A358) = LOOKUP(YEAR(A358), YEAR('CNY Dates'!A$2:A$34), 'CNY Dates'!B$2:B$34), LOOKUP(YEAR(A358), YEAR('Hongbao demand'!B$4:B$35), 'Hongbao demand'!F$4:F$35)  - O357, 0)</f>
        <v>0</v>
      </c>
      <c r="J358" s="18">
        <f t="shared" si="53"/>
        <v>160.91144019654416</v>
      </c>
      <c r="K358" s="19">
        <v>39645.533333333296</v>
      </c>
      <c r="L358" s="12">
        <v>0.98832999999999993</v>
      </c>
      <c r="M358" s="14">
        <v>1.25E-4</v>
      </c>
      <c r="N358" s="19">
        <f t="shared" ca="1" si="54"/>
        <v>179.94130980345585</v>
      </c>
      <c r="O358" s="12">
        <f t="shared" ca="1" si="56"/>
        <v>0</v>
      </c>
      <c r="P358" s="18">
        <f t="shared" ca="1" si="55"/>
        <v>0</v>
      </c>
      <c r="Q358" s="19">
        <f t="shared" ca="1" si="57"/>
        <v>0</v>
      </c>
      <c r="R358" s="12">
        <f t="shared" ca="1" si="57"/>
        <v>0</v>
      </c>
      <c r="S358" s="12">
        <f t="shared" ca="1" si="58"/>
        <v>0</v>
      </c>
      <c r="T358" s="83">
        <f t="shared" ca="1" si="59"/>
        <v>0</v>
      </c>
      <c r="W358" s="1"/>
      <c r="Z358" s="6"/>
    </row>
    <row r="359" spans="1:26" x14ac:dyDescent="0.3">
      <c r="A359" s="11">
        <v>43221</v>
      </c>
      <c r="B359" s="94">
        <v>32025.91</v>
      </c>
      <c r="C359" s="97">
        <v>30928.94</v>
      </c>
      <c r="D359" s="109">
        <v>1096.97</v>
      </c>
      <c r="E359" s="109">
        <v>802.93</v>
      </c>
      <c r="F359" s="16">
        <f t="shared" ca="1" si="50"/>
        <v>482.01649074509419</v>
      </c>
      <c r="G359" s="12">
        <f t="shared" si="51"/>
        <v>10.481333333333334</v>
      </c>
      <c r="H359" s="12">
        <f t="shared" si="52"/>
        <v>510.6103333333333</v>
      </c>
      <c r="I359" s="17" cm="1">
        <f t="array" ref="I359">IF(MONTH(A359) = LOOKUP(YEAR(A359), YEAR('CNY Dates'!A$2:A$34), 'CNY Dates'!B$2:B$34), LOOKUP(YEAR(A359), YEAR('Hongbao demand'!B$4:B$35), 'Hongbao demand'!F$4:F$35)  - O358, 0)</f>
        <v>0</v>
      </c>
      <c r="J359" s="18">
        <f t="shared" si="53"/>
        <v>-39.075175921572416</v>
      </c>
      <c r="K359" s="19">
        <v>39645.533333333296</v>
      </c>
      <c r="L359" s="12">
        <v>0.99448999999999999</v>
      </c>
      <c r="M359" s="14">
        <v>1.25E-4</v>
      </c>
      <c r="N359" s="19">
        <f t="shared" ca="1" si="54"/>
        <v>320.91350925490576</v>
      </c>
      <c r="O359" s="12">
        <f t="shared" ca="1" si="56"/>
        <v>0</v>
      </c>
      <c r="P359" s="18">
        <f t="shared" ca="1" si="55"/>
        <v>0</v>
      </c>
      <c r="Q359" s="19">
        <f t="shared" ca="1" si="57"/>
        <v>0</v>
      </c>
      <c r="R359" s="12">
        <f t="shared" ca="1" si="57"/>
        <v>0</v>
      </c>
      <c r="S359" s="12">
        <f t="shared" ca="1" si="58"/>
        <v>0</v>
      </c>
      <c r="T359" s="83">
        <f t="shared" ca="1" si="59"/>
        <v>0</v>
      </c>
      <c r="W359" s="1"/>
      <c r="Z359" s="6"/>
    </row>
    <row r="360" spans="1:26" x14ac:dyDescent="0.3">
      <c r="A360" s="11">
        <v>43252</v>
      </c>
      <c r="B360" s="94">
        <v>32036.34</v>
      </c>
      <c r="C360" s="97">
        <v>31069.01</v>
      </c>
      <c r="D360" s="109">
        <v>967.33</v>
      </c>
      <c r="E360" s="109">
        <v>655.55</v>
      </c>
      <c r="F360" s="16">
        <f t="shared" ca="1" si="50"/>
        <v>122.20013185917799</v>
      </c>
      <c r="G360" s="12">
        <f t="shared" si="51"/>
        <v>9.1414166666666663</v>
      </c>
      <c r="H360" s="12">
        <f t="shared" si="52"/>
        <v>515.48233333333326</v>
      </c>
      <c r="I360" s="17" cm="1">
        <f t="array" ref="I360">IF(MONTH(A360) = LOOKUP(YEAR(A360), YEAR('CNY Dates'!A$2:A$34), 'CNY Dates'!B$2:B$34), LOOKUP(YEAR(A360), YEAR('Hongbao demand'!B$4:B$35), 'Hongbao demand'!F$4:F$35)  - O359, 0)</f>
        <v>0</v>
      </c>
      <c r="J360" s="18">
        <f t="shared" si="53"/>
        <v>-402.42361814082199</v>
      </c>
      <c r="K360" s="19">
        <v>39645.533333333296</v>
      </c>
      <c r="L360" s="12">
        <v>0.99504999999999999</v>
      </c>
      <c r="M360" s="14">
        <v>1.3333333333333334E-4</v>
      </c>
      <c r="N360" s="19">
        <f t="shared" ca="1" si="54"/>
        <v>533.34986814082197</v>
      </c>
      <c r="O360" s="12">
        <f t="shared" ca="1" si="56"/>
        <v>0</v>
      </c>
      <c r="P360" s="18">
        <f t="shared" ca="1" si="55"/>
        <v>0</v>
      </c>
      <c r="Q360" s="19">
        <f t="shared" ca="1" si="57"/>
        <v>0</v>
      </c>
      <c r="R360" s="12">
        <f t="shared" ca="1" si="57"/>
        <v>0</v>
      </c>
      <c r="S360" s="12">
        <f t="shared" ca="1" si="58"/>
        <v>0</v>
      </c>
      <c r="T360" s="83">
        <f t="shared" ca="1" si="59"/>
        <v>0</v>
      </c>
      <c r="W360" s="1"/>
      <c r="Z360" s="6"/>
    </row>
    <row r="361" spans="1:26" x14ac:dyDescent="0.3">
      <c r="A361" s="11">
        <v>43282</v>
      </c>
      <c r="B361" s="94">
        <v>32156.11</v>
      </c>
      <c r="C361" s="97">
        <v>31205.37</v>
      </c>
      <c r="D361" s="109">
        <v>950.74</v>
      </c>
      <c r="E361" s="109">
        <v>654.17999999999995</v>
      </c>
      <c r="F361" s="16">
        <f t="shared" ca="1" si="50"/>
        <v>582.19214804089154</v>
      </c>
      <c r="G361" s="12">
        <f t="shared" si="51"/>
        <v>8.0610833333333343</v>
      </c>
      <c r="H361" s="12">
        <f t="shared" si="52"/>
        <v>517.81683333333331</v>
      </c>
      <c r="I361" s="17" cm="1">
        <f t="array" ref="I361">IF(MONTH(A361) = LOOKUP(YEAR(A361), YEAR('CNY Dates'!A$2:A$34), 'CNY Dates'!B$2:B$34), LOOKUP(YEAR(A361), YEAR('Hongbao demand'!B$4:B$35), 'Hongbao demand'!F$4:F$35)  - O360, 0)</f>
        <v>0</v>
      </c>
      <c r="J361" s="18">
        <f t="shared" si="53"/>
        <v>56.314231374224818</v>
      </c>
      <c r="K361" s="19">
        <v>39955.333333333299</v>
      </c>
      <c r="L361" s="12">
        <v>0.99358999999999997</v>
      </c>
      <c r="M361" s="14">
        <v>1.3333333333333334E-4</v>
      </c>
      <c r="N361" s="19">
        <f t="shared" ca="1" si="54"/>
        <v>71.987851959108411</v>
      </c>
      <c r="O361" s="12">
        <f t="shared" ca="1" si="56"/>
        <v>0</v>
      </c>
      <c r="P361" s="18">
        <f t="shared" ca="1" si="55"/>
        <v>0</v>
      </c>
      <c r="Q361" s="19">
        <f t="shared" ref="Q361:R392" ca="1" si="60">MAX(0,$P361)*Q$5</f>
        <v>0</v>
      </c>
      <c r="R361" s="12">
        <f t="shared" ca="1" si="60"/>
        <v>0</v>
      </c>
      <c r="S361" s="12">
        <f t="shared" ca="1" si="58"/>
        <v>0</v>
      </c>
      <c r="T361" s="83">
        <f t="shared" ca="1" si="59"/>
        <v>0</v>
      </c>
      <c r="W361" s="1"/>
      <c r="Z361" s="6"/>
    </row>
    <row r="362" spans="1:26" x14ac:dyDescent="0.3">
      <c r="A362" s="11">
        <v>43313</v>
      </c>
      <c r="B362" s="94">
        <v>32207.49</v>
      </c>
      <c r="C362" s="97">
        <v>31220.14</v>
      </c>
      <c r="D362" s="109">
        <v>987.35</v>
      </c>
      <c r="E362" s="109">
        <v>534.86</v>
      </c>
      <c r="F362" s="16">
        <f t="shared" ca="1" si="50"/>
        <v>502.25860621844134</v>
      </c>
      <c r="G362" s="12">
        <f t="shared" si="51"/>
        <v>7.9228333333333332</v>
      </c>
      <c r="H362" s="12">
        <f t="shared" si="52"/>
        <v>520.08949999999993</v>
      </c>
      <c r="I362" s="17" cm="1">
        <f t="array" ref="I362">IF(MONTH(A362) = LOOKUP(YEAR(A362), YEAR('CNY Dates'!A$2:A$34), 'CNY Dates'!B$2:B$34), LOOKUP(YEAR(A362), YEAR('Hongbao demand'!B$4:B$35), 'Hongbao demand'!F$4:F$35)  - O361, 0)</f>
        <v>0</v>
      </c>
      <c r="J362" s="18">
        <f t="shared" si="53"/>
        <v>-25.753727114891866</v>
      </c>
      <c r="K362" s="19">
        <v>39955.333333333299</v>
      </c>
      <c r="L362" s="12">
        <v>0.99778000000000011</v>
      </c>
      <c r="M362" s="14">
        <v>1.3333333333333334E-4</v>
      </c>
      <c r="N362" s="19">
        <f t="shared" ca="1" si="54"/>
        <v>32.60139378155867</v>
      </c>
      <c r="O362" s="12">
        <f t="shared" ca="1" si="56"/>
        <v>0</v>
      </c>
      <c r="P362" s="18">
        <f t="shared" ca="1" si="55"/>
        <v>0</v>
      </c>
      <c r="Q362" s="19">
        <f t="shared" ca="1" si="60"/>
        <v>0</v>
      </c>
      <c r="R362" s="12">
        <f t="shared" ca="1" si="60"/>
        <v>0</v>
      </c>
      <c r="S362" s="12">
        <f t="shared" ca="1" si="58"/>
        <v>0</v>
      </c>
      <c r="T362" s="83">
        <f t="shared" ca="1" si="59"/>
        <v>0</v>
      </c>
      <c r="W362" s="1"/>
      <c r="Z362" s="6"/>
    </row>
    <row r="363" spans="1:26" x14ac:dyDescent="0.3">
      <c r="A363" s="11">
        <v>43344</v>
      </c>
      <c r="B363" s="94">
        <v>32278.82</v>
      </c>
      <c r="C363" s="97">
        <v>31405.08</v>
      </c>
      <c r="D363" s="109">
        <v>873.74</v>
      </c>
      <c r="E363" s="109">
        <v>705.28</v>
      </c>
      <c r="F363" s="16">
        <f t="shared" ca="1" si="50"/>
        <v>530.09526467035016</v>
      </c>
      <c r="G363" s="12">
        <f t="shared" si="51"/>
        <v>8.2279166666666672</v>
      </c>
      <c r="H363" s="12">
        <f t="shared" si="52"/>
        <v>520.33566666666661</v>
      </c>
      <c r="I363" s="17" cm="1">
        <f t="array" ref="I363">IF(MONTH(A363) = LOOKUP(YEAR(A363), YEAR('CNY Dates'!A$2:A$34), 'CNY Dates'!B$2:B$34), LOOKUP(YEAR(A363), YEAR('Hongbao demand'!B$4:B$35), 'Hongbao demand'!F$4:F$35)  - O362, 0)</f>
        <v>0</v>
      </c>
      <c r="J363" s="18">
        <f t="shared" si="53"/>
        <v>1.5316813370168747</v>
      </c>
      <c r="K363" s="19">
        <v>39955.333333333299</v>
      </c>
      <c r="L363" s="12">
        <v>0.99753000000000003</v>
      </c>
      <c r="M363" s="14">
        <v>1.3333333333333334E-4</v>
      </c>
      <c r="N363" s="19">
        <f t="shared" ca="1" si="54"/>
        <v>175.18473532964981</v>
      </c>
      <c r="O363" s="12">
        <f t="shared" ca="1" si="56"/>
        <v>0</v>
      </c>
      <c r="P363" s="18">
        <f t="shared" ca="1" si="55"/>
        <v>0</v>
      </c>
      <c r="Q363" s="19">
        <f t="shared" ca="1" si="60"/>
        <v>0</v>
      </c>
      <c r="R363" s="12">
        <f t="shared" ca="1" si="60"/>
        <v>0</v>
      </c>
      <c r="S363" s="12">
        <f t="shared" ca="1" si="58"/>
        <v>0</v>
      </c>
      <c r="T363" s="83">
        <f t="shared" ca="1" si="59"/>
        <v>0</v>
      </c>
      <c r="W363" s="1"/>
      <c r="Z363" s="6"/>
    </row>
    <row r="364" spans="1:26" x14ac:dyDescent="0.3">
      <c r="A364" s="11">
        <v>43374</v>
      </c>
      <c r="B364" s="94">
        <v>32333.63</v>
      </c>
      <c r="C364" s="97">
        <v>31541.37</v>
      </c>
      <c r="D364" s="109">
        <v>792.26</v>
      </c>
      <c r="E364" s="109">
        <v>659.71</v>
      </c>
      <c r="F364" s="16">
        <f t="shared" ca="1" si="50"/>
        <v>217.42350574691244</v>
      </c>
      <c r="G364" s="12">
        <f t="shared" si="51"/>
        <v>7.2811666666666666</v>
      </c>
      <c r="H364" s="12">
        <f t="shared" si="52"/>
        <v>523.41800000000001</v>
      </c>
      <c r="I364" s="17" cm="1">
        <f t="array" ref="I364">IF(MONTH(A364) = LOOKUP(YEAR(A364), YEAR('CNY Dates'!A$2:A$34), 'CNY Dates'!B$2:B$34), LOOKUP(YEAR(A364), YEAR('Hongbao demand'!B$4:B$35), 'Hongbao demand'!F$4:F$35)  - O363, 0)</f>
        <v>0</v>
      </c>
      <c r="J364" s="18">
        <f t="shared" si="53"/>
        <v>-313.27566091975422</v>
      </c>
      <c r="K364" s="19">
        <v>40174.6</v>
      </c>
      <c r="L364" s="12">
        <v>0.99447000000000008</v>
      </c>
      <c r="M364" s="14">
        <v>1.4166666666666668E-4</v>
      </c>
      <c r="N364" s="19">
        <f t="shared" ca="1" si="54"/>
        <v>442.2864942530876</v>
      </c>
      <c r="O364" s="12">
        <f t="shared" ca="1" si="56"/>
        <v>0</v>
      </c>
      <c r="P364" s="18">
        <f t="shared" ca="1" si="55"/>
        <v>0</v>
      </c>
      <c r="Q364" s="19">
        <f t="shared" ca="1" si="60"/>
        <v>0</v>
      </c>
      <c r="R364" s="12">
        <f t="shared" ca="1" si="60"/>
        <v>0</v>
      </c>
      <c r="S364" s="12">
        <f t="shared" ca="1" si="58"/>
        <v>0</v>
      </c>
      <c r="T364" s="83">
        <f t="shared" ca="1" si="59"/>
        <v>0</v>
      </c>
      <c r="W364" s="1"/>
      <c r="Z364" s="6"/>
    </row>
    <row r="365" spans="1:26" x14ac:dyDescent="0.3">
      <c r="A365" s="11">
        <v>43405</v>
      </c>
      <c r="B365" s="94">
        <v>32453.75</v>
      </c>
      <c r="C365" s="97">
        <v>31607.73</v>
      </c>
      <c r="D365" s="109">
        <v>846.02</v>
      </c>
      <c r="E365" s="109">
        <v>592.04999999999995</v>
      </c>
      <c r="F365" s="16">
        <f t="shared" ca="1" si="50"/>
        <v>522.55598224921607</v>
      </c>
      <c r="G365" s="12">
        <f t="shared" si="51"/>
        <v>6.6021666666666663</v>
      </c>
      <c r="H365" s="12">
        <f t="shared" si="52"/>
        <v>525.68949999999995</v>
      </c>
      <c r="I365" s="17" cm="1">
        <f t="array" ref="I365">IF(MONTH(A365) = LOOKUP(YEAR(A365), YEAR('CNY Dates'!A$2:A$34), 'CNY Dates'!B$2:B$34), LOOKUP(YEAR(A365), YEAR('Hongbao demand'!B$4:B$35), 'Hongbao demand'!F$4:F$35)  - O364, 0)</f>
        <v>0</v>
      </c>
      <c r="J365" s="18">
        <f t="shared" si="53"/>
        <v>-9.7356844174506119</v>
      </c>
      <c r="K365" s="19">
        <v>40174.6</v>
      </c>
      <c r="L365" s="12">
        <v>0.99609999999999999</v>
      </c>
      <c r="M365" s="14">
        <v>1.4166666666666668E-4</v>
      </c>
      <c r="N365" s="19">
        <f t="shared" ca="1" si="54"/>
        <v>69.494017750783883</v>
      </c>
      <c r="O365" s="12">
        <f t="shared" ca="1" si="56"/>
        <v>0</v>
      </c>
      <c r="P365" s="18">
        <f t="shared" ca="1" si="55"/>
        <v>0</v>
      </c>
      <c r="Q365" s="19">
        <f t="shared" ca="1" si="60"/>
        <v>0</v>
      </c>
      <c r="R365" s="12">
        <f t="shared" ca="1" si="60"/>
        <v>0</v>
      </c>
      <c r="S365" s="12">
        <f t="shared" ca="1" si="58"/>
        <v>0</v>
      </c>
      <c r="T365" s="83">
        <f t="shared" ca="1" si="59"/>
        <v>0</v>
      </c>
      <c r="W365" s="1"/>
      <c r="Z365" s="6"/>
    </row>
    <row r="366" spans="1:26" x14ac:dyDescent="0.3">
      <c r="A366" s="11">
        <v>43435</v>
      </c>
      <c r="B366" s="94">
        <v>33352.76</v>
      </c>
      <c r="C366" s="97">
        <v>31813.95</v>
      </c>
      <c r="D366" s="109">
        <v>1538.81</v>
      </c>
      <c r="E366" s="109">
        <v>733.02</v>
      </c>
      <c r="F366" s="16">
        <f t="shared" ca="1" si="50"/>
        <v>194.3432164675221</v>
      </c>
      <c r="G366" s="12">
        <f t="shared" si="51"/>
        <v>7.0501666666666667</v>
      </c>
      <c r="H366" s="12">
        <f t="shared" si="52"/>
        <v>526.79549999999995</v>
      </c>
      <c r="I366" s="17" cm="1">
        <f t="array" ref="I366">IF(MONTH(A366) = LOOKUP(YEAR(A366), YEAR('CNY Dates'!A$2:A$34), 'CNY Dates'!B$2:B$34), LOOKUP(YEAR(A366), YEAR('Hongbao demand'!B$4:B$35), 'Hongbao demand'!F$4:F$35)  - O365, 0)</f>
        <v>0</v>
      </c>
      <c r="J366" s="18">
        <f t="shared" si="53"/>
        <v>-339.5024501991445</v>
      </c>
      <c r="K366" s="19">
        <v>40174.6</v>
      </c>
      <c r="L366" s="12">
        <v>0.99686000000000008</v>
      </c>
      <c r="M366" s="14">
        <v>1.4999999999999999E-4</v>
      </c>
      <c r="N366" s="19">
        <f t="shared" ca="1" si="54"/>
        <v>538.67678353247788</v>
      </c>
      <c r="O366" s="12">
        <f t="shared" ca="1" si="56"/>
        <v>0</v>
      </c>
      <c r="P366" s="18">
        <f t="shared" ca="1" si="55"/>
        <v>0</v>
      </c>
      <c r="Q366" s="19">
        <f t="shared" ca="1" si="60"/>
        <v>0</v>
      </c>
      <c r="R366" s="12">
        <f t="shared" ca="1" si="60"/>
        <v>0</v>
      </c>
      <c r="S366" s="12">
        <f t="shared" ca="1" si="58"/>
        <v>0</v>
      </c>
      <c r="T366" s="83">
        <f t="shared" ca="1" si="59"/>
        <v>0</v>
      </c>
      <c r="W366" s="1"/>
      <c r="Z366" s="6"/>
    </row>
    <row r="367" spans="1:26" x14ac:dyDescent="0.3">
      <c r="A367" s="11">
        <v>43466</v>
      </c>
      <c r="B367" s="94">
        <v>34487.67</v>
      </c>
      <c r="C367" s="97">
        <v>31626.21</v>
      </c>
      <c r="D367" s="109">
        <v>2861.46</v>
      </c>
      <c r="E367" s="109">
        <v>342.49</v>
      </c>
      <c r="F367" s="16">
        <f t="shared" ca="1" si="50"/>
        <v>134.6356304009073</v>
      </c>
      <c r="G367" s="12">
        <f t="shared" si="51"/>
        <v>12.823416666666667</v>
      </c>
      <c r="H367" s="12">
        <f t="shared" si="52"/>
        <v>530.23249999999996</v>
      </c>
      <c r="I367" s="17" cm="1">
        <f t="array" ref="I367">IF(MONTH(A367) = LOOKUP(YEAR(A367), YEAR('CNY Dates'!A$2:A$34), 'CNY Dates'!B$2:B$34), LOOKUP(YEAR(A367), YEAR('Hongbao demand'!B$4:B$35), 'Hongbao demand'!F$4:F$35)  - O366, 0)</f>
        <v>0</v>
      </c>
      <c r="J367" s="18">
        <f t="shared" si="53"/>
        <v>-408.42028626575927</v>
      </c>
      <c r="K367" s="19">
        <v>39334.433333333298</v>
      </c>
      <c r="L367" s="12">
        <v>0.99387000000000003</v>
      </c>
      <c r="M367" s="14">
        <v>1.5833333333333332E-4</v>
      </c>
      <c r="N367" s="19">
        <f t="shared" ca="1" si="54"/>
        <v>207.85436959909271</v>
      </c>
      <c r="O367" s="12">
        <f t="shared" ca="1" si="56"/>
        <v>0</v>
      </c>
      <c r="P367" s="18">
        <f t="shared" ca="1" si="55"/>
        <v>0</v>
      </c>
      <c r="Q367" s="19">
        <f t="shared" ca="1" si="60"/>
        <v>0</v>
      </c>
      <c r="R367" s="12">
        <f t="shared" ca="1" si="60"/>
        <v>0</v>
      </c>
      <c r="S367" s="12">
        <f t="shared" ca="1" si="58"/>
        <v>0</v>
      </c>
      <c r="T367" s="83">
        <f t="shared" ca="1" si="59"/>
        <v>0</v>
      </c>
      <c r="W367" s="1"/>
      <c r="Z367" s="6"/>
    </row>
    <row r="368" spans="1:26" x14ac:dyDescent="0.3">
      <c r="A368" s="11">
        <v>43497</v>
      </c>
      <c r="B368" s="94">
        <v>33933.760000000002</v>
      </c>
      <c r="C368" s="97">
        <v>32286.73</v>
      </c>
      <c r="D368" s="109">
        <v>1647.03</v>
      </c>
      <c r="E368" s="109">
        <v>1187.6199999999999</v>
      </c>
      <c r="F368" s="16">
        <f t="shared" ca="1" si="50"/>
        <v>248.33243429675713</v>
      </c>
      <c r="G368" s="12">
        <f t="shared" si="51"/>
        <v>23.845500000000001</v>
      </c>
      <c r="H368" s="12">
        <f t="shared" si="52"/>
        <v>527.10349999999994</v>
      </c>
      <c r="I368" s="17" cm="1">
        <f t="array" aca="1" ref="I368" ca="1">IF(MONTH(A368) = LOOKUP(YEAR(A368), YEAR('CNY Dates'!A$2:A$34), 'CNY Dates'!B$2:B$34), LOOKUP(YEAR(A368), YEAR('Hongbao demand'!B$4:B$35), 'Hongbao demand'!F$4:F$35)  - O367, 0)</f>
        <v>11.200954063657079</v>
      </c>
      <c r="J368" s="18">
        <f t="shared" si="53"/>
        <v>-313.81751976689986</v>
      </c>
      <c r="K368" s="19">
        <v>39334.433333333298</v>
      </c>
      <c r="L368" s="12">
        <v>0.99953000000000003</v>
      </c>
      <c r="M368" s="14">
        <v>1.6666666666666666E-4</v>
      </c>
      <c r="N368" s="19">
        <f t="shared" ca="1" si="54"/>
        <v>939.28756570324276</v>
      </c>
      <c r="O368" s="12">
        <f t="shared" ca="1" si="56"/>
        <v>187.85751314064856</v>
      </c>
      <c r="P368" s="18">
        <f t="shared" ca="1" si="55"/>
        <v>0</v>
      </c>
      <c r="Q368" s="19">
        <f t="shared" ca="1" si="60"/>
        <v>0</v>
      </c>
      <c r="R368" s="12">
        <f t="shared" ca="1" si="60"/>
        <v>0</v>
      </c>
      <c r="S368" s="12">
        <f t="shared" ca="1" si="58"/>
        <v>18.785751314064857</v>
      </c>
      <c r="T368" s="83">
        <f t="shared" ca="1" si="59"/>
        <v>18.785751314064857</v>
      </c>
      <c r="W368" s="1"/>
      <c r="Z368" s="6"/>
    </row>
    <row r="369" spans="1:26" x14ac:dyDescent="0.3">
      <c r="A369" s="11">
        <v>43525</v>
      </c>
      <c r="B369" s="94">
        <v>33759.67</v>
      </c>
      <c r="C369" s="97">
        <v>32659.759999999998</v>
      </c>
      <c r="D369" s="109">
        <v>1099.9100000000001</v>
      </c>
      <c r="E369" s="109">
        <v>911.14</v>
      </c>
      <c r="F369" s="16">
        <f t="shared" ca="1" si="50"/>
        <v>550.80514644071297</v>
      </c>
      <c r="G369" s="12">
        <f t="shared" si="51"/>
        <v>13.725249999999999</v>
      </c>
      <c r="H369" s="12">
        <f t="shared" si="52"/>
        <v>538.11216666666667</v>
      </c>
      <c r="I369" s="17" cm="1">
        <f t="array" ref="I369">IF(MONTH(A369) = LOOKUP(YEAR(A369), YEAR('CNY Dates'!A$2:A$34), 'CNY Dates'!B$2:B$34), LOOKUP(YEAR(A369), YEAR('Hongbao demand'!B$4:B$35), 'Hongbao demand'!F$4:F$35)  - O368, 0)</f>
        <v>0</v>
      </c>
      <c r="J369" s="18">
        <f t="shared" si="53"/>
        <v>-1.0322702259536647</v>
      </c>
      <c r="K369" s="19">
        <v>39334.433333333298</v>
      </c>
      <c r="L369" s="12">
        <v>0.99971999999999994</v>
      </c>
      <c r="M369" s="14">
        <v>1.6666666666666666E-4</v>
      </c>
      <c r="N369" s="19">
        <f t="shared" ca="1" si="54"/>
        <v>360.33485355928701</v>
      </c>
      <c r="O369" s="12">
        <f t="shared" ca="1" si="56"/>
        <v>186.29203386447651</v>
      </c>
      <c r="P369" s="18">
        <f t="shared" ca="1" si="55"/>
        <v>0</v>
      </c>
      <c r="Q369" s="19">
        <f t="shared" ca="1" si="60"/>
        <v>0</v>
      </c>
      <c r="R369" s="12">
        <f t="shared" ca="1" si="60"/>
        <v>0</v>
      </c>
      <c r="S369" s="12">
        <f t="shared" ca="1" si="58"/>
        <v>18.629203386447653</v>
      </c>
      <c r="T369" s="83">
        <f t="shared" ca="1" si="59"/>
        <v>18.629203386447653</v>
      </c>
      <c r="W369" s="1"/>
      <c r="Z369" s="6"/>
    </row>
    <row r="370" spans="1:26" x14ac:dyDescent="0.3">
      <c r="A370" s="11">
        <v>43556</v>
      </c>
      <c r="B370" s="94">
        <v>33844.65</v>
      </c>
      <c r="C370" s="97">
        <v>32602.43</v>
      </c>
      <c r="D370" s="109">
        <v>1242.22</v>
      </c>
      <c r="E370" s="109">
        <v>487</v>
      </c>
      <c r="F370" s="16">
        <f t="shared" ca="1" si="50"/>
        <v>660.23226185861427</v>
      </c>
      <c r="G370" s="12">
        <f t="shared" si="51"/>
        <v>9.1659166666666678</v>
      </c>
      <c r="H370" s="12">
        <f t="shared" si="52"/>
        <v>544.32933333333335</v>
      </c>
      <c r="I370" s="17" cm="1">
        <f t="array" ref="I370">IF(MONTH(A370) = LOOKUP(YEAR(A370), YEAR('CNY Dates'!A$2:A$34), 'CNY Dates'!B$2:B$34), LOOKUP(YEAR(A370), YEAR('Hongbao demand'!B$4:B$35), 'Hongbao demand'!F$4:F$35)  - O369, 0)</f>
        <v>0</v>
      </c>
      <c r="J370" s="18">
        <f t="shared" si="53"/>
        <v>106.73701185861421</v>
      </c>
      <c r="K370" s="19">
        <v>40025.166666666701</v>
      </c>
      <c r="L370" s="12">
        <v>0.99753000000000003</v>
      </c>
      <c r="M370" s="14">
        <v>1.6666666666666666E-4</v>
      </c>
      <c r="N370" s="19">
        <f t="shared" ca="1" si="54"/>
        <v>-173.23226185861427</v>
      </c>
      <c r="O370" s="12">
        <f t="shared" ca="1" si="56"/>
        <v>184.73960024893918</v>
      </c>
      <c r="P370" s="18">
        <f t="shared" ca="1" si="55"/>
        <v>0</v>
      </c>
      <c r="Q370" s="19">
        <f t="shared" ca="1" si="60"/>
        <v>0</v>
      </c>
      <c r="R370" s="12">
        <f t="shared" ca="1" si="60"/>
        <v>0</v>
      </c>
      <c r="S370" s="12">
        <f t="shared" ca="1" si="58"/>
        <v>18.47396002489392</v>
      </c>
      <c r="T370" s="83">
        <f t="shared" ca="1" si="59"/>
        <v>18.47396002489392</v>
      </c>
      <c r="W370" s="1"/>
      <c r="Z370" s="6"/>
    </row>
    <row r="371" spans="1:26" x14ac:dyDescent="0.3">
      <c r="A371" s="11">
        <v>43586</v>
      </c>
      <c r="B371" s="94">
        <v>33823.230000000003</v>
      </c>
      <c r="C371" s="97">
        <v>32779.11</v>
      </c>
      <c r="D371" s="109">
        <v>1044.1199999999999</v>
      </c>
      <c r="E371" s="109">
        <v>720.05</v>
      </c>
      <c r="F371" s="16">
        <f t="shared" ca="1" si="50"/>
        <v>522.30245222675114</v>
      </c>
      <c r="G371" s="12">
        <f t="shared" si="51"/>
        <v>10.351833333333333</v>
      </c>
      <c r="H371" s="12">
        <f t="shared" si="52"/>
        <v>543.37383333333332</v>
      </c>
      <c r="I371" s="17" cm="1">
        <f t="array" ref="I371">IF(MONTH(A371) = LOOKUP(YEAR(A371), YEAR('CNY Dates'!A$2:A$34), 'CNY Dates'!B$2:B$34), LOOKUP(YEAR(A371), YEAR('Hongbao demand'!B$4:B$35), 'Hongbao demand'!F$4:F$35)  - O370, 0)</f>
        <v>0</v>
      </c>
      <c r="J371" s="18">
        <f t="shared" si="53"/>
        <v>-31.423214439915554</v>
      </c>
      <c r="K371" s="19">
        <v>40025.166666666701</v>
      </c>
      <c r="L371" s="12">
        <v>1.00325</v>
      </c>
      <c r="M371" s="14">
        <v>1.6666666666666666E-4</v>
      </c>
      <c r="N371" s="19">
        <f t="shared" ca="1" si="54"/>
        <v>197.74754777324881</v>
      </c>
      <c r="O371" s="12">
        <f t="shared" ca="1" si="56"/>
        <v>183.20010358019803</v>
      </c>
      <c r="P371" s="18">
        <f t="shared" ca="1" si="55"/>
        <v>0</v>
      </c>
      <c r="Q371" s="19">
        <f t="shared" ca="1" si="60"/>
        <v>0</v>
      </c>
      <c r="R371" s="12">
        <f t="shared" ca="1" si="60"/>
        <v>0</v>
      </c>
      <c r="S371" s="12">
        <f t="shared" ca="1" si="58"/>
        <v>18.320010358019804</v>
      </c>
      <c r="T371" s="83">
        <f t="shared" ca="1" si="59"/>
        <v>18.320010358019804</v>
      </c>
      <c r="W371" s="1"/>
      <c r="Z371" s="6"/>
    </row>
    <row r="372" spans="1:26" x14ac:dyDescent="0.3">
      <c r="A372" s="11">
        <v>43617</v>
      </c>
      <c r="B372" s="94">
        <v>33852.699999999997</v>
      </c>
      <c r="C372" s="97">
        <v>32961.81</v>
      </c>
      <c r="D372" s="109">
        <v>890.89</v>
      </c>
      <c r="E372" s="109">
        <v>729.02</v>
      </c>
      <c r="F372" s="16">
        <f t="shared" ca="1" si="50"/>
        <v>570.70734773269862</v>
      </c>
      <c r="G372" s="12">
        <f t="shared" si="51"/>
        <v>8.7009999999999987</v>
      </c>
      <c r="H372" s="12">
        <f t="shared" si="52"/>
        <v>546.31849999999997</v>
      </c>
      <c r="I372" s="17" cm="1">
        <f t="array" ref="I372">IF(MONTH(A372) = LOOKUP(YEAR(A372), YEAR('CNY Dates'!A$2:A$34), 'CNY Dates'!B$2:B$34), LOOKUP(YEAR(A372), YEAR('Hongbao demand'!B$4:B$35), 'Hongbao demand'!F$4:F$35)  - O371, 0)</f>
        <v>0</v>
      </c>
      <c r="J372" s="18">
        <f t="shared" si="53"/>
        <v>15.687847732698655</v>
      </c>
      <c r="K372" s="19">
        <v>40025.166666666701</v>
      </c>
      <c r="L372" s="12">
        <v>1.00038</v>
      </c>
      <c r="M372" s="14">
        <v>1.6666666666666666E-4</v>
      </c>
      <c r="N372" s="19">
        <f t="shared" ca="1" si="54"/>
        <v>158.31265226730136</v>
      </c>
      <c r="O372" s="12">
        <f t="shared" ca="1" si="56"/>
        <v>181.67343605036302</v>
      </c>
      <c r="P372" s="18">
        <f t="shared" ca="1" si="55"/>
        <v>0</v>
      </c>
      <c r="Q372" s="19">
        <f t="shared" ca="1" si="60"/>
        <v>0</v>
      </c>
      <c r="R372" s="12">
        <f t="shared" ca="1" si="60"/>
        <v>0</v>
      </c>
      <c r="S372" s="12">
        <f t="shared" ca="1" si="58"/>
        <v>18.167343605036304</v>
      </c>
      <c r="T372" s="83">
        <f t="shared" ca="1" si="59"/>
        <v>18.167343605036304</v>
      </c>
      <c r="W372" s="1"/>
      <c r="Z372" s="6"/>
    </row>
    <row r="373" spans="1:26" x14ac:dyDescent="0.3">
      <c r="A373" s="11">
        <v>43647</v>
      </c>
      <c r="B373" s="94">
        <v>34087.97</v>
      </c>
      <c r="C373" s="97">
        <v>33163.339999999997</v>
      </c>
      <c r="D373" s="109">
        <v>924.63</v>
      </c>
      <c r="E373" s="109">
        <v>750.89</v>
      </c>
      <c r="F373" s="16">
        <f t="shared" ca="1" si="50"/>
        <v>612.3759573356823</v>
      </c>
      <c r="G373" s="12">
        <f t="shared" si="51"/>
        <v>7.4240833333333329</v>
      </c>
      <c r="H373" s="12">
        <f t="shared" si="52"/>
        <v>549.36349999999993</v>
      </c>
      <c r="I373" s="17" cm="1">
        <f t="array" ref="I373">IF(MONTH(A373) = LOOKUP(YEAR(A373), YEAR('CNY Dates'!A$2:A$34), 'CNY Dates'!B$2:B$34), LOOKUP(YEAR(A373), YEAR('Hongbao demand'!B$4:B$35), 'Hongbao demand'!F$4:F$35)  - O372, 0)</f>
        <v>0</v>
      </c>
      <c r="J373" s="18">
        <f t="shared" si="53"/>
        <v>55.588374002349042</v>
      </c>
      <c r="K373" s="19">
        <v>40251.766666666699</v>
      </c>
      <c r="L373" s="12">
        <v>0.99587000000000003</v>
      </c>
      <c r="M373" s="14">
        <v>1.6666666666666666E-4</v>
      </c>
      <c r="N373" s="19">
        <f t="shared" ca="1" si="54"/>
        <v>138.51404266431769</v>
      </c>
      <c r="O373" s="12">
        <f t="shared" ca="1" si="56"/>
        <v>180.15949074994333</v>
      </c>
      <c r="P373" s="18">
        <f t="shared" ca="1" si="55"/>
        <v>0</v>
      </c>
      <c r="Q373" s="19">
        <f t="shared" ca="1" si="60"/>
        <v>0</v>
      </c>
      <c r="R373" s="12">
        <f t="shared" ca="1" si="60"/>
        <v>0</v>
      </c>
      <c r="S373" s="12">
        <f t="shared" ca="1" si="58"/>
        <v>18.015949074994335</v>
      </c>
      <c r="T373" s="83">
        <f t="shared" ca="1" si="59"/>
        <v>18.015949074994335</v>
      </c>
      <c r="W373" s="1"/>
      <c r="Z373" s="6"/>
    </row>
    <row r="374" spans="1:26" x14ac:dyDescent="0.3">
      <c r="A374" s="11">
        <v>43678</v>
      </c>
      <c r="B374" s="94">
        <v>34369.089999999997</v>
      </c>
      <c r="C374" s="97">
        <v>33515.440000000002</v>
      </c>
      <c r="D374" s="109">
        <v>853.65</v>
      </c>
      <c r="E374" s="109">
        <v>904.82</v>
      </c>
      <c r="F374" s="16">
        <f t="shared" ca="1" si="50"/>
        <v>526.12809367120133</v>
      </c>
      <c r="G374" s="12">
        <f t="shared" si="51"/>
        <v>7.7052500000000004</v>
      </c>
      <c r="H374" s="12">
        <f t="shared" si="52"/>
        <v>552.72233333333327</v>
      </c>
      <c r="I374" s="17" cm="1">
        <f t="array" ref="I374">IF(MONTH(A374) = LOOKUP(YEAR(A374), YEAR('CNY Dates'!A$2:A$34), 'CNY Dates'!B$2:B$34), LOOKUP(YEAR(A374), YEAR('Hongbao demand'!B$4:B$35), 'Hongbao demand'!F$4:F$35)  - O373, 0)</f>
        <v>0</v>
      </c>
      <c r="J374" s="18">
        <f t="shared" si="53"/>
        <v>-34.299489662131961</v>
      </c>
      <c r="K374" s="19">
        <v>40251.766666666699</v>
      </c>
      <c r="L374" s="12">
        <v>1.0020899999999999</v>
      </c>
      <c r="M374" s="14">
        <v>1.6666666666666666E-4</v>
      </c>
      <c r="N374" s="19">
        <f t="shared" ca="1" si="54"/>
        <v>378.69190632879872</v>
      </c>
      <c r="O374" s="12">
        <f t="shared" ca="1" si="56"/>
        <v>178.65816166036046</v>
      </c>
      <c r="P374" s="18">
        <f t="shared" ca="1" si="55"/>
        <v>0</v>
      </c>
      <c r="Q374" s="19">
        <f t="shared" ca="1" si="60"/>
        <v>0</v>
      </c>
      <c r="R374" s="12">
        <f t="shared" ca="1" si="60"/>
        <v>0</v>
      </c>
      <c r="S374" s="12">
        <f t="shared" ca="1" si="58"/>
        <v>17.865816166036048</v>
      </c>
      <c r="T374" s="83">
        <f t="shared" ca="1" si="59"/>
        <v>17.865816166036048</v>
      </c>
      <c r="W374" s="1"/>
      <c r="Z374" s="6"/>
    </row>
    <row r="375" spans="1:26" x14ac:dyDescent="0.3">
      <c r="A375" s="11">
        <v>43709</v>
      </c>
      <c r="B375" s="94">
        <v>34608.699999999997</v>
      </c>
      <c r="C375" s="97">
        <v>33771.78</v>
      </c>
      <c r="D375" s="109">
        <v>836.92</v>
      </c>
      <c r="E375" s="109">
        <v>814.93</v>
      </c>
      <c r="F375" s="16">
        <f t="shared" ca="1" si="50"/>
        <v>569.10688607441216</v>
      </c>
      <c r="G375" s="12">
        <f t="shared" si="51"/>
        <v>7.1137499999999996</v>
      </c>
      <c r="H375" s="12">
        <f t="shared" si="52"/>
        <v>558.59066666666672</v>
      </c>
      <c r="I375" s="17" cm="1">
        <f t="array" ref="I375">IF(MONTH(A375) = LOOKUP(YEAR(A375), YEAR('CNY Dates'!A$2:A$34), 'CNY Dates'!B$2:B$34), LOOKUP(YEAR(A375), YEAR('Hongbao demand'!B$4:B$35), 'Hongbao demand'!F$4:F$35)  - O374, 0)</f>
        <v>0</v>
      </c>
      <c r="J375" s="18">
        <f t="shared" si="53"/>
        <v>3.4024694077454072</v>
      </c>
      <c r="K375" s="19">
        <v>40251.766666666699</v>
      </c>
      <c r="L375" s="12">
        <v>1.0014700000000001</v>
      </c>
      <c r="M375" s="14">
        <v>1.6666666666666666E-4</v>
      </c>
      <c r="N375" s="19">
        <f t="shared" ca="1" si="54"/>
        <v>245.82311392558779</v>
      </c>
      <c r="O375" s="12">
        <f t="shared" ca="1" si="56"/>
        <v>177.16934364652414</v>
      </c>
      <c r="P375" s="18">
        <f t="shared" ca="1" si="55"/>
        <v>0</v>
      </c>
      <c r="Q375" s="19">
        <f t="shared" ca="1" si="60"/>
        <v>0</v>
      </c>
      <c r="R375" s="12">
        <f t="shared" ca="1" si="60"/>
        <v>0</v>
      </c>
      <c r="S375" s="12">
        <f t="shared" ca="1" si="58"/>
        <v>17.716934364652413</v>
      </c>
      <c r="T375" s="83">
        <f t="shared" ca="1" si="59"/>
        <v>17.716934364652413</v>
      </c>
      <c r="W375" s="1"/>
      <c r="Z375" s="6"/>
    </row>
    <row r="376" spans="1:26" x14ac:dyDescent="0.3">
      <c r="A376" s="11">
        <v>43739</v>
      </c>
      <c r="B376" s="94">
        <v>34652.94</v>
      </c>
      <c r="C376" s="97">
        <v>33846.959999999999</v>
      </c>
      <c r="D376" s="109">
        <v>805.98</v>
      </c>
      <c r="E376" s="109">
        <v>638.04</v>
      </c>
      <c r="F376" s="16">
        <f t="shared" ca="1" si="50"/>
        <v>645.02297417035129</v>
      </c>
      <c r="G376" s="12">
        <f t="shared" si="51"/>
        <v>6.9743333333333331</v>
      </c>
      <c r="H376" s="12">
        <f t="shared" si="52"/>
        <v>562.86299999999994</v>
      </c>
      <c r="I376" s="17" cm="1">
        <f t="array" ref="I376">IF(MONTH(A376) = LOOKUP(YEAR(A376), YEAR('CNY Dates'!A$2:A$34), 'CNY Dates'!B$2:B$34), LOOKUP(YEAR(A376), YEAR('Hongbao demand'!B$4:B$35), 'Hongbao demand'!F$4:F$35)  - O375, 0)</f>
        <v>0</v>
      </c>
      <c r="J376" s="18">
        <f t="shared" si="53"/>
        <v>75.185640837018056</v>
      </c>
      <c r="K376" s="19">
        <v>40716.833333333299</v>
      </c>
      <c r="L376" s="12">
        <v>0.99930000000000008</v>
      </c>
      <c r="M376" s="14">
        <v>1.6666666666666666E-4</v>
      </c>
      <c r="N376" s="19">
        <f t="shared" ca="1" si="54"/>
        <v>-6.9829741703513264</v>
      </c>
      <c r="O376" s="12">
        <f t="shared" ca="1" si="56"/>
        <v>175.69293244946979</v>
      </c>
      <c r="P376" s="18">
        <f t="shared" ca="1" si="55"/>
        <v>0</v>
      </c>
      <c r="Q376" s="19">
        <f t="shared" ca="1" si="60"/>
        <v>0</v>
      </c>
      <c r="R376" s="12">
        <f t="shared" ca="1" si="60"/>
        <v>0</v>
      </c>
      <c r="S376" s="12">
        <f t="shared" ca="1" si="58"/>
        <v>17.56929324494698</v>
      </c>
      <c r="T376" s="83">
        <f t="shared" ca="1" si="59"/>
        <v>17.56929324494698</v>
      </c>
      <c r="W376" s="1"/>
      <c r="Z376" s="6"/>
    </row>
    <row r="377" spans="1:26" x14ac:dyDescent="0.3">
      <c r="A377" s="11">
        <v>43770</v>
      </c>
      <c r="B377" s="94">
        <v>34856.57</v>
      </c>
      <c r="C377" s="97">
        <v>34173.300000000003</v>
      </c>
      <c r="D377" s="109">
        <v>683.27</v>
      </c>
      <c r="E377" s="109">
        <v>890.46</v>
      </c>
      <c r="F377" s="16">
        <f t="shared" ca="1" si="50"/>
        <v>552.90721750745865</v>
      </c>
      <c r="G377" s="12">
        <f t="shared" si="51"/>
        <v>6.7164999999999999</v>
      </c>
      <c r="H377" s="12">
        <f t="shared" si="52"/>
        <v>564.11599999999999</v>
      </c>
      <c r="I377" s="17" cm="1">
        <f t="array" ref="I377">IF(MONTH(A377) = LOOKUP(YEAR(A377), YEAR('CNY Dates'!A$2:A$34), 'CNY Dates'!B$2:B$34), LOOKUP(YEAR(A377), YEAR('Hongbao demand'!B$4:B$35), 'Hongbao demand'!F$4:F$35)  - O376, 0)</f>
        <v>0</v>
      </c>
      <c r="J377" s="18">
        <f t="shared" si="53"/>
        <v>-17.925282492541321</v>
      </c>
      <c r="K377" s="19">
        <v>40716.833333333299</v>
      </c>
      <c r="L377" s="12">
        <v>1.00254</v>
      </c>
      <c r="M377" s="14">
        <v>1.6666666666666666E-4</v>
      </c>
      <c r="N377" s="19">
        <f t="shared" ca="1" si="54"/>
        <v>337.55278249254138</v>
      </c>
      <c r="O377" s="12">
        <f t="shared" ca="1" si="56"/>
        <v>174.22882467905754</v>
      </c>
      <c r="P377" s="18">
        <f t="shared" ca="1" si="55"/>
        <v>0</v>
      </c>
      <c r="Q377" s="19">
        <f t="shared" ca="1" si="60"/>
        <v>0</v>
      </c>
      <c r="R377" s="12">
        <f t="shared" ca="1" si="60"/>
        <v>0</v>
      </c>
      <c r="S377" s="12">
        <f t="shared" ca="1" si="58"/>
        <v>17.422882467905755</v>
      </c>
      <c r="T377" s="83">
        <f t="shared" ca="1" si="59"/>
        <v>17.422882467905755</v>
      </c>
      <c r="W377" s="1"/>
      <c r="Z377" s="6"/>
    </row>
    <row r="378" spans="1:26" x14ac:dyDescent="0.3">
      <c r="A378" s="11">
        <v>43800</v>
      </c>
      <c r="B378" s="94">
        <v>35674.94</v>
      </c>
      <c r="C378" s="97">
        <v>34403.39</v>
      </c>
      <c r="D378" s="109">
        <v>1271.55</v>
      </c>
      <c r="E378" s="109">
        <v>799.65</v>
      </c>
      <c r="F378" s="16">
        <f t="shared" ca="1" si="50"/>
        <v>-604.69962733833063</v>
      </c>
      <c r="G378" s="12">
        <f t="shared" si="51"/>
        <v>5.6939166666666665</v>
      </c>
      <c r="H378" s="12">
        <f t="shared" si="52"/>
        <v>569.55500000000006</v>
      </c>
      <c r="I378" s="17" cm="1">
        <f t="array" ref="I378">IF(MONTH(A378) = LOOKUP(YEAR(A378), YEAR('CNY Dates'!A$2:A$34), 'CNY Dates'!B$2:B$34), LOOKUP(YEAR(A378), YEAR('Hongbao demand'!B$4:B$35), 'Hongbao demand'!F$4:F$35)  - O377, 0)</f>
        <v>0</v>
      </c>
      <c r="J378" s="18">
        <f t="shared" si="53"/>
        <v>-1179.9485440049973</v>
      </c>
      <c r="K378" s="19">
        <v>40716.833333333299</v>
      </c>
      <c r="L378" s="12">
        <v>1.0044499999999998</v>
      </c>
      <c r="M378" s="14">
        <v>2.0833333333333335E-4</v>
      </c>
      <c r="N378" s="19">
        <f t="shared" ca="1" si="54"/>
        <v>1404.3496273383307</v>
      </c>
      <c r="O378" s="12">
        <f t="shared" ca="1" si="56"/>
        <v>172.77691780673206</v>
      </c>
      <c r="P378" s="18">
        <f t="shared" ca="1" si="55"/>
        <v>0</v>
      </c>
      <c r="Q378" s="19">
        <f t="shared" ca="1" si="60"/>
        <v>0</v>
      </c>
      <c r="R378" s="12">
        <f t="shared" ca="1" si="60"/>
        <v>0</v>
      </c>
      <c r="S378" s="12">
        <f t="shared" ca="1" si="58"/>
        <v>17.277691780673205</v>
      </c>
      <c r="T378" s="83">
        <f t="shared" ca="1" si="59"/>
        <v>17.277691780673205</v>
      </c>
      <c r="W378" s="1"/>
      <c r="Z378" s="6"/>
    </row>
    <row r="379" spans="1:26" x14ac:dyDescent="0.3">
      <c r="A379" s="11">
        <v>43831</v>
      </c>
      <c r="B379" s="94">
        <v>37176.58</v>
      </c>
      <c r="C379" s="97">
        <v>34268.99</v>
      </c>
      <c r="D379" s="109">
        <v>2907.59</v>
      </c>
      <c r="E379" s="109">
        <v>438.99</v>
      </c>
      <c r="F379" s="16">
        <f t="shared" ca="1" si="50"/>
        <v>322.10919863828843</v>
      </c>
      <c r="G379" s="12">
        <f t="shared" si="51"/>
        <v>10.59625</v>
      </c>
      <c r="H379" s="12">
        <f t="shared" si="52"/>
        <v>573.38983333333329</v>
      </c>
      <c r="I379" s="17" cm="1">
        <f t="array" aca="1" ref="I379" ca="1">IF(MONTH(A379) = LOOKUP(YEAR(A379), YEAR('CNY Dates'!A$2:A$34), 'CNY Dates'!B$2:B$34), LOOKUP(YEAR(A379), YEAR('Hongbao demand'!B$4:B$35), 'Hongbao demand'!F$4:F$35)  - O378, 0)</f>
        <v>-162.26461066569166</v>
      </c>
      <c r="J379" s="18">
        <f t="shared" si="53"/>
        <v>-99.612274029353259</v>
      </c>
      <c r="K379" s="19">
        <v>39804.5</v>
      </c>
      <c r="L379" s="12">
        <v>1.00204</v>
      </c>
      <c r="M379" s="14">
        <v>2.0833333333333335E-4</v>
      </c>
      <c r="N379" s="19">
        <f t="shared" ca="1" si="54"/>
        <v>116.88080136171158</v>
      </c>
      <c r="O379" s="12">
        <f t="shared" ca="1" si="56"/>
        <v>23.376160272342318</v>
      </c>
      <c r="P379" s="18">
        <f t="shared" ca="1" si="55"/>
        <v>0</v>
      </c>
      <c r="Q379" s="19">
        <f t="shared" ca="1" si="60"/>
        <v>0</v>
      </c>
      <c r="R379" s="12">
        <f t="shared" ca="1" si="60"/>
        <v>0</v>
      </c>
      <c r="S379" s="12">
        <f t="shared" ca="1" si="58"/>
        <v>2.3376160272342319</v>
      </c>
      <c r="T379" s="83">
        <f t="shared" ca="1" si="59"/>
        <v>2.3376160272342319</v>
      </c>
      <c r="W379" s="1"/>
      <c r="Z379" s="6"/>
    </row>
    <row r="380" spans="1:26" x14ac:dyDescent="0.3">
      <c r="A380" s="11">
        <v>43862</v>
      </c>
      <c r="B380" s="94">
        <v>36665.019999999997</v>
      </c>
      <c r="C380" s="97">
        <v>35092.19</v>
      </c>
      <c r="D380" s="109">
        <v>1572.83</v>
      </c>
      <c r="E380" s="109">
        <v>1394.35</v>
      </c>
      <c r="F380" s="16">
        <f t="shared" ca="1" si="50"/>
        <v>793.54520138592818</v>
      </c>
      <c r="G380" s="12">
        <f t="shared" si="51"/>
        <v>24.229916666666668</v>
      </c>
      <c r="H380" s="12">
        <f t="shared" si="52"/>
        <v>571.14983333333328</v>
      </c>
      <c r="I380" s="17" cm="1">
        <f t="array" ref="I380">IF(MONTH(A380) = LOOKUP(YEAR(A380), YEAR('CNY Dates'!A$2:A$34), 'CNY Dates'!B$2:B$34), LOOKUP(YEAR(A380), YEAR('Hongbao demand'!B$4:B$35), 'Hongbao demand'!F$4:F$35)  - O379, 0)</f>
        <v>0</v>
      </c>
      <c r="J380" s="18">
        <f t="shared" si="53"/>
        <v>198.16545138592824</v>
      </c>
      <c r="K380" s="19">
        <v>39804.5</v>
      </c>
      <c r="L380" s="12">
        <v>1.0027900000000001</v>
      </c>
      <c r="M380" s="14">
        <v>1.9999999999999998E-4</v>
      </c>
      <c r="N380" s="19">
        <f t="shared" ca="1" si="54"/>
        <v>600.80479861407173</v>
      </c>
      <c r="O380" s="12">
        <f t="shared" ca="1" si="56"/>
        <v>23.181358936739464</v>
      </c>
      <c r="P380" s="18">
        <f t="shared" ca="1" si="55"/>
        <v>0</v>
      </c>
      <c r="Q380" s="19">
        <f t="shared" ca="1" si="60"/>
        <v>0</v>
      </c>
      <c r="R380" s="12">
        <f t="shared" ca="1" si="60"/>
        <v>0</v>
      </c>
      <c r="S380" s="12">
        <f t="shared" ca="1" si="58"/>
        <v>2.3181358936739467</v>
      </c>
      <c r="T380" s="83">
        <f t="shared" ca="1" si="59"/>
        <v>2.3181358936739467</v>
      </c>
      <c r="W380" s="1"/>
      <c r="Z380" s="6"/>
    </row>
    <row r="381" spans="1:26" x14ac:dyDescent="0.3">
      <c r="A381" s="11">
        <v>43891</v>
      </c>
      <c r="B381" s="94">
        <v>37059.26</v>
      </c>
      <c r="C381" s="97">
        <v>35423.15</v>
      </c>
      <c r="D381" s="109">
        <v>1636.11</v>
      </c>
      <c r="E381" s="109">
        <v>915.83</v>
      </c>
      <c r="F381" s="16">
        <f t="shared" ca="1" si="50"/>
        <v>1058.6182745527735</v>
      </c>
      <c r="G381" s="12">
        <f t="shared" si="51"/>
        <v>13.106916666666667</v>
      </c>
      <c r="H381" s="12">
        <f t="shared" si="52"/>
        <v>584.86983333333342</v>
      </c>
      <c r="I381" s="17" cm="1">
        <f t="array" ref="I381">IF(MONTH(A381) = LOOKUP(YEAR(A381), YEAR('CNY Dates'!A$2:A$34), 'CNY Dates'!B$2:B$34), LOOKUP(YEAR(A381), YEAR('Hongbao demand'!B$4:B$35), 'Hongbao demand'!F$4:F$35)  - O380, 0)</f>
        <v>0</v>
      </c>
      <c r="J381" s="18">
        <f t="shared" si="53"/>
        <v>460.64152455277355</v>
      </c>
      <c r="K381" s="19">
        <v>39804.5</v>
      </c>
      <c r="L381" s="12">
        <v>0.99933000000000005</v>
      </c>
      <c r="M381" s="14">
        <v>1.8333333333333334E-4</v>
      </c>
      <c r="N381" s="19">
        <f t="shared" ca="1" si="54"/>
        <v>-142.78827455277349</v>
      </c>
      <c r="O381" s="12">
        <f t="shared" ca="1" si="56"/>
        <v>22.988180945599971</v>
      </c>
      <c r="P381" s="18">
        <f t="shared" ca="1" si="55"/>
        <v>0</v>
      </c>
      <c r="Q381" s="19">
        <f t="shared" ca="1" si="60"/>
        <v>0</v>
      </c>
      <c r="R381" s="12">
        <f t="shared" ca="1" si="60"/>
        <v>0</v>
      </c>
      <c r="S381" s="12">
        <f t="shared" ca="1" si="58"/>
        <v>2.2988180945599974</v>
      </c>
      <c r="T381" s="83">
        <f t="shared" ca="1" si="59"/>
        <v>2.2988180945599974</v>
      </c>
      <c r="W381" s="1"/>
      <c r="Z381" s="6"/>
    </row>
    <row r="382" spans="1:26" x14ac:dyDescent="0.3">
      <c r="A382" s="11">
        <v>43922</v>
      </c>
      <c r="B382" s="94">
        <v>37225.72</v>
      </c>
      <c r="C382" s="97">
        <v>35572.879999999997</v>
      </c>
      <c r="D382" s="109">
        <v>1652.84</v>
      </c>
      <c r="E382" s="109">
        <v>740.12</v>
      </c>
      <c r="F382" s="16">
        <f t="shared" ca="1" si="50"/>
        <v>502.3234590248295</v>
      </c>
      <c r="G382" s="12">
        <f t="shared" si="51"/>
        <v>13.63425</v>
      </c>
      <c r="H382" s="12">
        <f t="shared" si="52"/>
        <v>590.38583333333338</v>
      </c>
      <c r="I382" s="17" cm="1">
        <f t="array" ref="I382">IF(MONTH(A382) = LOOKUP(YEAR(A382), YEAR('CNY Dates'!A$2:A$34), 'CNY Dates'!B$2:B$34), LOOKUP(YEAR(A382), YEAR('Hongbao demand'!B$4:B$35), 'Hongbao demand'!F$4:F$35)  - O381, 0)</f>
        <v>0</v>
      </c>
      <c r="J382" s="18">
        <f t="shared" si="53"/>
        <v>-101.69662430850386</v>
      </c>
      <c r="K382" s="19">
        <v>35149.266666666699</v>
      </c>
      <c r="L382" s="12">
        <v>0.99012</v>
      </c>
      <c r="M382" s="14">
        <v>1.6666666666666666E-4</v>
      </c>
      <c r="N382" s="19">
        <f t="shared" ca="1" si="54"/>
        <v>237.7965409751705</v>
      </c>
      <c r="O382" s="12">
        <f t="shared" ca="1" si="56"/>
        <v>22.796612771053308</v>
      </c>
      <c r="P382" s="18">
        <f t="shared" ca="1" si="55"/>
        <v>0</v>
      </c>
      <c r="Q382" s="19">
        <f t="shared" ca="1" si="60"/>
        <v>0</v>
      </c>
      <c r="R382" s="12">
        <f t="shared" ca="1" si="60"/>
        <v>0</v>
      </c>
      <c r="S382" s="12">
        <f t="shared" ca="1" si="58"/>
        <v>2.2796612771053311</v>
      </c>
      <c r="T382" s="83">
        <f t="shared" ca="1" si="59"/>
        <v>2.2796612771053311</v>
      </c>
      <c r="W382" s="1"/>
      <c r="Z382" s="6"/>
    </row>
    <row r="383" spans="1:26" x14ac:dyDescent="0.3">
      <c r="A383" s="11">
        <v>43952</v>
      </c>
      <c r="B383" s="94">
        <v>37358.720000000001</v>
      </c>
      <c r="C383" s="97">
        <v>35839.440000000002</v>
      </c>
      <c r="D383" s="109">
        <v>1519.28</v>
      </c>
      <c r="E383" s="109">
        <v>859.44</v>
      </c>
      <c r="F383" s="16">
        <f t="shared" ca="1" si="50"/>
        <v>1136.496329439201</v>
      </c>
      <c r="G383" s="12">
        <f t="shared" si="51"/>
        <v>13.773666666666665</v>
      </c>
      <c r="H383" s="12">
        <f t="shared" si="52"/>
        <v>592.88133333333326</v>
      </c>
      <c r="I383" s="17" cm="1">
        <f t="array" ref="I383">IF(MONTH(A383) = LOOKUP(YEAR(A383), YEAR('CNY Dates'!A$2:A$34), 'CNY Dates'!B$2:B$34), LOOKUP(YEAR(A383), YEAR('Hongbao demand'!B$4:B$35), 'Hongbao demand'!F$4:F$35)  - O382, 0)</f>
        <v>0</v>
      </c>
      <c r="J383" s="18">
        <f t="shared" si="53"/>
        <v>529.84132943920088</v>
      </c>
      <c r="K383" s="19">
        <v>35149.266666666699</v>
      </c>
      <c r="L383" s="12">
        <v>0.99480000000000002</v>
      </c>
      <c r="M383" s="14">
        <v>1.4999999999999999E-4</v>
      </c>
      <c r="N383" s="19">
        <f t="shared" ca="1" si="54"/>
        <v>-277.05632943920091</v>
      </c>
      <c r="O383" s="12">
        <f t="shared" ca="1" si="56"/>
        <v>22.606640997961197</v>
      </c>
      <c r="P383" s="18">
        <f t="shared" ca="1" si="55"/>
        <v>0</v>
      </c>
      <c r="Q383" s="19">
        <f t="shared" ca="1" si="60"/>
        <v>0</v>
      </c>
      <c r="R383" s="12">
        <f t="shared" ca="1" si="60"/>
        <v>0</v>
      </c>
      <c r="S383" s="12">
        <f t="shared" ca="1" si="58"/>
        <v>2.2606640997961196</v>
      </c>
      <c r="T383" s="83">
        <f t="shared" ca="1" si="59"/>
        <v>2.2606640997961196</v>
      </c>
      <c r="W383" s="1"/>
      <c r="Z383" s="6"/>
    </row>
    <row r="384" spans="1:26" x14ac:dyDescent="0.3">
      <c r="A384" s="11">
        <v>43983</v>
      </c>
      <c r="B384" s="94">
        <v>37517.69</v>
      </c>
      <c r="C384" s="97">
        <v>36294.160000000003</v>
      </c>
      <c r="D384" s="109">
        <v>1223.53</v>
      </c>
      <c r="E384" s="109">
        <v>1052.04</v>
      </c>
      <c r="F384" s="16">
        <f t="shared" ca="1" si="50"/>
        <v>608.89936256552073</v>
      </c>
      <c r="G384" s="12">
        <f t="shared" si="51"/>
        <v>12.660666666666666</v>
      </c>
      <c r="H384" s="12">
        <f t="shared" si="52"/>
        <v>597.32400000000007</v>
      </c>
      <c r="I384" s="17" cm="1">
        <f t="array" ref="I384">IF(MONTH(A384) = LOOKUP(YEAR(A384), YEAR('CNY Dates'!A$2:A$34), 'CNY Dates'!B$2:B$34), LOOKUP(YEAR(A384), YEAR('Hongbao demand'!B$4:B$35), 'Hongbao demand'!F$4:F$35)  - O383, 0)</f>
        <v>0</v>
      </c>
      <c r="J384" s="18">
        <f t="shared" si="53"/>
        <v>-1.0853041011459845</v>
      </c>
      <c r="K384" s="19">
        <v>35149.266666666699</v>
      </c>
      <c r="L384" s="12">
        <v>0.995</v>
      </c>
      <c r="M384" s="14">
        <v>1.4999999999999999E-4</v>
      </c>
      <c r="N384" s="19">
        <f t="shared" ca="1" si="54"/>
        <v>443.14063743447923</v>
      </c>
      <c r="O384" s="12">
        <f t="shared" ca="1" si="56"/>
        <v>22.418252322978184</v>
      </c>
      <c r="P384" s="18">
        <f t="shared" ca="1" si="55"/>
        <v>0</v>
      </c>
      <c r="Q384" s="19">
        <f t="shared" ca="1" si="60"/>
        <v>0</v>
      </c>
      <c r="R384" s="12">
        <f t="shared" ca="1" si="60"/>
        <v>0</v>
      </c>
      <c r="S384" s="12">
        <f t="shared" ca="1" si="58"/>
        <v>2.2418252322978183</v>
      </c>
      <c r="T384" s="83">
        <f t="shared" ca="1" si="59"/>
        <v>2.2418252322978183</v>
      </c>
      <c r="W384" s="1"/>
      <c r="Z384" s="6"/>
    </row>
    <row r="385" spans="1:26" x14ac:dyDescent="0.3">
      <c r="A385" s="11">
        <v>44013</v>
      </c>
      <c r="B385" s="94">
        <v>37663.01</v>
      </c>
      <c r="C385" s="97">
        <v>36539.58</v>
      </c>
      <c r="D385" s="109">
        <v>1123.43</v>
      </c>
      <c r="E385" s="109">
        <v>850.32</v>
      </c>
      <c r="F385" s="16">
        <f t="shared" ca="1" si="50"/>
        <v>2195.1662198676859</v>
      </c>
      <c r="G385" s="12">
        <f t="shared" si="51"/>
        <v>10.196083333333332</v>
      </c>
      <c r="H385" s="12">
        <f t="shared" si="52"/>
        <v>604.90266666666673</v>
      </c>
      <c r="I385" s="17" cm="1">
        <f t="array" ref="I385">IF(MONTH(A385) = LOOKUP(YEAR(A385), YEAR('CNY Dates'!A$2:A$34), 'CNY Dates'!B$2:B$34), LOOKUP(YEAR(A385), YEAR('Hongbao demand'!B$4:B$35), 'Hongbao demand'!F$4:F$35)  - O384, 0)</f>
        <v>0</v>
      </c>
      <c r="J385" s="18">
        <f t="shared" si="53"/>
        <v>1580.0674698676858</v>
      </c>
      <c r="K385" s="19">
        <v>38398.566666666702</v>
      </c>
      <c r="L385" s="12">
        <v>0.99177999999999999</v>
      </c>
      <c r="M385" s="14">
        <v>1.25E-4</v>
      </c>
      <c r="N385" s="19">
        <f t="shared" ca="1" si="54"/>
        <v>-1344.8462198676857</v>
      </c>
      <c r="O385" s="12">
        <f t="shared" ca="1" si="56"/>
        <v>22.231433553620032</v>
      </c>
      <c r="P385" s="18">
        <f t="shared" ca="1" si="55"/>
        <v>-586.81201986768565</v>
      </c>
      <c r="Q385" s="19">
        <f t="shared" ca="1" si="60"/>
        <v>0</v>
      </c>
      <c r="R385" s="12">
        <f t="shared" ca="1" si="60"/>
        <v>0</v>
      </c>
      <c r="S385" s="12">
        <f t="shared" ca="1" si="58"/>
        <v>2.2231433553620032</v>
      </c>
      <c r="T385" s="83">
        <f t="shared" ca="1" si="59"/>
        <v>2.2231433553620032</v>
      </c>
      <c r="W385" s="1"/>
      <c r="Z385" s="6"/>
    </row>
    <row r="386" spans="1:26" x14ac:dyDescent="0.3">
      <c r="A386" s="11">
        <v>44044</v>
      </c>
      <c r="B386" s="94">
        <v>37718.870000000003</v>
      </c>
      <c r="C386" s="97">
        <v>36812.370000000003</v>
      </c>
      <c r="D386" s="109">
        <v>906.5</v>
      </c>
      <c r="E386" s="109">
        <v>881.78</v>
      </c>
      <c r="F386" s="16">
        <f t="shared" ca="1" si="50"/>
        <v>1600.5317333966254</v>
      </c>
      <c r="G386" s="12">
        <f t="shared" si="51"/>
        <v>9.3619166666666676</v>
      </c>
      <c r="H386" s="12">
        <f t="shared" si="52"/>
        <v>608.99300000000005</v>
      </c>
      <c r="I386" s="17" cm="1">
        <f t="array" ref="I386">IF(MONTH(A386) = LOOKUP(YEAR(A386), YEAR('CNY Dates'!A$2:A$34), 'CNY Dates'!B$2:B$34), LOOKUP(YEAR(A386), YEAR('Hongbao demand'!B$4:B$35), 'Hongbao demand'!F$4:F$35)  - O385, 0)</f>
        <v>0</v>
      </c>
      <c r="J386" s="18">
        <f t="shared" si="53"/>
        <v>395.36479686227318</v>
      </c>
      <c r="K386" s="19">
        <v>38398.566666666702</v>
      </c>
      <c r="L386" s="12">
        <v>0.99807000000000001</v>
      </c>
      <c r="M386" s="14">
        <v>1.1666666666666668E-4</v>
      </c>
      <c r="N386" s="19">
        <f t="shared" ca="1" si="54"/>
        <v>-718.75173339662547</v>
      </c>
      <c r="O386" s="12">
        <f t="shared" ca="1" si="56"/>
        <v>22.046171607339868</v>
      </c>
      <c r="P386" s="18">
        <f t="shared" ca="1" si="55"/>
        <v>-180.37543339662551</v>
      </c>
      <c r="Q386" s="19">
        <f t="shared" ca="1" si="60"/>
        <v>0</v>
      </c>
      <c r="R386" s="12">
        <f t="shared" ca="1" si="60"/>
        <v>0</v>
      </c>
      <c r="S386" s="12">
        <f t="shared" ca="1" si="58"/>
        <v>2.2046171607339868</v>
      </c>
      <c r="T386" s="83">
        <f t="shared" ca="1" si="59"/>
        <v>2.2046171607339868</v>
      </c>
      <c r="W386" s="1"/>
      <c r="Z386" s="6"/>
    </row>
    <row r="387" spans="1:26" x14ac:dyDescent="0.3">
      <c r="A387" s="11">
        <v>44075</v>
      </c>
      <c r="B387" s="94">
        <v>37934.959999999999</v>
      </c>
      <c r="C387" s="97">
        <v>37034.97</v>
      </c>
      <c r="D387" s="109">
        <v>899.99</v>
      </c>
      <c r="E387" s="109">
        <v>836.14</v>
      </c>
      <c r="F387" s="16">
        <f t="shared" ca="1" si="50"/>
        <v>1264.7283462801427</v>
      </c>
      <c r="G387" s="12">
        <f t="shared" si="51"/>
        <v>7.5541666666666663</v>
      </c>
      <c r="H387" s="12">
        <f t="shared" si="52"/>
        <v>613.53950000000009</v>
      </c>
      <c r="I387" s="17" cm="1">
        <f t="array" ref="I387">IF(MONTH(A387) = LOOKUP(YEAR(A387), YEAR('CNY Dates'!A$2:A$34), 'CNY Dates'!B$2:B$34), LOOKUP(YEAR(A387), YEAR('Hongbao demand'!B$4:B$35), 'Hongbao demand'!F$4:F$35)  - O386, 0)</f>
        <v>0</v>
      </c>
      <c r="J387" s="18">
        <f t="shared" si="53"/>
        <v>463.25924621685044</v>
      </c>
      <c r="K387" s="19">
        <v>38398.566666666702</v>
      </c>
      <c r="L387" s="12">
        <v>1.00139</v>
      </c>
      <c r="M387" s="14">
        <v>1.0833333333333333E-4</v>
      </c>
      <c r="N387" s="19">
        <f t="shared" ca="1" si="54"/>
        <v>-428.58834628014267</v>
      </c>
      <c r="O387" s="12">
        <f t="shared" ca="1" si="56"/>
        <v>21.862453510612038</v>
      </c>
      <c r="P387" s="18">
        <f t="shared" ca="1" si="55"/>
        <v>0</v>
      </c>
      <c r="Q387" s="19">
        <f t="shared" ca="1" si="60"/>
        <v>0</v>
      </c>
      <c r="R387" s="12">
        <f t="shared" ca="1" si="60"/>
        <v>0</v>
      </c>
      <c r="S387" s="12">
        <f t="shared" ca="1" si="58"/>
        <v>2.1862453510612041</v>
      </c>
      <c r="T387" s="83">
        <f t="shared" ca="1" si="59"/>
        <v>2.1862453510612041</v>
      </c>
      <c r="W387" s="1"/>
      <c r="Z387" s="6"/>
    </row>
    <row r="388" spans="1:26" x14ac:dyDescent="0.3">
      <c r="A388" s="11">
        <v>44105</v>
      </c>
      <c r="B388" s="94">
        <v>38218.81</v>
      </c>
      <c r="C388" s="97">
        <v>37508.730000000003</v>
      </c>
      <c r="D388" s="109">
        <v>710.08</v>
      </c>
      <c r="E388" s="109">
        <v>1091.01</v>
      </c>
      <c r="F388" s="16">
        <f t="shared" ca="1" si="50"/>
        <v>983.96792683072908</v>
      </c>
      <c r="G388" s="12">
        <f t="shared" si="51"/>
        <v>7.4999166666666666</v>
      </c>
      <c r="H388" s="12">
        <f t="shared" si="52"/>
        <v>617.24950000000001</v>
      </c>
      <c r="I388" s="17" cm="1">
        <f t="array" ref="I388">IF(MONTH(A388) = LOOKUP(YEAR(A388), YEAR('CNY Dates'!A$2:A$34), 'CNY Dates'!B$2:B$34), LOOKUP(YEAR(A388), YEAR('Hongbao demand'!B$4:B$35), 'Hongbao demand'!F$4:F$35)  - O387, 0)</f>
        <v>0</v>
      </c>
      <c r="J388" s="18">
        <f t="shared" si="53"/>
        <v>359.21851016406237</v>
      </c>
      <c r="K388" s="19">
        <v>40333.300000000003</v>
      </c>
      <c r="L388" s="12">
        <v>0.99710999999999994</v>
      </c>
      <c r="M388" s="14">
        <v>1.0833333333333333E-4</v>
      </c>
      <c r="N388" s="19">
        <f t="shared" ca="1" si="54"/>
        <v>107.04207316927091</v>
      </c>
      <c r="O388" s="12">
        <f t="shared" ca="1" si="56"/>
        <v>21.680266398023605</v>
      </c>
      <c r="P388" s="18">
        <f t="shared" ca="1" si="55"/>
        <v>0</v>
      </c>
      <c r="Q388" s="19">
        <f t="shared" ca="1" si="60"/>
        <v>0</v>
      </c>
      <c r="R388" s="12">
        <f t="shared" ca="1" si="60"/>
        <v>0</v>
      </c>
      <c r="S388" s="12">
        <f t="shared" ca="1" si="58"/>
        <v>2.1680266398023607</v>
      </c>
      <c r="T388" s="83">
        <f t="shared" ca="1" si="59"/>
        <v>2.1680266398023607</v>
      </c>
      <c r="W388" s="1"/>
      <c r="Z388" s="6"/>
    </row>
    <row r="389" spans="1:26" x14ac:dyDescent="0.3">
      <c r="A389" s="11">
        <v>44136</v>
      </c>
      <c r="B389" s="94">
        <v>38488.31</v>
      </c>
      <c r="C389" s="97">
        <v>37794.82</v>
      </c>
      <c r="D389" s="109">
        <v>693.49</v>
      </c>
      <c r="E389" s="109">
        <v>911.24</v>
      </c>
      <c r="F389" s="16">
        <f t="shared" ca="1" si="50"/>
        <v>604.11905597950533</v>
      </c>
      <c r="G389" s="12">
        <f t="shared" si="51"/>
        <v>5.9173333333333336</v>
      </c>
      <c r="H389" s="12">
        <f t="shared" si="52"/>
        <v>625.14550000000008</v>
      </c>
      <c r="I389" s="17" cm="1">
        <f t="array" ref="I389">IF(MONTH(A389) = LOOKUP(YEAR(A389), YEAR('CNY Dates'!A$2:A$34), 'CNY Dates'!B$2:B$34), LOOKUP(YEAR(A389), YEAR('Hongbao demand'!B$4:B$35), 'Hongbao demand'!F$4:F$35)  - O388, 0)</f>
        <v>0</v>
      </c>
      <c r="J389" s="18">
        <f t="shared" si="53"/>
        <v>-26.94377735382805</v>
      </c>
      <c r="K389" s="19">
        <v>40333.300000000003</v>
      </c>
      <c r="L389" s="12">
        <v>1.00105</v>
      </c>
      <c r="M389" s="14">
        <v>1.0833333333333333E-4</v>
      </c>
      <c r="N389" s="19">
        <f t="shared" ca="1" si="54"/>
        <v>307.12094402049468</v>
      </c>
      <c r="O389" s="12">
        <f t="shared" ca="1" si="56"/>
        <v>21.499597511373409</v>
      </c>
      <c r="P389" s="18">
        <f t="shared" ca="1" si="55"/>
        <v>0</v>
      </c>
      <c r="Q389" s="19">
        <f t="shared" ca="1" si="60"/>
        <v>0</v>
      </c>
      <c r="R389" s="12">
        <f t="shared" ca="1" si="60"/>
        <v>0</v>
      </c>
      <c r="S389" s="12">
        <f t="shared" ca="1" si="58"/>
        <v>2.1499597511373412</v>
      </c>
      <c r="T389" s="83">
        <f t="shared" ca="1" si="59"/>
        <v>2.1499597511373412</v>
      </c>
      <c r="W389" s="1"/>
      <c r="Z389" s="6"/>
    </row>
    <row r="390" spans="1:26" x14ac:dyDescent="0.3">
      <c r="A390" s="11">
        <v>44166</v>
      </c>
      <c r="B390" s="94">
        <v>39138.400000000001</v>
      </c>
      <c r="C390" s="97">
        <v>37906.47</v>
      </c>
      <c r="D390" s="109">
        <v>1231.93</v>
      </c>
      <c r="E390" s="109">
        <v>741.56</v>
      </c>
      <c r="F390" s="16">
        <f t="shared" ca="1" si="50"/>
        <v>610.85151238664685</v>
      </c>
      <c r="G390" s="12">
        <f t="shared" si="51"/>
        <v>5.7790833333333333</v>
      </c>
      <c r="H390" s="12">
        <f t="shared" si="52"/>
        <v>629.9136666666667</v>
      </c>
      <c r="I390" s="17" cm="1">
        <f t="array" ref="I390">IF(MONTH(A390) = LOOKUP(YEAR(A390), YEAR('CNY Dates'!A$2:A$34), 'CNY Dates'!B$2:B$34), LOOKUP(YEAR(A390), YEAR('Hongbao demand'!B$4:B$35), 'Hongbao demand'!F$4:F$35)  - O389, 0)</f>
        <v>0</v>
      </c>
      <c r="J390" s="18">
        <f t="shared" si="53"/>
        <v>-24.841237613353176</v>
      </c>
      <c r="K390" s="19">
        <v>40333.300000000003</v>
      </c>
      <c r="L390" s="12">
        <v>1.0046899999999999</v>
      </c>
      <c r="M390" s="14">
        <v>1.0833333333333333E-4</v>
      </c>
      <c r="N390" s="19">
        <f t="shared" ca="1" si="54"/>
        <v>130.7084876133531</v>
      </c>
      <c r="O390" s="12">
        <f t="shared" ca="1" si="56"/>
        <v>21.320434198778631</v>
      </c>
      <c r="P390" s="18">
        <f t="shared" ca="1" si="55"/>
        <v>0</v>
      </c>
      <c r="Q390" s="19">
        <f t="shared" ca="1" si="60"/>
        <v>0</v>
      </c>
      <c r="R390" s="12">
        <f t="shared" ca="1" si="60"/>
        <v>0</v>
      </c>
      <c r="S390" s="12">
        <f t="shared" ca="1" si="58"/>
        <v>2.1320434198778631</v>
      </c>
      <c r="T390" s="83">
        <f t="shared" ca="1" si="59"/>
        <v>2.1320434198778631</v>
      </c>
      <c r="W390" s="1"/>
      <c r="Z390" s="6"/>
    </row>
    <row r="391" spans="1:26" x14ac:dyDescent="0.3">
      <c r="A391" s="11">
        <v>44197</v>
      </c>
      <c r="B391" s="94">
        <v>40232.15</v>
      </c>
      <c r="C391" s="97">
        <v>38137.4</v>
      </c>
      <c r="D391" s="109">
        <v>2094.75</v>
      </c>
      <c r="E391" s="109">
        <v>862.7</v>
      </c>
      <c r="F391" s="16">
        <f t="shared" ca="1" si="50"/>
        <v>1248.4597552372238</v>
      </c>
      <c r="G391" s="12">
        <f t="shared" si="51"/>
        <v>10.266083333333334</v>
      </c>
      <c r="H391" s="12">
        <f t="shared" si="52"/>
        <v>631.77449999999999</v>
      </c>
      <c r="I391" s="17" cm="1">
        <f t="array" ref="I391">IF(MONTH(A391) = LOOKUP(YEAR(A391), YEAR('CNY Dates'!A$2:A$34), 'CNY Dates'!B$2:B$34), LOOKUP(YEAR(A391), YEAR('Hongbao demand'!B$4:B$35), 'Hongbao demand'!F$4:F$35)  - O390, 0)</f>
        <v>0</v>
      </c>
      <c r="J391" s="18">
        <f t="shared" si="53"/>
        <v>606.4191719038904</v>
      </c>
      <c r="K391" s="19">
        <v>40595.033333333296</v>
      </c>
      <c r="L391" s="12">
        <v>1.0044</v>
      </c>
      <c r="M391" s="14">
        <v>9.9999999999999991E-5</v>
      </c>
      <c r="N391" s="19">
        <f t="shared" ca="1" si="54"/>
        <v>-385.75975523722377</v>
      </c>
      <c r="O391" s="12">
        <f t="shared" ca="1" si="56"/>
        <v>21.142763913788812</v>
      </c>
      <c r="P391" s="18">
        <f t="shared" ca="1" si="55"/>
        <v>0</v>
      </c>
      <c r="Q391" s="19">
        <f t="shared" ca="1" si="60"/>
        <v>0</v>
      </c>
      <c r="R391" s="12">
        <f t="shared" ca="1" si="60"/>
        <v>0</v>
      </c>
      <c r="S391" s="12">
        <f t="shared" ca="1" si="58"/>
        <v>2.1142763913788811</v>
      </c>
      <c r="T391" s="83">
        <f t="shared" ca="1" si="59"/>
        <v>2.1142763913788811</v>
      </c>
      <c r="W391" s="1"/>
      <c r="Z391" s="6"/>
    </row>
    <row r="392" spans="1:26" x14ac:dyDescent="0.3">
      <c r="A392" s="11">
        <v>44228</v>
      </c>
      <c r="B392" s="94">
        <v>40304.81</v>
      </c>
      <c r="C392" s="97">
        <v>37562.629999999997</v>
      </c>
      <c r="D392" s="109">
        <v>2742.18</v>
      </c>
      <c r="E392" s="109">
        <v>60.85</v>
      </c>
      <c r="F392" s="16">
        <f t="shared" ref="F392:F455" ca="1" si="61">SUM(G392:J392)-MIN(0, P391)</f>
        <v>601.52067643637361</v>
      </c>
      <c r="G392" s="12">
        <f t="shared" ref="G392:G455" si="62">D391/($I$1*12)</f>
        <v>17.456250000000001</v>
      </c>
      <c r="H392" s="12">
        <f t="shared" ref="H392:H455" si="63">C391/($I$2*12)</f>
        <v>635.62333333333333</v>
      </c>
      <c r="I392" s="17" cm="1">
        <f t="array" aca="1" ref="I392" ca="1">IF(MONTH(A392) = LOOKUP(YEAR(A392), YEAR('CNY Dates'!A$2:A$34), 'CNY Dates'!B$2:B$34), LOOKUP(YEAR(A392), YEAR('Hongbao demand'!B$4:B$35), 'Hongbao demand'!F$4:F$35)  - O391, 0)</f>
        <v>-10.630456772748424</v>
      </c>
      <c r="J392" s="18">
        <f t="shared" ref="J392:J455" si="64">(SQRT(K392/(2*L392*M392))-SQRT(K391/(2*L391*M391)))*L392</f>
        <v>-40.928450124211302</v>
      </c>
      <c r="K392" s="19">
        <v>40595.033333333296</v>
      </c>
      <c r="L392" s="12">
        <v>1.0101500000000001</v>
      </c>
      <c r="M392" s="14">
        <v>9.9999999999999991E-5</v>
      </c>
      <c r="N392" s="19">
        <f t="shared" ref="N392:N455" ca="1" si="65">E392-F392</f>
        <v>-540.67067643637358</v>
      </c>
      <c r="O392" s="12">
        <f t="shared" ca="1" si="56"/>
        <v>0</v>
      </c>
      <c r="P392" s="18">
        <f t="shared" ref="P392:P455" ca="1" si="66">MAX(MIN(D392+N392 - D$1*C392, 0), D392+N392 - D$2*C392)</f>
        <v>0</v>
      </c>
      <c r="Q392" s="19">
        <f t="shared" ca="1" si="60"/>
        <v>0</v>
      </c>
      <c r="R392" s="12">
        <f t="shared" ca="1" si="60"/>
        <v>0</v>
      </c>
      <c r="S392" s="12">
        <f t="shared" ca="1" si="58"/>
        <v>0</v>
      </c>
      <c r="T392" s="83">
        <f t="shared" ca="1" si="59"/>
        <v>0</v>
      </c>
      <c r="W392" s="1"/>
      <c r="Z392" s="6"/>
    </row>
    <row r="393" spans="1:26" x14ac:dyDescent="0.3">
      <c r="A393" s="11">
        <v>44256</v>
      </c>
      <c r="B393" s="94">
        <v>39799.550000000003</v>
      </c>
      <c r="C393" s="97">
        <v>38402.21</v>
      </c>
      <c r="D393" s="109">
        <v>1397.34</v>
      </c>
      <c r="E393" s="109">
        <v>1465.62</v>
      </c>
      <c r="F393" s="16">
        <f t="shared" ca="1" si="61"/>
        <v>633.01034244787945</v>
      </c>
      <c r="G393" s="12">
        <f t="shared" si="62"/>
        <v>22.851499999999998</v>
      </c>
      <c r="H393" s="12">
        <f t="shared" si="63"/>
        <v>626.04383333333328</v>
      </c>
      <c r="I393" s="17" cm="1">
        <f t="array" ref="I393">IF(MONTH(A393) = LOOKUP(YEAR(A393), YEAR('CNY Dates'!A$2:A$34), 'CNY Dates'!B$2:B$34), LOOKUP(YEAR(A393), YEAR('Hongbao demand'!B$4:B$35), 'Hongbao demand'!F$4:F$35)  - O392, 0)</f>
        <v>0</v>
      </c>
      <c r="J393" s="18">
        <f t="shared" si="64"/>
        <v>-15.884990885453819</v>
      </c>
      <c r="K393" s="19">
        <v>40595.033333333296</v>
      </c>
      <c r="L393" s="12">
        <v>1.0123900000000001</v>
      </c>
      <c r="M393" s="14">
        <v>9.9999999999999991E-5</v>
      </c>
      <c r="N393" s="19">
        <f t="shared" ca="1" si="65"/>
        <v>832.60965755212044</v>
      </c>
      <c r="O393" s="12">
        <f t="shared" ref="O393:O456" ca="1" si="67">MIN(IF(I393=0, O392*(I$1*12-1)/(I$1*12), MAX(O$5*N393, 0)), D$2*O$5*C392)</f>
        <v>0</v>
      </c>
      <c r="P393" s="18">
        <f t="shared" ca="1" si="66"/>
        <v>0</v>
      </c>
      <c r="Q393" s="19">
        <f t="shared" ref="Q393:R424" ca="1" si="68">MAX(0,$P393)*Q$5</f>
        <v>0</v>
      </c>
      <c r="R393" s="12">
        <f t="shared" ca="1" si="68"/>
        <v>0</v>
      </c>
      <c r="S393" s="12">
        <f t="shared" ref="S393:S456" ca="1" si="69">O393*$S$5</f>
        <v>0</v>
      </c>
      <c r="T393" s="83">
        <f t="shared" ref="T393:T456" ca="1" si="70">SUM(Q393:S393)</f>
        <v>0</v>
      </c>
      <c r="W393" s="1"/>
      <c r="Z393" s="6"/>
    </row>
    <row r="394" spans="1:26" x14ac:dyDescent="0.3">
      <c r="A394" s="11">
        <v>44287</v>
      </c>
      <c r="B394" s="94">
        <v>39797.660000000003</v>
      </c>
      <c r="C394" s="97">
        <v>38624.25</v>
      </c>
      <c r="D394" s="109">
        <v>1173.4100000000001</v>
      </c>
      <c r="E394" s="109">
        <v>862.08</v>
      </c>
      <c r="F394" s="16">
        <f t="shared" ca="1" si="61"/>
        <v>681.65326784865476</v>
      </c>
      <c r="G394" s="12">
        <f t="shared" si="62"/>
        <v>11.644499999999999</v>
      </c>
      <c r="H394" s="12">
        <f t="shared" si="63"/>
        <v>640.03683333333333</v>
      </c>
      <c r="I394" s="17" cm="1">
        <f t="array" ref="I394">IF(MONTH(A394) = LOOKUP(YEAR(A394), YEAR('CNY Dates'!A$2:A$34), 'CNY Dates'!B$2:B$34), LOOKUP(YEAR(A394), YEAR('Hongbao demand'!B$4:B$35), 'Hongbao demand'!F$4:F$35)  - O393, 0)</f>
        <v>0</v>
      </c>
      <c r="J394" s="18">
        <f t="shared" si="64"/>
        <v>29.971934515321408</v>
      </c>
      <c r="K394" s="19">
        <v>40697.199999999997</v>
      </c>
      <c r="L394" s="12">
        <v>1.0106999999999999</v>
      </c>
      <c r="M394" s="14">
        <v>9.9999999999999991E-5</v>
      </c>
      <c r="N394" s="19">
        <f t="shared" ca="1" si="65"/>
        <v>180.42673215134528</v>
      </c>
      <c r="O394" s="12">
        <f t="shared" ca="1" si="67"/>
        <v>0</v>
      </c>
      <c r="P394" s="18">
        <f t="shared" ca="1" si="66"/>
        <v>0</v>
      </c>
      <c r="Q394" s="19">
        <f t="shared" ca="1" si="68"/>
        <v>0</v>
      </c>
      <c r="R394" s="12">
        <f t="shared" ca="1" si="68"/>
        <v>0</v>
      </c>
      <c r="S394" s="12">
        <f t="shared" ca="1" si="69"/>
        <v>0</v>
      </c>
      <c r="T394" s="83">
        <f t="shared" ca="1" si="70"/>
        <v>0</v>
      </c>
      <c r="W394" s="1"/>
      <c r="Z394" s="6"/>
    </row>
    <row r="395" spans="1:26" x14ac:dyDescent="0.3">
      <c r="A395" s="11">
        <v>44317</v>
      </c>
      <c r="B395" s="94">
        <v>39859.26</v>
      </c>
      <c r="C395" s="97">
        <v>38795.4</v>
      </c>
      <c r="D395" s="109">
        <v>1063.8599999999999</v>
      </c>
      <c r="E395" s="109">
        <v>814.89</v>
      </c>
      <c r="F395" s="16">
        <f t="shared" ca="1" si="61"/>
        <v>595.7215274959234</v>
      </c>
      <c r="G395" s="12">
        <f t="shared" si="62"/>
        <v>9.7784166666666668</v>
      </c>
      <c r="H395" s="12">
        <f t="shared" si="63"/>
        <v>643.73749999999995</v>
      </c>
      <c r="I395" s="17" cm="1">
        <f t="array" ref="I395">IF(MONTH(A395) = LOOKUP(YEAR(A395), YEAR('CNY Dates'!A$2:A$34), 'CNY Dates'!B$2:B$34), LOOKUP(YEAR(A395), YEAR('Hongbao demand'!B$4:B$35), 'Hongbao demand'!F$4:F$35)  - O394, 0)</f>
        <v>0</v>
      </c>
      <c r="J395" s="18">
        <f t="shared" si="64"/>
        <v>-57.794389170743237</v>
      </c>
      <c r="K395" s="19">
        <v>40697.199999999997</v>
      </c>
      <c r="L395" s="12">
        <v>1.0188299999999999</v>
      </c>
      <c r="M395" s="14">
        <v>9.9999999999999991E-5</v>
      </c>
      <c r="N395" s="19">
        <f t="shared" ca="1" si="65"/>
        <v>219.16847250407659</v>
      </c>
      <c r="O395" s="12">
        <f t="shared" ca="1" si="67"/>
        <v>0</v>
      </c>
      <c r="P395" s="18">
        <f t="shared" ca="1" si="66"/>
        <v>0</v>
      </c>
      <c r="Q395" s="19">
        <f t="shared" ca="1" si="68"/>
        <v>0</v>
      </c>
      <c r="R395" s="12">
        <f t="shared" ca="1" si="68"/>
        <v>0</v>
      </c>
      <c r="S395" s="12">
        <f t="shared" ca="1" si="69"/>
        <v>0</v>
      </c>
      <c r="T395" s="83">
        <f t="shared" ca="1" si="70"/>
        <v>0</v>
      </c>
      <c r="W395" s="1"/>
      <c r="Z395" s="6"/>
    </row>
    <row r="396" spans="1:26" x14ac:dyDescent="0.3">
      <c r="A396" s="11">
        <v>44348</v>
      </c>
      <c r="B396" s="94">
        <v>39994.01</v>
      </c>
      <c r="C396" s="97">
        <v>39084.85</v>
      </c>
      <c r="D396" s="109">
        <v>909.16</v>
      </c>
      <c r="E396" s="109">
        <v>936.04</v>
      </c>
      <c r="F396" s="16">
        <f t="shared" ca="1" si="61"/>
        <v>656.37407771898302</v>
      </c>
      <c r="G396" s="12">
        <f t="shared" si="62"/>
        <v>8.865499999999999</v>
      </c>
      <c r="H396" s="12">
        <f t="shared" si="63"/>
        <v>646.59</v>
      </c>
      <c r="I396" s="17" cm="1">
        <f t="array" ref="I396">IF(MONTH(A396) = LOOKUP(YEAR(A396), YEAR('CNY Dates'!A$2:A$34), 'CNY Dates'!B$2:B$34), LOOKUP(YEAR(A396), YEAR('Hongbao demand'!B$4:B$35), 'Hongbao demand'!F$4:F$35)  - O395, 0)</f>
        <v>0</v>
      </c>
      <c r="J396" s="18">
        <f t="shared" si="64"/>
        <v>0.91857771898298246</v>
      </c>
      <c r="K396" s="19">
        <v>40697.199999999997</v>
      </c>
      <c r="L396" s="12">
        <v>1.0186999999999999</v>
      </c>
      <c r="M396" s="14">
        <v>1E-4</v>
      </c>
      <c r="N396" s="19">
        <f t="shared" ca="1" si="65"/>
        <v>279.66592228101695</v>
      </c>
      <c r="O396" s="12">
        <f t="shared" ca="1" si="67"/>
        <v>0</v>
      </c>
      <c r="P396" s="18">
        <f t="shared" ca="1" si="66"/>
        <v>0</v>
      </c>
      <c r="Q396" s="19">
        <f t="shared" ca="1" si="68"/>
        <v>0</v>
      </c>
      <c r="R396" s="12">
        <f t="shared" ca="1" si="68"/>
        <v>0</v>
      </c>
      <c r="S396" s="12">
        <f t="shared" ca="1" si="69"/>
        <v>0</v>
      </c>
      <c r="T396" s="83">
        <f t="shared" ca="1" si="70"/>
        <v>0</v>
      </c>
      <c r="W396" s="1"/>
      <c r="Z396" s="6"/>
    </row>
    <row r="397" spans="1:26" x14ac:dyDescent="0.3">
      <c r="A397" s="11">
        <v>44378</v>
      </c>
      <c r="B397" s="94">
        <v>40227.46</v>
      </c>
      <c r="C397" s="97">
        <v>39163.46</v>
      </c>
      <c r="D397" s="109">
        <v>1064</v>
      </c>
      <c r="E397" s="109">
        <v>730.02</v>
      </c>
      <c r="F397" s="16">
        <f t="shared" ca="1" si="61"/>
        <v>775.85643072992991</v>
      </c>
      <c r="G397" s="12">
        <f t="shared" si="62"/>
        <v>7.5763333333333334</v>
      </c>
      <c r="H397" s="12">
        <f t="shared" si="63"/>
        <v>651.41416666666669</v>
      </c>
      <c r="I397" s="17" cm="1">
        <f t="array" ref="I397">IF(MONTH(A397) = LOOKUP(YEAR(A397), YEAR('CNY Dates'!A$2:A$34), 'CNY Dates'!B$2:B$34), LOOKUP(YEAR(A397), YEAR('Hongbao demand'!B$4:B$35), 'Hongbao demand'!F$4:F$35)  - O396, 0)</f>
        <v>0</v>
      </c>
      <c r="J397" s="18">
        <f t="shared" si="64"/>
        <v>116.86593072992989</v>
      </c>
      <c r="K397" s="19">
        <v>41281.466666666704</v>
      </c>
      <c r="L397" s="12">
        <v>1.0167200000000001</v>
      </c>
      <c r="M397" s="14">
        <v>1E-4</v>
      </c>
      <c r="N397" s="19">
        <f t="shared" ca="1" si="65"/>
        <v>-45.83643072992993</v>
      </c>
      <c r="O397" s="12">
        <f t="shared" ca="1" si="67"/>
        <v>0</v>
      </c>
      <c r="P397" s="18">
        <f t="shared" ca="1" si="66"/>
        <v>0</v>
      </c>
      <c r="Q397" s="19">
        <f t="shared" ca="1" si="68"/>
        <v>0</v>
      </c>
      <c r="R397" s="12">
        <f t="shared" ca="1" si="68"/>
        <v>0</v>
      </c>
      <c r="S397" s="12">
        <f t="shared" ca="1" si="69"/>
        <v>0</v>
      </c>
      <c r="T397" s="83">
        <f t="shared" ca="1" si="70"/>
        <v>0</v>
      </c>
      <c r="W397" s="1"/>
      <c r="Z397" s="6"/>
    </row>
    <row r="398" spans="1:26" x14ac:dyDescent="0.3">
      <c r="A398" s="11">
        <v>44409</v>
      </c>
      <c r="B398" s="94">
        <v>40298.65</v>
      </c>
      <c r="C398" s="97">
        <v>39304.79</v>
      </c>
      <c r="D398" s="109">
        <v>993.86</v>
      </c>
      <c r="E398" s="109">
        <v>794.05</v>
      </c>
      <c r="F398" s="16">
        <f t="shared" ca="1" si="61"/>
        <v>621.71252032291602</v>
      </c>
      <c r="G398" s="12">
        <f t="shared" si="62"/>
        <v>8.8666666666666671</v>
      </c>
      <c r="H398" s="12">
        <f t="shared" si="63"/>
        <v>652.72433333333333</v>
      </c>
      <c r="I398" s="17" cm="1">
        <f t="array" ref="I398">IF(MONTH(A398) = LOOKUP(YEAR(A398), YEAR('CNY Dates'!A$2:A$34), 'CNY Dates'!B$2:B$34), LOOKUP(YEAR(A398), YEAR('Hongbao demand'!B$4:B$35), 'Hongbao demand'!F$4:F$35)  - O397, 0)</f>
        <v>0</v>
      </c>
      <c r="J398" s="18">
        <f t="shared" si="64"/>
        <v>-39.878479677083938</v>
      </c>
      <c r="K398" s="19">
        <v>41281.466666666704</v>
      </c>
      <c r="L398" s="12">
        <v>1.0223100000000001</v>
      </c>
      <c r="M398" s="14">
        <v>1E-4</v>
      </c>
      <c r="N398" s="19">
        <f t="shared" ca="1" si="65"/>
        <v>172.33747967708393</v>
      </c>
      <c r="O398" s="12">
        <f t="shared" ca="1" si="67"/>
        <v>0</v>
      </c>
      <c r="P398" s="18">
        <f t="shared" ca="1" si="66"/>
        <v>0</v>
      </c>
      <c r="Q398" s="19">
        <f t="shared" ca="1" si="68"/>
        <v>0</v>
      </c>
      <c r="R398" s="12">
        <f t="shared" ca="1" si="68"/>
        <v>0</v>
      </c>
      <c r="S398" s="12">
        <f t="shared" ca="1" si="69"/>
        <v>0</v>
      </c>
      <c r="T398" s="83">
        <f t="shared" ca="1" si="70"/>
        <v>0</v>
      </c>
      <c r="W398" s="1"/>
      <c r="Z398" s="6"/>
    </row>
    <row r="399" spans="1:26" x14ac:dyDescent="0.3">
      <c r="A399" s="11">
        <v>44440</v>
      </c>
      <c r="B399" s="94">
        <v>40413.660000000003</v>
      </c>
      <c r="C399" s="97">
        <v>39429.040000000001</v>
      </c>
      <c r="D399" s="109">
        <v>984.62</v>
      </c>
      <c r="E399" s="109">
        <v>779.33</v>
      </c>
      <c r="F399" s="16">
        <f t="shared" ca="1" si="61"/>
        <v>633.0648263813564</v>
      </c>
      <c r="G399" s="12">
        <f t="shared" si="62"/>
        <v>8.2821666666666669</v>
      </c>
      <c r="H399" s="12">
        <f t="shared" si="63"/>
        <v>655.07983333333334</v>
      </c>
      <c r="I399" s="17" cm="1">
        <f t="array" ref="I399">IF(MONTH(A399) = LOOKUP(YEAR(A399), YEAR('CNY Dates'!A$2:A$34), 'CNY Dates'!B$2:B$34), LOOKUP(YEAR(A399), YEAR('Hongbao demand'!B$4:B$35), 'Hongbao demand'!F$4:F$35)  - O398, 0)</f>
        <v>0</v>
      </c>
      <c r="J399" s="18">
        <f t="shared" si="64"/>
        <v>-30.297173618643519</v>
      </c>
      <c r="K399" s="19">
        <v>41281.466666666704</v>
      </c>
      <c r="L399" s="12">
        <v>1.02657</v>
      </c>
      <c r="M399" s="14">
        <v>1E-4</v>
      </c>
      <c r="N399" s="19">
        <f t="shared" ca="1" si="65"/>
        <v>146.26517361864364</v>
      </c>
      <c r="O399" s="12">
        <f t="shared" ca="1" si="67"/>
        <v>0</v>
      </c>
      <c r="P399" s="18">
        <f t="shared" ca="1" si="66"/>
        <v>0</v>
      </c>
      <c r="Q399" s="19">
        <f t="shared" ca="1" si="68"/>
        <v>0</v>
      </c>
      <c r="R399" s="12">
        <f t="shared" ca="1" si="68"/>
        <v>0</v>
      </c>
      <c r="S399" s="12">
        <f t="shared" ca="1" si="69"/>
        <v>0</v>
      </c>
      <c r="T399" s="83">
        <f t="shared" ca="1" si="70"/>
        <v>0</v>
      </c>
      <c r="W399" s="1"/>
      <c r="Z399" s="6"/>
    </row>
    <row r="400" spans="1:26" x14ac:dyDescent="0.3">
      <c r="A400" s="11">
        <v>44470</v>
      </c>
      <c r="B400" s="94">
        <v>40682.81</v>
      </c>
      <c r="C400" s="97">
        <v>39663.68</v>
      </c>
      <c r="D400" s="109">
        <v>1019.13</v>
      </c>
      <c r="E400" s="109">
        <v>891.79</v>
      </c>
      <c r="F400" s="16">
        <f t="shared" ca="1" si="61"/>
        <v>912.59833329111211</v>
      </c>
      <c r="G400" s="12">
        <f t="shared" si="62"/>
        <v>8.2051666666666669</v>
      </c>
      <c r="H400" s="12">
        <f t="shared" si="63"/>
        <v>657.15066666666667</v>
      </c>
      <c r="I400" s="17" cm="1">
        <f t="array" ref="I400">IF(MONTH(A400) = LOOKUP(YEAR(A400), YEAR('CNY Dates'!A$2:A$34), 'CNY Dates'!B$2:B$34), LOOKUP(YEAR(A400), YEAR('Hongbao demand'!B$4:B$35), 'Hongbao demand'!F$4:F$35)  - O399, 0)</f>
        <v>0</v>
      </c>
      <c r="J400" s="18">
        <f t="shared" si="64"/>
        <v>247.24249995777879</v>
      </c>
      <c r="K400" s="19">
        <v>42813.5</v>
      </c>
      <c r="L400" s="12">
        <v>1.0295000000000001</v>
      </c>
      <c r="M400" s="14">
        <v>1E-4</v>
      </c>
      <c r="N400" s="19">
        <f t="shared" ca="1" si="65"/>
        <v>-20.808333291112149</v>
      </c>
      <c r="O400" s="12">
        <f t="shared" ca="1" si="67"/>
        <v>0</v>
      </c>
      <c r="P400" s="18">
        <f t="shared" ca="1" si="66"/>
        <v>0</v>
      </c>
      <c r="Q400" s="19">
        <f t="shared" ca="1" si="68"/>
        <v>0</v>
      </c>
      <c r="R400" s="12">
        <f t="shared" ca="1" si="68"/>
        <v>0</v>
      </c>
      <c r="S400" s="12">
        <f t="shared" ca="1" si="69"/>
        <v>0</v>
      </c>
      <c r="T400" s="83">
        <f t="shared" ca="1" si="70"/>
        <v>0</v>
      </c>
      <c r="W400" s="1"/>
      <c r="Z400" s="6"/>
    </row>
    <row r="401" spans="1:26" x14ac:dyDescent="0.3">
      <c r="A401" s="11">
        <v>44501</v>
      </c>
      <c r="B401" s="94">
        <v>40922.839999999997</v>
      </c>
      <c r="C401" s="97">
        <v>39820.76</v>
      </c>
      <c r="D401" s="109">
        <v>1102.08</v>
      </c>
      <c r="E401" s="109">
        <v>818.14</v>
      </c>
      <c r="F401" s="16">
        <f t="shared" ca="1" si="61"/>
        <v>596.62831587383221</v>
      </c>
      <c r="G401" s="12">
        <f t="shared" si="62"/>
        <v>8.4927499999999991</v>
      </c>
      <c r="H401" s="12">
        <f t="shared" si="63"/>
        <v>661.06133333333332</v>
      </c>
      <c r="I401" s="17" cm="1">
        <f t="array" ref="I401">IF(MONTH(A401) = LOOKUP(YEAR(A401), YEAR('CNY Dates'!A$2:A$34), 'CNY Dates'!B$2:B$34), LOOKUP(YEAR(A401), YEAR('Hongbao demand'!B$4:B$35), 'Hongbao demand'!F$4:F$35)  - O400, 0)</f>
        <v>0</v>
      </c>
      <c r="J401" s="18">
        <f t="shared" si="64"/>
        <v>-72.925767459501103</v>
      </c>
      <c r="K401" s="19">
        <v>42813.5</v>
      </c>
      <c r="L401" s="12">
        <v>1.03959</v>
      </c>
      <c r="M401" s="14">
        <v>1E-4</v>
      </c>
      <c r="N401" s="19">
        <f t="shared" ca="1" si="65"/>
        <v>221.51168412616778</v>
      </c>
      <c r="O401" s="12">
        <f t="shared" ca="1" si="67"/>
        <v>0</v>
      </c>
      <c r="P401" s="18">
        <f t="shared" ca="1" si="66"/>
        <v>0</v>
      </c>
      <c r="Q401" s="19">
        <f t="shared" ca="1" si="68"/>
        <v>0</v>
      </c>
      <c r="R401" s="12">
        <f t="shared" ca="1" si="68"/>
        <v>0</v>
      </c>
      <c r="S401" s="12">
        <f t="shared" ca="1" si="69"/>
        <v>0</v>
      </c>
      <c r="T401" s="83">
        <f t="shared" ca="1" si="70"/>
        <v>0</v>
      </c>
      <c r="W401" s="1"/>
      <c r="Z401" s="6"/>
    </row>
    <row r="402" spans="1:26" x14ac:dyDescent="0.3">
      <c r="A402" s="11">
        <v>44531</v>
      </c>
      <c r="B402" s="94">
        <v>41224.26</v>
      </c>
      <c r="C402" s="97">
        <v>40107.83</v>
      </c>
      <c r="D402" s="109">
        <v>1116.43</v>
      </c>
      <c r="E402" s="109">
        <v>950.75</v>
      </c>
      <c r="F402" s="16">
        <f t="shared" ca="1" si="61"/>
        <v>638.38427243233059</v>
      </c>
      <c r="G402" s="12">
        <f t="shared" si="62"/>
        <v>9.1839999999999993</v>
      </c>
      <c r="H402" s="12">
        <f t="shared" si="63"/>
        <v>663.67933333333337</v>
      </c>
      <c r="I402" s="17" cm="1">
        <f t="array" ref="I402">IF(MONTH(A402) = LOOKUP(YEAR(A402), YEAR('CNY Dates'!A$2:A$34), 'CNY Dates'!B$2:B$34), LOOKUP(YEAR(A402), YEAR('Hongbao demand'!B$4:B$35), 'Hongbao demand'!F$4:F$35)  - O401, 0)</f>
        <v>0</v>
      </c>
      <c r="J402" s="18">
        <f t="shared" si="64"/>
        <v>-34.479060901002789</v>
      </c>
      <c r="K402" s="19">
        <v>42813.5</v>
      </c>
      <c r="L402" s="12">
        <v>1.0443899999999999</v>
      </c>
      <c r="M402" s="14">
        <v>1E-4</v>
      </c>
      <c r="N402" s="19">
        <f t="shared" ca="1" si="65"/>
        <v>312.36572756766941</v>
      </c>
      <c r="O402" s="12">
        <f t="shared" ca="1" si="67"/>
        <v>0</v>
      </c>
      <c r="P402" s="18">
        <f t="shared" ca="1" si="66"/>
        <v>0</v>
      </c>
      <c r="Q402" s="19">
        <f t="shared" ca="1" si="68"/>
        <v>0</v>
      </c>
      <c r="R402" s="12">
        <f t="shared" ca="1" si="68"/>
        <v>0</v>
      </c>
      <c r="S402" s="12">
        <f t="shared" ca="1" si="69"/>
        <v>0</v>
      </c>
      <c r="T402" s="83">
        <f t="shared" ca="1" si="70"/>
        <v>0</v>
      </c>
      <c r="W402" s="1"/>
      <c r="Z402" s="6"/>
    </row>
    <row r="403" spans="1:26" x14ac:dyDescent="0.3">
      <c r="A403" s="11">
        <v>44562</v>
      </c>
      <c r="B403" s="15">
        <f t="shared" ref="B403" ca="1" si="71">C403+D403</f>
        <v>41747.691722147807</v>
      </c>
      <c r="C403" s="98">
        <f t="shared" ref="C403" si="72">C402+E403-SUM(H403)</f>
        <v>40318.89599458014</v>
      </c>
      <c r="D403" s="12">
        <f t="shared" ref="D403" ca="1" si="73">MIN(MAX(D$1*C402, D402+N402), C402*D$2)</f>
        <v>1428.7957275676695</v>
      </c>
      <c r="E403" s="99">
        <v>879.52982791347301</v>
      </c>
      <c r="F403" s="16">
        <f t="shared" ca="1" si="61"/>
        <v>600.28409816673775</v>
      </c>
      <c r="G403" s="12">
        <f t="shared" si="62"/>
        <v>9.303583333333334</v>
      </c>
      <c r="H403" s="12">
        <f t="shared" si="63"/>
        <v>668.46383333333335</v>
      </c>
      <c r="I403" s="17" cm="1">
        <f t="array" ref="I403">IF(MONTH(A403) = LOOKUP(YEAR(A403), YEAR('CNY Dates'!A$2:A$34), 'CNY Dates'!B$2:B$34), LOOKUP(YEAR(A403), YEAR('Hongbao demand'!B$4:B$35), 'Hongbao demand'!F$4:F$35)  - O402, 0)</f>
        <v>0</v>
      </c>
      <c r="J403" s="18">
        <f t="shared" si="64"/>
        <v>-77.483318499928984</v>
      </c>
      <c r="K403" s="40">
        <f>_xlfn.FORECAST.ETS($A403, K$7:K$402,$A$7:$A$402, 1, 1)</f>
        <v>42384.453998364857</v>
      </c>
      <c r="L403" s="91">
        <v>1.0447199999999999</v>
      </c>
      <c r="M403" s="14">
        <v>1E-4</v>
      </c>
      <c r="N403" s="19">
        <f t="shared" ca="1" si="65"/>
        <v>279.24572974673526</v>
      </c>
      <c r="O403" s="12">
        <f t="shared" ca="1" si="67"/>
        <v>0</v>
      </c>
      <c r="P403" s="18">
        <f t="shared" ca="1" si="66"/>
        <v>0</v>
      </c>
      <c r="Q403" s="19">
        <f t="shared" ca="1" si="68"/>
        <v>0</v>
      </c>
      <c r="R403" s="12">
        <f t="shared" ca="1" si="68"/>
        <v>0</v>
      </c>
      <c r="S403" s="12">
        <f t="shared" ca="1" si="69"/>
        <v>0</v>
      </c>
      <c r="T403" s="83">
        <f t="shared" ca="1" si="70"/>
        <v>0</v>
      </c>
      <c r="W403" s="1"/>
    </row>
    <row r="404" spans="1:26" x14ac:dyDescent="0.3">
      <c r="A404" s="11">
        <v>44593</v>
      </c>
      <c r="B404" s="15">
        <f t="shared" ref="B404:B467" ca="1" si="74">C404+D404</f>
        <v>42237.791577667391</v>
      </c>
      <c r="C404" s="98">
        <f t="shared" ref="C404:C467" si="75">C403+E404-SUM(H404)</f>
        <v>40529.750120352983</v>
      </c>
      <c r="D404" s="12">
        <f t="shared" ref="D404:D467" ca="1" si="76">MIN(MAX(D$1*C403, D403+N403), C403*D$2)</f>
        <v>1708.0414573144049</v>
      </c>
      <c r="E404" s="99">
        <v>882.8357256825077</v>
      </c>
      <c r="F404" s="16">
        <f t="shared" ca="1" si="61"/>
        <v>709.96026728538493</v>
      </c>
      <c r="G404" s="12">
        <f t="shared" ca="1" si="62"/>
        <v>11.906631063063912</v>
      </c>
      <c r="H404" s="12">
        <f t="shared" si="63"/>
        <v>671.98159990966894</v>
      </c>
      <c r="I404" s="17" cm="1">
        <f t="array" aca="1" ref="I404" ca="1">IF(MONTH(A404) = LOOKUP(YEAR(A404), YEAR('CNY Dates'!A$2:A$34), 'CNY Dates'!B$2:B$34), LOOKUP(YEAR(A404), YEAR('Hongbao demand'!B$4:B$35), 'Hongbao demand'!F$4:F$35)  - O403, 0)</f>
        <v>10.512307141040388</v>
      </c>
      <c r="J404" s="18">
        <f t="shared" si="64"/>
        <v>15.559729171611755</v>
      </c>
      <c r="K404" s="40">
        <f t="shared" ref="K404:L510" si="77">_xlfn.FORECAST.ETS($A404, K$7:K$402,$A$7:$A$402, 1, 1)</f>
        <v>42549.318886685418</v>
      </c>
      <c r="L404" s="41">
        <f t="shared" si="77"/>
        <v>1.0465975972420696</v>
      </c>
      <c r="M404" s="14">
        <v>1E-4</v>
      </c>
      <c r="N404" s="19">
        <f t="shared" ca="1" si="65"/>
        <v>172.87545839712277</v>
      </c>
      <c r="O404" s="12">
        <f t="shared" ca="1" si="67"/>
        <v>34.575091679424553</v>
      </c>
      <c r="P404" s="18">
        <f t="shared" ca="1" si="66"/>
        <v>0</v>
      </c>
      <c r="Q404" s="19">
        <f t="shared" ca="1" si="68"/>
        <v>0</v>
      </c>
      <c r="R404" s="12">
        <f t="shared" ca="1" si="68"/>
        <v>0</v>
      </c>
      <c r="S404" s="12">
        <f t="shared" ca="1" si="69"/>
        <v>3.4575091679424554</v>
      </c>
      <c r="T404" s="83">
        <f t="shared" ca="1" si="70"/>
        <v>3.4575091679424554</v>
      </c>
      <c r="W404" s="1"/>
    </row>
    <row r="405" spans="1:26" x14ac:dyDescent="0.3">
      <c r="A405" s="11">
        <v>44621</v>
      </c>
      <c r="B405" s="15">
        <f t="shared" ca="1" si="74"/>
        <v>42621.312824176835</v>
      </c>
      <c r="C405" s="98">
        <f t="shared" si="75"/>
        <v>40740.395908465311</v>
      </c>
      <c r="D405" s="12">
        <f t="shared" ca="1" si="76"/>
        <v>1880.9169157115275</v>
      </c>
      <c r="E405" s="99">
        <v>886.1416234515425</v>
      </c>
      <c r="F405" s="16">
        <f t="shared" ca="1" si="61"/>
        <v>703.80205770942257</v>
      </c>
      <c r="G405" s="12">
        <f t="shared" ca="1" si="62"/>
        <v>14.233678810953373</v>
      </c>
      <c r="H405" s="12">
        <f t="shared" si="63"/>
        <v>675.49583533921634</v>
      </c>
      <c r="I405" s="17" cm="1">
        <f t="array" ref="I405">IF(MONTH(A405) = LOOKUP(YEAR(A405), YEAR('CNY Dates'!A$2:A$34), 'CNY Dates'!B$2:B$34), LOOKUP(YEAR(A405), YEAR('Hongbao demand'!B$4:B$35), 'Hongbao demand'!F$4:F$35)  - O404, 0)</f>
        <v>0</v>
      </c>
      <c r="J405" s="18">
        <f t="shared" si="64"/>
        <v>14.072543559252802</v>
      </c>
      <c r="K405" s="40">
        <f t="shared" si="77"/>
        <v>42674.486869056032</v>
      </c>
      <c r="L405" s="41">
        <f t="shared" si="77"/>
        <v>1.0477013958631043</v>
      </c>
      <c r="M405" s="14">
        <v>1E-4</v>
      </c>
      <c r="N405" s="19">
        <f t="shared" ca="1" si="65"/>
        <v>182.33956574211993</v>
      </c>
      <c r="O405" s="12">
        <f t="shared" ca="1" si="67"/>
        <v>34.286965915429349</v>
      </c>
      <c r="P405" s="18">
        <f t="shared" ca="1" si="66"/>
        <v>0</v>
      </c>
      <c r="Q405" s="19">
        <f t="shared" ca="1" si="68"/>
        <v>0</v>
      </c>
      <c r="R405" s="12">
        <f t="shared" ca="1" si="68"/>
        <v>0</v>
      </c>
      <c r="S405" s="12">
        <f t="shared" ca="1" si="69"/>
        <v>3.428696591542935</v>
      </c>
      <c r="T405" s="83">
        <f t="shared" ca="1" si="70"/>
        <v>3.428696591542935</v>
      </c>
      <c r="W405" s="1"/>
    </row>
    <row r="406" spans="1:26" x14ac:dyDescent="0.3">
      <c r="A406" s="11">
        <v>44652</v>
      </c>
      <c r="B406" s="15">
        <f t="shared" ca="1" si="74"/>
        <v>43014.093312665114</v>
      </c>
      <c r="C406" s="98">
        <f t="shared" si="75"/>
        <v>40950.836831211469</v>
      </c>
      <c r="D406" s="12">
        <f t="shared" ca="1" si="76"/>
        <v>2063.2564814536472</v>
      </c>
      <c r="E406" s="99">
        <v>889.44752122057719</v>
      </c>
      <c r="F406" s="16">
        <f t="shared" ca="1" si="61"/>
        <v>737.01700622554426</v>
      </c>
      <c r="G406" s="12">
        <f t="shared" ca="1" si="62"/>
        <v>15.674307630929396</v>
      </c>
      <c r="H406" s="12">
        <f t="shared" si="63"/>
        <v>679.00659847442182</v>
      </c>
      <c r="I406" s="17" cm="1">
        <f t="array" ref="I406">IF(MONTH(A406) = LOOKUP(YEAR(A406), YEAR('CNY Dates'!A$2:A$34), 'CNY Dates'!B$2:B$34), LOOKUP(YEAR(A406), YEAR('Hongbao demand'!B$4:B$35), 'Hongbao demand'!F$4:F$35)  - O405, 0)</f>
        <v>0</v>
      </c>
      <c r="J406" s="18">
        <f t="shared" si="64"/>
        <v>42.336100120193052</v>
      </c>
      <c r="K406" s="40">
        <f t="shared" si="77"/>
        <v>42961.457231834625</v>
      </c>
      <c r="L406" s="41">
        <f t="shared" si="77"/>
        <v>1.0488051944841392</v>
      </c>
      <c r="M406" s="14">
        <v>1E-4</v>
      </c>
      <c r="N406" s="19">
        <f t="shared" ca="1" si="65"/>
        <v>152.43051499503292</v>
      </c>
      <c r="O406" s="12">
        <f t="shared" ca="1" si="67"/>
        <v>34.001241199467437</v>
      </c>
      <c r="P406" s="18">
        <f t="shared" ca="1" si="66"/>
        <v>0</v>
      </c>
      <c r="Q406" s="19">
        <f t="shared" ca="1" si="68"/>
        <v>0</v>
      </c>
      <c r="R406" s="12">
        <f t="shared" ca="1" si="68"/>
        <v>0</v>
      </c>
      <c r="S406" s="12">
        <f t="shared" ca="1" si="69"/>
        <v>3.400124119946744</v>
      </c>
      <c r="T406" s="83">
        <f t="shared" ca="1" si="70"/>
        <v>3.400124119946744</v>
      </c>
    </row>
    <row r="407" spans="1:26" x14ac:dyDescent="0.3">
      <c r="A407" s="11">
        <v>44682</v>
      </c>
      <c r="B407" s="15">
        <f t="shared" ca="1" si="74"/>
        <v>43376.763299462902</v>
      </c>
      <c r="C407" s="98">
        <f t="shared" si="75"/>
        <v>41161.076303014219</v>
      </c>
      <c r="D407" s="12">
        <f t="shared" ca="1" si="76"/>
        <v>2215.68699644868</v>
      </c>
      <c r="E407" s="99">
        <v>892.75341898961199</v>
      </c>
      <c r="F407" s="16">
        <f t="shared" ca="1" si="61"/>
        <v>752.18679106138086</v>
      </c>
      <c r="G407" s="12">
        <f t="shared" ca="1" si="62"/>
        <v>17.193804012113727</v>
      </c>
      <c r="H407" s="12">
        <f t="shared" si="63"/>
        <v>682.51394718685776</v>
      </c>
      <c r="I407" s="17" cm="1">
        <f t="array" ref="I407">IF(MONTH(A407) = LOOKUP(YEAR(A407), YEAR('CNY Dates'!A$2:A$34), 'CNY Dates'!B$2:B$34), LOOKUP(YEAR(A407), YEAR('Hongbao demand'!B$4:B$35), 'Hongbao demand'!F$4:F$35)  - O406, 0)</f>
        <v>0</v>
      </c>
      <c r="J407" s="18">
        <f t="shared" si="64"/>
        <v>52.479039862409422</v>
      </c>
      <c r="K407" s="40">
        <f t="shared" si="77"/>
        <v>43307.611904156147</v>
      </c>
      <c r="L407" s="41">
        <f t="shared" si="77"/>
        <v>1.0499089931051739</v>
      </c>
      <c r="M407" s="14">
        <v>1E-4</v>
      </c>
      <c r="N407" s="19">
        <f t="shared" ca="1" si="65"/>
        <v>140.56662792823113</v>
      </c>
      <c r="O407" s="12">
        <f t="shared" ca="1" si="67"/>
        <v>33.71789752280521</v>
      </c>
      <c r="P407" s="18">
        <f t="shared" ca="1" si="66"/>
        <v>0</v>
      </c>
      <c r="Q407" s="19">
        <f t="shared" ca="1" si="68"/>
        <v>0</v>
      </c>
      <c r="R407" s="12">
        <f t="shared" ca="1" si="68"/>
        <v>0</v>
      </c>
      <c r="S407" s="12">
        <f t="shared" ca="1" si="69"/>
        <v>3.3717897522805211</v>
      </c>
      <c r="T407" s="83">
        <f t="shared" ca="1" si="70"/>
        <v>3.3717897522805211</v>
      </c>
    </row>
    <row r="408" spans="1:26" x14ac:dyDescent="0.3">
      <c r="A408" s="11">
        <v>44713</v>
      </c>
      <c r="B408" s="15">
        <f t="shared" ca="1" si="74"/>
        <v>43727.37130576621</v>
      </c>
      <c r="C408" s="98">
        <f t="shared" si="75"/>
        <v>41371.117681389296</v>
      </c>
      <c r="D408" s="12">
        <f t="shared" ca="1" si="76"/>
        <v>2356.2536243769109</v>
      </c>
      <c r="E408" s="99">
        <v>896.05931675864667</v>
      </c>
      <c r="F408" s="16">
        <f t="shared" ca="1" si="61"/>
        <v>691.53218143887182</v>
      </c>
      <c r="G408" s="12">
        <f t="shared" ca="1" si="62"/>
        <v>18.464058303739002</v>
      </c>
      <c r="H408" s="12">
        <f t="shared" si="63"/>
        <v>686.01793838357037</v>
      </c>
      <c r="I408" s="17" cm="1">
        <f t="array" ref="I408">IF(MONTH(A408) = LOOKUP(YEAR(A408), YEAR('CNY Dates'!A$2:A$34), 'CNY Dates'!B$2:B$34), LOOKUP(YEAR(A408), YEAR('Hongbao demand'!B$4:B$35), 'Hongbao demand'!F$4:F$35)  - O407, 0)</f>
        <v>0</v>
      </c>
      <c r="J408" s="18">
        <f t="shared" si="64"/>
        <v>-12.949815248437561</v>
      </c>
      <c r="K408" s="40">
        <f t="shared" si="77"/>
        <v>43278.784265678456</v>
      </c>
      <c r="L408" s="41">
        <f t="shared" si="77"/>
        <v>1.0510127917262089</v>
      </c>
      <c r="M408" s="14">
        <v>1E-4</v>
      </c>
      <c r="N408" s="19">
        <f t="shared" ca="1" si="65"/>
        <v>204.52713531977486</v>
      </c>
      <c r="O408" s="12">
        <f t="shared" ca="1" si="67"/>
        <v>33.436915043448501</v>
      </c>
      <c r="P408" s="18">
        <f t="shared" ca="1" si="66"/>
        <v>0</v>
      </c>
      <c r="Q408" s="19">
        <f t="shared" ca="1" si="68"/>
        <v>0</v>
      </c>
      <c r="R408" s="12">
        <f t="shared" ca="1" si="68"/>
        <v>0</v>
      </c>
      <c r="S408" s="12">
        <f t="shared" ca="1" si="69"/>
        <v>3.3436915043448501</v>
      </c>
      <c r="T408" s="83">
        <f t="shared" ca="1" si="70"/>
        <v>3.3436915043448501</v>
      </c>
    </row>
    <row r="409" spans="1:26" x14ac:dyDescent="0.3">
      <c r="A409" s="11">
        <v>44743</v>
      </c>
      <c r="B409" s="15">
        <f t="shared" ca="1" si="74"/>
        <v>44141.745027590507</v>
      </c>
      <c r="C409" s="98">
        <f t="shared" si="75"/>
        <v>41580.964267893818</v>
      </c>
      <c r="D409" s="12">
        <f t="shared" ca="1" si="76"/>
        <v>2560.7807596966859</v>
      </c>
      <c r="E409" s="99">
        <v>899.36521452768147</v>
      </c>
      <c r="F409" s="16">
        <f t="shared" ca="1" si="61"/>
        <v>807.6761821157977</v>
      </c>
      <c r="G409" s="12">
        <f t="shared" ca="1" si="62"/>
        <v>19.635446869807591</v>
      </c>
      <c r="H409" s="12">
        <f t="shared" si="63"/>
        <v>689.51862802315497</v>
      </c>
      <c r="I409" s="17" cm="1">
        <f t="array" ref="I409">IF(MONTH(A409) = LOOKUP(YEAR(A409), YEAR('CNY Dates'!A$2:A$34), 'CNY Dates'!B$2:B$34), LOOKUP(YEAR(A409), YEAR('Hongbao demand'!B$4:B$35), 'Hongbao demand'!F$4:F$35)  - O408, 0)</f>
        <v>0</v>
      </c>
      <c r="J409" s="18">
        <f t="shared" si="64"/>
        <v>98.522107222835203</v>
      </c>
      <c r="K409" s="40">
        <f t="shared" si="77"/>
        <v>43891.555271431956</v>
      </c>
      <c r="L409" s="41">
        <f t="shared" si="77"/>
        <v>1.0521165903472436</v>
      </c>
      <c r="M409" s="14">
        <v>1E-4</v>
      </c>
      <c r="N409" s="19">
        <f t="shared" ca="1" si="65"/>
        <v>91.689032411883773</v>
      </c>
      <c r="O409" s="12">
        <f t="shared" ca="1" si="67"/>
        <v>33.158274084753096</v>
      </c>
      <c r="P409" s="18">
        <f t="shared" ca="1" si="66"/>
        <v>0</v>
      </c>
      <c r="Q409" s="19">
        <f t="shared" ca="1" si="68"/>
        <v>0</v>
      </c>
      <c r="R409" s="12">
        <f t="shared" ca="1" si="68"/>
        <v>0</v>
      </c>
      <c r="S409" s="12">
        <f t="shared" ca="1" si="69"/>
        <v>3.3158274084753097</v>
      </c>
      <c r="T409" s="83">
        <f t="shared" ca="1" si="70"/>
        <v>3.3158274084753097</v>
      </c>
    </row>
    <row r="410" spans="1:26" x14ac:dyDescent="0.3">
      <c r="A410" s="11">
        <v>44774</v>
      </c>
      <c r="B410" s="15">
        <f t="shared" ca="1" si="74"/>
        <v>44443.089101167541</v>
      </c>
      <c r="C410" s="98">
        <f t="shared" si="75"/>
        <v>41790.619309058973</v>
      </c>
      <c r="D410" s="12">
        <f t="shared" ca="1" si="76"/>
        <v>2652.4697921085699</v>
      </c>
      <c r="E410" s="99">
        <v>902.67111229671616</v>
      </c>
      <c r="F410" s="16">
        <f t="shared" ca="1" si="61"/>
        <v>669.22755572044696</v>
      </c>
      <c r="G410" s="12">
        <f t="shared" ca="1" si="62"/>
        <v>21.339839664139049</v>
      </c>
      <c r="H410" s="12">
        <f t="shared" si="63"/>
        <v>693.01607113156365</v>
      </c>
      <c r="I410" s="17" cm="1">
        <f t="array" ref="I410">IF(MONTH(A410) = LOOKUP(YEAR(A410), YEAR('CNY Dates'!A$2:A$34), 'CNY Dates'!B$2:B$34), LOOKUP(YEAR(A410), YEAR('Hongbao demand'!B$4:B$35), 'Hongbao demand'!F$4:F$35)  - O409, 0)</f>
        <v>0</v>
      </c>
      <c r="J410" s="18">
        <f t="shared" si="64"/>
        <v>-45.12835507525574</v>
      </c>
      <c r="K410" s="40">
        <f t="shared" si="77"/>
        <v>43677.282384102393</v>
      </c>
      <c r="L410" s="41">
        <f t="shared" si="77"/>
        <v>1.0532203889682785</v>
      </c>
      <c r="M410" s="14">
        <v>1E-4</v>
      </c>
      <c r="N410" s="19">
        <f t="shared" ca="1" si="65"/>
        <v>233.4435565762692</v>
      </c>
      <c r="O410" s="12">
        <f t="shared" ca="1" si="67"/>
        <v>32.881955134046819</v>
      </c>
      <c r="P410" s="18">
        <f t="shared" ca="1" si="66"/>
        <v>0</v>
      </c>
      <c r="Q410" s="19">
        <f t="shared" ca="1" si="68"/>
        <v>0</v>
      </c>
      <c r="R410" s="12">
        <f t="shared" ca="1" si="68"/>
        <v>0</v>
      </c>
      <c r="S410" s="12">
        <f t="shared" ca="1" si="69"/>
        <v>3.2881955134046823</v>
      </c>
      <c r="T410" s="83">
        <f t="shared" ca="1" si="70"/>
        <v>3.2881955134046823</v>
      </c>
    </row>
    <row r="411" spans="1:26" x14ac:dyDescent="0.3">
      <c r="A411" s="11">
        <v>44805</v>
      </c>
      <c r="B411" s="15">
        <f t="shared" ca="1" si="74"/>
        <v>44885.999345991906</v>
      </c>
      <c r="C411" s="98">
        <f t="shared" si="75"/>
        <v>42000.085997307069</v>
      </c>
      <c r="D411" s="12">
        <f t="shared" ca="1" si="76"/>
        <v>2885.9133486848391</v>
      </c>
      <c r="E411" s="99">
        <v>905.97701006575096</v>
      </c>
      <c r="F411" s="16">
        <f t="shared" ca="1" si="61"/>
        <v>705.21628632537261</v>
      </c>
      <c r="G411" s="12">
        <f t="shared" ca="1" si="62"/>
        <v>22.103914934238084</v>
      </c>
      <c r="H411" s="12">
        <f t="shared" si="63"/>
        <v>696.51032181764958</v>
      </c>
      <c r="I411" s="17" cm="1">
        <f t="array" ref="I411">IF(MONTH(A411) = LOOKUP(YEAR(A411), YEAR('CNY Dates'!A$2:A$34), 'CNY Dates'!B$2:B$34), LOOKUP(YEAR(A411), YEAR('Hongbao demand'!B$4:B$35), 'Hongbao demand'!F$4:F$35)  - O410, 0)</f>
        <v>0</v>
      </c>
      <c r="J411" s="18">
        <f t="shared" si="64"/>
        <v>-13.397950426515072</v>
      </c>
      <c r="K411" s="40">
        <f t="shared" si="77"/>
        <v>43645.920668848237</v>
      </c>
      <c r="L411" s="41">
        <f t="shared" si="77"/>
        <v>1.0543241875893132</v>
      </c>
      <c r="M411" s="14">
        <v>1E-4</v>
      </c>
      <c r="N411" s="19">
        <f t="shared" ca="1" si="65"/>
        <v>200.76072374037835</v>
      </c>
      <c r="O411" s="12">
        <f t="shared" ca="1" si="67"/>
        <v>32.607938841263099</v>
      </c>
      <c r="P411" s="18">
        <f t="shared" ca="1" si="66"/>
        <v>0</v>
      </c>
      <c r="Q411" s="19">
        <f t="shared" ca="1" si="68"/>
        <v>0</v>
      </c>
      <c r="R411" s="12">
        <f t="shared" ca="1" si="68"/>
        <v>0</v>
      </c>
      <c r="S411" s="12">
        <f t="shared" ca="1" si="69"/>
        <v>3.26079388412631</v>
      </c>
      <c r="T411" s="83">
        <f t="shared" ca="1" si="70"/>
        <v>3.26079388412631</v>
      </c>
    </row>
    <row r="412" spans="1:26" x14ac:dyDescent="0.3">
      <c r="A412" s="11">
        <v>44835</v>
      </c>
      <c r="B412" s="15">
        <f t="shared" ca="1" si="74"/>
        <v>45296.041544278618</v>
      </c>
      <c r="C412" s="98">
        <f t="shared" si="75"/>
        <v>42209.367471853402</v>
      </c>
      <c r="D412" s="12">
        <f t="shared" ca="1" si="76"/>
        <v>3086.6740724252177</v>
      </c>
      <c r="E412" s="99">
        <v>909.28290783478565</v>
      </c>
      <c r="F412" s="16">
        <f t="shared" ca="1" si="61"/>
        <v>839.06735600216393</v>
      </c>
      <c r="G412" s="12">
        <f t="shared" ca="1" si="62"/>
        <v>24.049277905706994</v>
      </c>
      <c r="H412" s="12">
        <f t="shared" si="63"/>
        <v>700.00143328845115</v>
      </c>
      <c r="I412" s="17" cm="1">
        <f t="array" ref="I412">IF(MONTH(A412) = LOOKUP(YEAR(A412), YEAR('CNY Dates'!A$2:A$34), 'CNY Dates'!B$2:B$34), LOOKUP(YEAR(A412), YEAR('Hongbao demand'!B$4:B$35), 'Hongbao demand'!F$4:F$35)  - O411, 0)</f>
        <v>0</v>
      </c>
      <c r="J412" s="18">
        <f t="shared" si="64"/>
        <v>115.01664480800576</v>
      </c>
      <c r="K412" s="40">
        <f t="shared" si="77"/>
        <v>44356.018533606999</v>
      </c>
      <c r="L412" s="41">
        <f t="shared" si="77"/>
        <v>1.0554279862103482</v>
      </c>
      <c r="M412" s="14">
        <v>1E-4</v>
      </c>
      <c r="N412" s="19">
        <f t="shared" ca="1" si="65"/>
        <v>70.215551832621713</v>
      </c>
      <c r="O412" s="12">
        <f t="shared" ca="1" si="67"/>
        <v>32.336206017585909</v>
      </c>
      <c r="P412" s="18">
        <f t="shared" ca="1" si="66"/>
        <v>0</v>
      </c>
      <c r="Q412" s="19">
        <f t="shared" ca="1" si="68"/>
        <v>0</v>
      </c>
      <c r="R412" s="12">
        <f t="shared" ca="1" si="68"/>
        <v>0</v>
      </c>
      <c r="S412" s="12">
        <f t="shared" ca="1" si="69"/>
        <v>3.2336206017585911</v>
      </c>
      <c r="T412" s="83">
        <f t="shared" ca="1" si="70"/>
        <v>3.2336206017585911</v>
      </c>
    </row>
    <row r="413" spans="1:26" x14ac:dyDescent="0.3">
      <c r="A413" s="11">
        <v>44866</v>
      </c>
      <c r="B413" s="15">
        <f t="shared" ca="1" si="74"/>
        <v>45575.35644385084</v>
      </c>
      <c r="C413" s="98">
        <f t="shared" si="75"/>
        <v>42418.466819592999</v>
      </c>
      <c r="D413" s="12">
        <f t="shared" ca="1" si="76"/>
        <v>3156.8896242578394</v>
      </c>
      <c r="E413" s="99">
        <v>912.58880560382045</v>
      </c>
      <c r="F413" s="16">
        <f t="shared" ca="1" si="61"/>
        <v>667.97155842986467</v>
      </c>
      <c r="G413" s="12">
        <f t="shared" ca="1" si="62"/>
        <v>25.722283936876813</v>
      </c>
      <c r="H413" s="12">
        <f t="shared" si="63"/>
        <v>703.48945786422337</v>
      </c>
      <c r="I413" s="17" cm="1">
        <f t="array" ref="I413">IF(MONTH(A413) = LOOKUP(YEAR(A413), YEAR('CNY Dates'!A$2:A$34), 'CNY Dates'!B$2:B$34), LOOKUP(YEAR(A413), YEAR('Hongbao demand'!B$4:B$35), 'Hongbao demand'!F$4:F$35)  - O412, 0)</f>
        <v>0</v>
      </c>
      <c r="J413" s="18">
        <f t="shared" si="64"/>
        <v>-61.240183371235524</v>
      </c>
      <c r="K413" s="40">
        <f t="shared" si="77"/>
        <v>44048.023246339879</v>
      </c>
      <c r="L413" s="41">
        <f t="shared" si="77"/>
        <v>1.0565317848313829</v>
      </c>
      <c r="M413" s="14">
        <v>1E-4</v>
      </c>
      <c r="N413" s="19">
        <f t="shared" ca="1" si="65"/>
        <v>244.61724717395577</v>
      </c>
      <c r="O413" s="12">
        <f t="shared" ca="1" si="67"/>
        <v>32.066737634106026</v>
      </c>
      <c r="P413" s="18">
        <f t="shared" ca="1" si="66"/>
        <v>0</v>
      </c>
      <c r="Q413" s="19">
        <f t="shared" ca="1" si="68"/>
        <v>0</v>
      </c>
      <c r="R413" s="12">
        <f t="shared" ca="1" si="68"/>
        <v>0</v>
      </c>
      <c r="S413" s="12">
        <f t="shared" ca="1" si="69"/>
        <v>3.2066737634106026</v>
      </c>
      <c r="T413" s="83">
        <f t="shared" ca="1" si="70"/>
        <v>3.2066737634106026</v>
      </c>
    </row>
    <row r="414" spans="1:26" x14ac:dyDescent="0.3">
      <c r="A414" s="11">
        <v>44896</v>
      </c>
      <c r="B414" s="15">
        <f t="shared" ca="1" si="74"/>
        <v>46028.893947404431</v>
      </c>
      <c r="C414" s="98">
        <f t="shared" si="75"/>
        <v>42627.387075972634</v>
      </c>
      <c r="D414" s="12">
        <f t="shared" ca="1" si="76"/>
        <v>3401.5068714317949</v>
      </c>
      <c r="E414" s="99">
        <v>915.89470337285525</v>
      </c>
      <c r="F414" s="16">
        <f t="shared" ca="1" si="61"/>
        <v>705.80256821974251</v>
      </c>
      <c r="G414" s="12">
        <f t="shared" ca="1" si="62"/>
        <v>26.307413535481995</v>
      </c>
      <c r="H414" s="12">
        <f t="shared" si="63"/>
        <v>706.9744469932167</v>
      </c>
      <c r="I414" s="17" cm="1">
        <f t="array" ref="I414">IF(MONTH(A414) = LOOKUP(YEAR(A414), YEAR('CNY Dates'!A$2:A$34), 'CNY Dates'!B$2:B$34), LOOKUP(YEAR(A414), YEAR('Hongbao demand'!B$4:B$35), 'Hongbao demand'!F$4:F$35)  - O413, 0)</f>
        <v>0</v>
      </c>
      <c r="J414" s="18">
        <f t="shared" si="64"/>
        <v>-27.479292308956108</v>
      </c>
      <c r="K414" s="40">
        <f t="shared" si="77"/>
        <v>43935.486300855628</v>
      </c>
      <c r="L414" s="41">
        <f t="shared" si="77"/>
        <v>1.0576355834524176</v>
      </c>
      <c r="M414" s="14">
        <v>1E-4</v>
      </c>
      <c r="N414" s="19">
        <f t="shared" ca="1" si="65"/>
        <v>210.09213515311274</v>
      </c>
      <c r="O414" s="12">
        <f t="shared" ca="1" si="67"/>
        <v>31.799514820488476</v>
      </c>
      <c r="P414" s="18">
        <f t="shared" ca="1" si="66"/>
        <v>0</v>
      </c>
      <c r="Q414" s="19">
        <f t="shared" ca="1" si="68"/>
        <v>0</v>
      </c>
      <c r="R414" s="12">
        <f t="shared" ca="1" si="68"/>
        <v>0</v>
      </c>
      <c r="S414" s="12">
        <f t="shared" ca="1" si="69"/>
        <v>3.1799514820488479</v>
      </c>
      <c r="T414" s="83">
        <f t="shared" ca="1" si="70"/>
        <v>3.1799514820488479</v>
      </c>
    </row>
    <row r="415" spans="1:26" x14ac:dyDescent="0.3">
      <c r="A415" s="11">
        <v>44927</v>
      </c>
      <c r="B415" s="15">
        <f t="shared" ca="1" si="74"/>
        <v>46447.730232433227</v>
      </c>
      <c r="C415" s="98">
        <f t="shared" si="75"/>
        <v>42836.131225848316</v>
      </c>
      <c r="D415" s="12">
        <f t="shared" ca="1" si="76"/>
        <v>3611.5990065849078</v>
      </c>
      <c r="E415" s="99">
        <v>919.20060114188993</v>
      </c>
      <c r="F415" s="16">
        <f t="shared" ca="1" si="61"/>
        <v>656.22159367868915</v>
      </c>
      <c r="G415" s="12">
        <f t="shared" ca="1" si="62"/>
        <v>28.345890595264958</v>
      </c>
      <c r="H415" s="12">
        <f t="shared" si="63"/>
        <v>710.45645126621059</v>
      </c>
      <c r="I415" s="17" cm="1">
        <f t="array" ref="I415">IF(MONTH(A415) = LOOKUP(YEAR(A415), YEAR('CNY Dates'!A$2:A$34), 'CNY Dates'!B$2:B$34), LOOKUP(YEAR(A415), YEAR('Hongbao demand'!B$4:B$35), 'Hongbao demand'!F$4:F$35)  - O414, 0)</f>
        <v>0</v>
      </c>
      <c r="J415" s="18">
        <f t="shared" si="64"/>
        <v>-82.580748182786365</v>
      </c>
      <c r="K415" s="40">
        <f t="shared" si="77"/>
        <v>43506.565721795145</v>
      </c>
      <c r="L415" s="41">
        <f t="shared" si="77"/>
        <v>1.0587393820734525</v>
      </c>
      <c r="M415" s="14">
        <v>1E-4</v>
      </c>
      <c r="N415" s="19">
        <f t="shared" ca="1" si="65"/>
        <v>262.97900746320079</v>
      </c>
      <c r="O415" s="12">
        <f t="shared" ca="1" si="67"/>
        <v>31.534518863651069</v>
      </c>
      <c r="P415" s="18">
        <f t="shared" ca="1" si="66"/>
        <v>0</v>
      </c>
      <c r="Q415" s="19">
        <f t="shared" ca="1" si="68"/>
        <v>0</v>
      </c>
      <c r="R415" s="12">
        <f t="shared" ca="1" si="68"/>
        <v>0</v>
      </c>
      <c r="S415" s="12">
        <f t="shared" ca="1" si="69"/>
        <v>3.1534518863651071</v>
      </c>
      <c r="T415" s="83">
        <f t="shared" ca="1" si="70"/>
        <v>3.1534518863651071</v>
      </c>
    </row>
    <row r="416" spans="1:26" x14ac:dyDescent="0.3">
      <c r="A416" s="11">
        <v>44958</v>
      </c>
      <c r="B416" s="15">
        <f t="shared" ca="1" si="74"/>
        <v>46919.280218376538</v>
      </c>
      <c r="C416" s="98">
        <f t="shared" si="75"/>
        <v>43044.702204328431</v>
      </c>
      <c r="D416" s="12">
        <f t="shared" ca="1" si="76"/>
        <v>3874.5780140481083</v>
      </c>
      <c r="E416" s="99">
        <v>922.50649891092473</v>
      </c>
      <c r="F416" s="16">
        <f t="shared" ca="1" si="61"/>
        <v>743.83889023894881</v>
      </c>
      <c r="G416" s="12">
        <f t="shared" ca="1" si="62"/>
        <v>30.096658388207565</v>
      </c>
      <c r="H416" s="12">
        <f t="shared" si="63"/>
        <v>713.93552043080524</v>
      </c>
      <c r="I416" s="17" cm="1">
        <f t="array" aca="1" ref="I416" ca="1">IF(MONTH(A416) = LOOKUP(YEAR(A416), YEAR('CNY Dates'!A$2:A$34), 'CNY Dates'!B$2:B$34), LOOKUP(YEAR(A416), YEAR('Hongbao demand'!B$4:B$35), 'Hongbao demand'!F$4:F$35)  - O415, 0)</f>
        <v>-21.022211722610681</v>
      </c>
      <c r="J416" s="18">
        <f t="shared" si="64"/>
        <v>20.828923142546728</v>
      </c>
      <c r="K416" s="40">
        <f t="shared" si="77"/>
        <v>43671.430610115705</v>
      </c>
      <c r="L416" s="41">
        <f t="shared" si="77"/>
        <v>1.0598431806944872</v>
      </c>
      <c r="M416" s="14">
        <v>1E-4</v>
      </c>
      <c r="N416" s="19">
        <f t="shared" ca="1" si="65"/>
        <v>178.66760867197593</v>
      </c>
      <c r="O416" s="12">
        <f t="shared" ca="1" si="67"/>
        <v>35.73352173439519</v>
      </c>
      <c r="P416" s="18">
        <f t="shared" ca="1" si="66"/>
        <v>0</v>
      </c>
      <c r="Q416" s="19">
        <f t="shared" ca="1" si="68"/>
        <v>0</v>
      </c>
      <c r="R416" s="12">
        <f t="shared" ca="1" si="68"/>
        <v>0</v>
      </c>
      <c r="S416" s="12">
        <f t="shared" ca="1" si="69"/>
        <v>3.5733521734395191</v>
      </c>
      <c r="T416" s="83">
        <f t="shared" ca="1" si="70"/>
        <v>3.5733521734395191</v>
      </c>
    </row>
    <row r="417" spans="1:20" x14ac:dyDescent="0.3">
      <c r="A417" s="11">
        <v>44986</v>
      </c>
      <c r="B417" s="15">
        <f t="shared" ca="1" si="74"/>
        <v>47306.348520323001</v>
      </c>
      <c r="C417" s="98">
        <f t="shared" si="75"/>
        <v>43253.102897602919</v>
      </c>
      <c r="D417" s="12">
        <f t="shared" ca="1" si="76"/>
        <v>4053.2456227200842</v>
      </c>
      <c r="E417" s="99">
        <v>925.81239667995942</v>
      </c>
      <c r="F417" s="16">
        <f t="shared" ca="1" si="61"/>
        <v>763.57245088443779</v>
      </c>
      <c r="G417" s="12">
        <f t="shared" ca="1" si="62"/>
        <v>32.288150117067566</v>
      </c>
      <c r="H417" s="12">
        <f t="shared" si="63"/>
        <v>717.41170340547387</v>
      </c>
      <c r="I417" s="17" cm="1">
        <f t="array" ref="I417">IF(MONTH(A417) = LOOKUP(YEAR(A417), YEAR('CNY Dates'!A$2:A$34), 'CNY Dates'!B$2:B$34), LOOKUP(YEAR(A417), YEAR('Hongbao demand'!B$4:B$35), 'Hongbao demand'!F$4:F$35)  - O416, 0)</f>
        <v>0</v>
      </c>
      <c r="J417" s="18">
        <f t="shared" si="64"/>
        <v>13.872597361896448</v>
      </c>
      <c r="K417" s="40">
        <f t="shared" si="77"/>
        <v>43796.598592486327</v>
      </c>
      <c r="L417" s="41">
        <f t="shared" si="77"/>
        <v>1.0609469793155222</v>
      </c>
      <c r="M417" s="14">
        <v>1E-4</v>
      </c>
      <c r="N417" s="19">
        <f t="shared" ca="1" si="65"/>
        <v>162.23994579552163</v>
      </c>
      <c r="O417" s="12">
        <f t="shared" ca="1" si="67"/>
        <v>35.435742386608567</v>
      </c>
      <c r="P417" s="18">
        <f t="shared" ca="1" si="66"/>
        <v>0</v>
      </c>
      <c r="Q417" s="19">
        <f t="shared" ca="1" si="68"/>
        <v>0</v>
      </c>
      <c r="R417" s="12">
        <f t="shared" ca="1" si="68"/>
        <v>0</v>
      </c>
      <c r="S417" s="12">
        <f t="shared" ca="1" si="69"/>
        <v>3.5435742386608569</v>
      </c>
      <c r="T417" s="83">
        <f t="shared" ca="1" si="70"/>
        <v>3.5435742386608569</v>
      </c>
    </row>
    <row r="418" spans="1:20" x14ac:dyDescent="0.3">
      <c r="A418" s="11">
        <v>45017</v>
      </c>
      <c r="B418" s="15">
        <f t="shared" ca="1" si="74"/>
        <v>47676.821712274133</v>
      </c>
      <c r="C418" s="98">
        <f t="shared" si="75"/>
        <v>43461.336143758526</v>
      </c>
      <c r="D418" s="12">
        <f t="shared" ca="1" si="76"/>
        <v>4215.4855685156053</v>
      </c>
      <c r="E418" s="99">
        <v>929.11829444899422</v>
      </c>
      <c r="F418" s="16">
        <f t="shared" ca="1" si="61"/>
        <v>796.61200116329496</v>
      </c>
      <c r="G418" s="12">
        <f t="shared" ca="1" si="62"/>
        <v>33.777046856000702</v>
      </c>
      <c r="H418" s="12">
        <f t="shared" si="63"/>
        <v>720.88504829338194</v>
      </c>
      <c r="I418" s="17" cm="1">
        <f t="array" ref="I418">IF(MONTH(A418) = LOOKUP(YEAR(A418), YEAR('CNY Dates'!A$2:A$34), 'CNY Dates'!B$2:B$34), LOOKUP(YEAR(A418), YEAR('Hongbao demand'!B$4:B$35), 'Hongbao demand'!F$4:F$35)  - O417, 0)</f>
        <v>0</v>
      </c>
      <c r="J418" s="18">
        <f t="shared" si="64"/>
        <v>41.949906013912425</v>
      </c>
      <c r="K418" s="40">
        <f t="shared" si="77"/>
        <v>44083.568955264913</v>
      </c>
      <c r="L418" s="41">
        <f t="shared" si="77"/>
        <v>1.0620507779365569</v>
      </c>
      <c r="M418" s="14">
        <v>1E-4</v>
      </c>
      <c r="N418" s="19">
        <f t="shared" ca="1" si="65"/>
        <v>132.50629328569926</v>
      </c>
      <c r="O418" s="12">
        <f t="shared" ca="1" si="67"/>
        <v>35.140444533386827</v>
      </c>
      <c r="P418" s="18">
        <f t="shared" ca="1" si="66"/>
        <v>1.8582474254517365</v>
      </c>
      <c r="Q418" s="19">
        <f t="shared" ca="1" si="68"/>
        <v>0.27873711381776045</v>
      </c>
      <c r="R418" s="12">
        <f t="shared" ca="1" si="68"/>
        <v>0.37164948509034734</v>
      </c>
      <c r="S418" s="12">
        <f t="shared" ca="1" si="69"/>
        <v>3.5140444533386828</v>
      </c>
      <c r="T418" s="83">
        <f t="shared" ca="1" si="70"/>
        <v>4.1644310522467904</v>
      </c>
    </row>
    <row r="419" spans="1:20" x14ac:dyDescent="0.3">
      <c r="A419" s="11">
        <v>45047</v>
      </c>
      <c r="B419" s="15">
        <f t="shared" ca="1" si="74"/>
        <v>48015.538347956433</v>
      </c>
      <c r="C419" s="98">
        <f t="shared" si="75"/>
        <v>43669.404733580581</v>
      </c>
      <c r="D419" s="12">
        <f t="shared" ca="1" si="76"/>
        <v>4346.1336143758526</v>
      </c>
      <c r="E419" s="99">
        <v>932.42419221802891</v>
      </c>
      <c r="F419" s="16">
        <f t="shared" ca="1" si="61"/>
        <v>811.51572880061633</v>
      </c>
      <c r="G419" s="12">
        <f t="shared" ca="1" si="62"/>
        <v>35.129046404296709</v>
      </c>
      <c r="H419" s="12">
        <f t="shared" si="63"/>
        <v>724.35560239597544</v>
      </c>
      <c r="I419" s="17" cm="1">
        <f t="array" ref="I419">IF(MONTH(A419) = LOOKUP(YEAR(A419), YEAR('CNY Dates'!A$2:A$34), 'CNY Dates'!B$2:B$34), LOOKUP(YEAR(A419), YEAR('Hongbao demand'!B$4:B$35), 'Hongbao demand'!F$4:F$35)  - O418, 0)</f>
        <v>0</v>
      </c>
      <c r="J419" s="18">
        <f t="shared" si="64"/>
        <v>52.03108000034424</v>
      </c>
      <c r="K419" s="40">
        <f t="shared" si="77"/>
        <v>44429.723627586434</v>
      </c>
      <c r="L419" s="41">
        <f t="shared" si="77"/>
        <v>1.0631545765575918</v>
      </c>
      <c r="M419" s="14">
        <v>1E-4</v>
      </c>
      <c r="N419" s="19">
        <f t="shared" ca="1" si="65"/>
        <v>120.90846341741258</v>
      </c>
      <c r="O419" s="12">
        <f t="shared" ca="1" si="67"/>
        <v>34.847607495608599</v>
      </c>
      <c r="P419" s="18">
        <f t="shared" ca="1" si="66"/>
        <v>100.10160443520635</v>
      </c>
      <c r="Q419" s="19">
        <f t="shared" ca="1" si="68"/>
        <v>15.015240665280952</v>
      </c>
      <c r="R419" s="12">
        <f t="shared" ca="1" si="68"/>
        <v>20.020320887041272</v>
      </c>
      <c r="S419" s="12">
        <f t="shared" ca="1" si="69"/>
        <v>3.4847607495608601</v>
      </c>
      <c r="T419" s="83">
        <f t="shared" ca="1" si="70"/>
        <v>38.520322301883084</v>
      </c>
    </row>
    <row r="420" spans="1:20" x14ac:dyDescent="0.3">
      <c r="A420" s="11">
        <v>45078</v>
      </c>
      <c r="B420" s="15">
        <f t="shared" ca="1" si="74"/>
        <v>48244.251884699355</v>
      </c>
      <c r="C420" s="98">
        <f t="shared" si="75"/>
        <v>43877.311411341296</v>
      </c>
      <c r="D420" s="12">
        <f t="shared" ca="1" si="76"/>
        <v>4366.9404733580586</v>
      </c>
      <c r="E420" s="99">
        <v>935.73008998706371</v>
      </c>
      <c r="F420" s="16">
        <f t="shared" ca="1" si="61"/>
        <v>751.07222784504211</v>
      </c>
      <c r="G420" s="12">
        <f t="shared" ca="1" si="62"/>
        <v>36.217780119798775</v>
      </c>
      <c r="H420" s="12">
        <f t="shared" si="63"/>
        <v>727.82341222634307</v>
      </c>
      <c r="I420" s="17" cm="1">
        <f t="array" ref="I420">IF(MONTH(A420) = LOOKUP(YEAR(A420), YEAR('CNY Dates'!A$2:A$34), 'CNY Dates'!B$2:B$34), LOOKUP(YEAR(A420), YEAR('Hongbao demand'!B$4:B$35), 'Hongbao demand'!F$4:F$35)  - O419, 0)</f>
        <v>0</v>
      </c>
      <c r="J420" s="18">
        <f t="shared" si="64"/>
        <v>-12.968964501099727</v>
      </c>
      <c r="K420" s="40">
        <f t="shared" si="77"/>
        <v>44400.895989108743</v>
      </c>
      <c r="L420" s="41">
        <f t="shared" si="77"/>
        <v>1.0642583751786265</v>
      </c>
      <c r="M420" s="14">
        <v>1E-4</v>
      </c>
      <c r="N420" s="19">
        <f t="shared" ca="1" si="65"/>
        <v>184.6578621420216</v>
      </c>
      <c r="O420" s="12">
        <f t="shared" ca="1" si="67"/>
        <v>34.557210766478526</v>
      </c>
      <c r="P420" s="18">
        <f t="shared" ca="1" si="66"/>
        <v>163.86719436595013</v>
      </c>
      <c r="Q420" s="19">
        <f t="shared" ca="1" si="68"/>
        <v>24.58007915489252</v>
      </c>
      <c r="R420" s="12">
        <f t="shared" ca="1" si="68"/>
        <v>32.773438873190024</v>
      </c>
      <c r="S420" s="12">
        <f t="shared" ca="1" si="69"/>
        <v>3.455721076647853</v>
      </c>
      <c r="T420" s="83">
        <f t="shared" ca="1" si="70"/>
        <v>60.809239104730402</v>
      </c>
    </row>
    <row r="421" spans="1:20" x14ac:dyDescent="0.3">
      <c r="A421" s="11">
        <v>45108</v>
      </c>
      <c r="B421" s="15">
        <f t="shared" ca="1" si="74"/>
        <v>48472.790016709165</v>
      </c>
      <c r="C421" s="98">
        <f t="shared" si="75"/>
        <v>44085.058875575036</v>
      </c>
      <c r="D421" s="12">
        <f t="shared" ca="1" si="76"/>
        <v>4387.7311411341298</v>
      </c>
      <c r="E421" s="99">
        <v>939.03598775609839</v>
      </c>
      <c r="F421" s="16">
        <f t="shared" ca="1" si="61"/>
        <v>865.46504486633944</v>
      </c>
      <c r="G421" s="12">
        <f t="shared" ca="1" si="62"/>
        <v>36.391170611317158</v>
      </c>
      <c r="H421" s="12">
        <f t="shared" si="63"/>
        <v>731.28852352235492</v>
      </c>
      <c r="I421" s="17" cm="1">
        <f t="array" ref="I421">IF(MONTH(A421) = LOOKUP(YEAR(A421), YEAR('CNY Dates'!A$2:A$34), 'CNY Dates'!B$2:B$34), LOOKUP(YEAR(A421), YEAR('Hongbao demand'!B$4:B$35), 'Hongbao demand'!F$4:F$35)  - O420, 0)</f>
        <v>0</v>
      </c>
      <c r="J421" s="18">
        <f t="shared" si="64"/>
        <v>97.785350732667311</v>
      </c>
      <c r="K421" s="40">
        <f t="shared" si="77"/>
        <v>45013.666994862251</v>
      </c>
      <c r="L421" s="41">
        <f t="shared" si="77"/>
        <v>1.0653621737996615</v>
      </c>
      <c r="M421" s="14">
        <v>1E-4</v>
      </c>
      <c r="N421" s="19">
        <f t="shared" ca="1" si="65"/>
        <v>73.570942889758953</v>
      </c>
      <c r="O421" s="12">
        <f t="shared" ca="1" si="67"/>
        <v>34.269234010091203</v>
      </c>
      <c r="P421" s="18">
        <f t="shared" ca="1" si="66"/>
        <v>52.796196466384572</v>
      </c>
      <c r="Q421" s="19">
        <f t="shared" ca="1" si="68"/>
        <v>7.9194294699576853</v>
      </c>
      <c r="R421" s="12">
        <f t="shared" ca="1" si="68"/>
        <v>10.559239293276915</v>
      </c>
      <c r="S421" s="12">
        <f t="shared" ca="1" si="69"/>
        <v>3.4269234010091205</v>
      </c>
      <c r="T421" s="83">
        <f t="shared" ca="1" si="70"/>
        <v>21.905592164243721</v>
      </c>
    </row>
    <row r="422" spans="1:20" x14ac:dyDescent="0.3">
      <c r="A422" s="11">
        <v>45139</v>
      </c>
      <c r="B422" s="15">
        <f t="shared" ca="1" si="74"/>
        <v>48701.155667398096</v>
      </c>
      <c r="C422" s="98">
        <f t="shared" si="75"/>
        <v>44292.649779840591</v>
      </c>
      <c r="D422" s="12">
        <f t="shared" ca="1" si="76"/>
        <v>4408.5058875575041</v>
      </c>
      <c r="E422" s="99">
        <v>942.34188552513319</v>
      </c>
      <c r="F422" s="16">
        <f t="shared" ca="1" si="61"/>
        <v>726.37332844287562</v>
      </c>
      <c r="G422" s="12">
        <f t="shared" ca="1" si="62"/>
        <v>36.564426176117749</v>
      </c>
      <c r="H422" s="12">
        <f t="shared" si="63"/>
        <v>734.75098125958391</v>
      </c>
      <c r="I422" s="17" cm="1">
        <f t="array" ref="I422">IF(MONTH(A422) = LOOKUP(YEAR(A422), YEAR('CNY Dates'!A$2:A$34), 'CNY Dates'!B$2:B$34), LOOKUP(YEAR(A422), YEAR('Hongbao demand'!B$4:B$35), 'Hongbao demand'!F$4:F$35)  - O421, 0)</f>
        <v>0</v>
      </c>
      <c r="J422" s="18">
        <f t="shared" si="64"/>
        <v>-44.942078992826012</v>
      </c>
      <c r="K422" s="40">
        <f t="shared" si="77"/>
        <v>44799.39410753268</v>
      </c>
      <c r="L422" s="41">
        <f t="shared" si="77"/>
        <v>1.0664659724206962</v>
      </c>
      <c r="M422" s="14">
        <v>1E-4</v>
      </c>
      <c r="N422" s="19">
        <f t="shared" ca="1" si="65"/>
        <v>215.96855708225758</v>
      </c>
      <c r="O422" s="12">
        <f t="shared" ca="1" si="67"/>
        <v>33.983657060007111</v>
      </c>
      <c r="P422" s="18">
        <f t="shared" ca="1" si="66"/>
        <v>195.20946665570227</v>
      </c>
      <c r="Q422" s="19">
        <f t="shared" ca="1" si="68"/>
        <v>29.281419998355339</v>
      </c>
      <c r="R422" s="12">
        <f t="shared" ca="1" si="68"/>
        <v>39.041893331140457</v>
      </c>
      <c r="S422" s="12">
        <f t="shared" ca="1" si="69"/>
        <v>3.3983657060007113</v>
      </c>
      <c r="T422" s="83">
        <f t="shared" ca="1" si="70"/>
        <v>71.721679035496507</v>
      </c>
    </row>
    <row r="423" spans="1:20" x14ac:dyDescent="0.3">
      <c r="A423" s="11">
        <v>45170</v>
      </c>
      <c r="B423" s="15">
        <f t="shared" ca="1" si="74"/>
        <v>48929.351711454809</v>
      </c>
      <c r="C423" s="98">
        <f t="shared" si="75"/>
        <v>44500.086733470751</v>
      </c>
      <c r="D423" s="12">
        <f t="shared" ca="1" si="76"/>
        <v>4429.2649779840594</v>
      </c>
      <c r="E423" s="99">
        <v>945.64778329416788</v>
      </c>
      <c r="F423" s="16">
        <f t="shared" ca="1" si="61"/>
        <v>761.53414690404952</v>
      </c>
      <c r="G423" s="12">
        <f t="shared" ca="1" si="62"/>
        <v>36.737549062979198</v>
      </c>
      <c r="H423" s="12">
        <f t="shared" si="63"/>
        <v>738.21082966400979</v>
      </c>
      <c r="I423" s="17" cm="1">
        <f t="array" ref="I423">IF(MONTH(A423) = LOOKUP(YEAR(A423), YEAR('CNY Dates'!A$2:A$34), 'CNY Dates'!B$2:B$34), LOOKUP(YEAR(A423), YEAR('Hongbao demand'!B$4:B$35), 'Hongbao demand'!F$4:F$35)  - O422, 0)</f>
        <v>0</v>
      </c>
      <c r="J423" s="18">
        <f t="shared" si="64"/>
        <v>-13.414231822939401</v>
      </c>
      <c r="K423" s="40">
        <f t="shared" si="77"/>
        <v>44768.032392278525</v>
      </c>
      <c r="L423" s="41">
        <f t="shared" si="77"/>
        <v>1.0675697710417311</v>
      </c>
      <c r="M423" s="14">
        <v>1E-4</v>
      </c>
      <c r="N423" s="19">
        <f t="shared" ca="1" si="65"/>
        <v>184.11363639011836</v>
      </c>
      <c r="O423" s="12">
        <f t="shared" ca="1" si="67"/>
        <v>33.700459917840384</v>
      </c>
      <c r="P423" s="18">
        <f t="shared" ca="1" si="66"/>
        <v>163.36994102710287</v>
      </c>
      <c r="Q423" s="19">
        <f t="shared" ca="1" si="68"/>
        <v>24.505491154065428</v>
      </c>
      <c r="R423" s="12">
        <f t="shared" ca="1" si="68"/>
        <v>32.673988205420578</v>
      </c>
      <c r="S423" s="12">
        <f t="shared" ca="1" si="69"/>
        <v>3.3700459917840386</v>
      </c>
      <c r="T423" s="83">
        <f t="shared" ca="1" si="70"/>
        <v>60.549525351270049</v>
      </c>
    </row>
    <row r="424" spans="1:20" x14ac:dyDescent="0.3">
      <c r="A424" s="11">
        <v>45200</v>
      </c>
      <c r="B424" s="15">
        <f t="shared" ca="1" si="74"/>
        <v>49157.380975656517</v>
      </c>
      <c r="C424" s="98">
        <f t="shared" si="75"/>
        <v>44707.372302309443</v>
      </c>
      <c r="D424" s="12">
        <f t="shared" ca="1" si="76"/>
        <v>4450.0086733470753</v>
      </c>
      <c r="E424" s="99">
        <v>948.95368106320268</v>
      </c>
      <c r="F424" s="16">
        <f t="shared" ca="1" si="61"/>
        <v>892.76493583718923</v>
      </c>
      <c r="G424" s="12">
        <f t="shared" ca="1" si="62"/>
        <v>36.910541483200497</v>
      </c>
      <c r="H424" s="12">
        <f t="shared" si="63"/>
        <v>741.66811222451247</v>
      </c>
      <c r="I424" s="17" cm="1">
        <f t="array" ref="I424">IF(MONTH(A424) = LOOKUP(YEAR(A424), YEAR('CNY Dates'!A$2:A$34), 'CNY Dates'!B$2:B$34), LOOKUP(YEAR(A424), YEAR('Hongbao demand'!B$4:B$35), 'Hongbao demand'!F$4:F$35)  - O423, 0)</f>
        <v>0</v>
      </c>
      <c r="J424" s="18">
        <f t="shared" si="64"/>
        <v>114.18628212947621</v>
      </c>
      <c r="K424" s="40">
        <f t="shared" si="77"/>
        <v>45478.130257037286</v>
      </c>
      <c r="L424" s="41">
        <f t="shared" si="77"/>
        <v>1.0686735696627658</v>
      </c>
      <c r="M424" s="14">
        <v>1E-4</v>
      </c>
      <c r="N424" s="19">
        <f t="shared" ca="1" si="65"/>
        <v>56.188745226013452</v>
      </c>
      <c r="O424" s="12">
        <f t="shared" ca="1" si="67"/>
        <v>33.419622751858384</v>
      </c>
      <c r="P424" s="18">
        <f t="shared" ca="1" si="66"/>
        <v>35.460188342144647</v>
      </c>
      <c r="Q424" s="19">
        <f t="shared" ca="1" si="68"/>
        <v>5.3190282513216971</v>
      </c>
      <c r="R424" s="12">
        <f t="shared" ca="1" si="68"/>
        <v>7.0920376684289295</v>
      </c>
      <c r="S424" s="12">
        <f t="shared" ca="1" si="69"/>
        <v>3.3419622751858387</v>
      </c>
      <c r="T424" s="83">
        <f t="shared" ca="1" si="70"/>
        <v>15.753028194936466</v>
      </c>
    </row>
    <row r="425" spans="1:20" x14ac:dyDescent="0.3">
      <c r="A425" s="11">
        <v>45231</v>
      </c>
      <c r="B425" s="15">
        <f t="shared" ca="1" si="74"/>
        <v>49385.246239667467</v>
      </c>
      <c r="C425" s="98">
        <f t="shared" si="75"/>
        <v>44914.509009436522</v>
      </c>
      <c r="D425" s="12">
        <f t="shared" ca="1" si="76"/>
        <v>4470.7372302309441</v>
      </c>
      <c r="E425" s="99">
        <v>952.25957883223737</v>
      </c>
      <c r="F425" s="16">
        <f t="shared" ca="1" si="61"/>
        <v>721.25052021948898</v>
      </c>
      <c r="G425" s="12">
        <f t="shared" ca="1" si="62"/>
        <v>37.083405611225629</v>
      </c>
      <c r="H425" s="12">
        <f t="shared" si="63"/>
        <v>745.12287170515742</v>
      </c>
      <c r="I425" s="17" cm="1">
        <f t="array" ref="I425">IF(MONTH(A425) = LOOKUP(YEAR(A425), YEAR('CNY Dates'!A$2:A$34), 'CNY Dates'!B$2:B$34), LOOKUP(YEAR(A425), YEAR('Hongbao demand'!B$4:B$35), 'Hongbao demand'!F$4:F$35)  - O424, 0)</f>
        <v>0</v>
      </c>
      <c r="J425" s="18">
        <f t="shared" si="64"/>
        <v>-60.955757096894061</v>
      </c>
      <c r="K425" s="40">
        <f t="shared" si="77"/>
        <v>45170.134969770173</v>
      </c>
      <c r="L425" s="41">
        <f t="shared" si="77"/>
        <v>1.0697773682838008</v>
      </c>
      <c r="M425" s="14">
        <v>1E-4</v>
      </c>
      <c r="N425" s="19">
        <f t="shared" ca="1" si="65"/>
        <v>231.00905861274839</v>
      </c>
      <c r="O425" s="12">
        <f t="shared" ca="1" si="67"/>
        <v>33.1411258955929</v>
      </c>
      <c r="P425" s="18">
        <f t="shared" ca="1" si="66"/>
        <v>210.29538790003971</v>
      </c>
      <c r="Q425" s="19">
        <f t="shared" ref="Q425:R456" ca="1" si="78">MAX(0,$P425)*Q$5</f>
        <v>31.544308185005956</v>
      </c>
      <c r="R425" s="12">
        <f t="shared" ca="1" si="78"/>
        <v>42.059077580007944</v>
      </c>
      <c r="S425" s="12">
        <f t="shared" ca="1" si="69"/>
        <v>3.31411258955929</v>
      </c>
      <c r="T425" s="83">
        <f t="shared" ca="1" si="70"/>
        <v>76.917498354573183</v>
      </c>
    </row>
    <row r="426" spans="1:20" x14ac:dyDescent="0.3">
      <c r="A426" s="11">
        <v>45261</v>
      </c>
      <c r="B426" s="15">
        <f t="shared" ca="1" si="74"/>
        <v>49612.950236824174</v>
      </c>
      <c r="C426" s="98">
        <f t="shared" si="75"/>
        <v>45121.499335880522</v>
      </c>
      <c r="D426" s="12">
        <f t="shared" ca="1" si="76"/>
        <v>4491.4509009436524</v>
      </c>
      <c r="E426" s="99">
        <v>955.56547660127217</v>
      </c>
      <c r="F426" s="16">
        <f t="shared" ca="1" si="61"/>
        <v>758.42515815228035</v>
      </c>
      <c r="G426" s="12">
        <f t="shared" ca="1" si="62"/>
        <v>37.256143585257867</v>
      </c>
      <c r="H426" s="12">
        <f t="shared" si="63"/>
        <v>748.5751501572754</v>
      </c>
      <c r="I426" s="17" cm="1">
        <f t="array" ref="I426">IF(MONTH(A426) = LOOKUP(YEAR(A426), YEAR('CNY Dates'!A$2:A$34), 'CNY Dates'!B$2:B$34), LOOKUP(YEAR(A426), YEAR('Hongbao demand'!B$4:B$35), 'Hongbao demand'!F$4:F$35)  - O425, 0)</f>
        <v>0</v>
      </c>
      <c r="J426" s="18">
        <f t="shared" si="64"/>
        <v>-27.406135590252887</v>
      </c>
      <c r="K426" s="40">
        <f t="shared" si="77"/>
        <v>45057.598024285915</v>
      </c>
      <c r="L426" s="41">
        <f t="shared" si="77"/>
        <v>1.0708811669048355</v>
      </c>
      <c r="M426" s="14">
        <v>1E-4</v>
      </c>
      <c r="N426" s="19">
        <f t="shared" ca="1" si="65"/>
        <v>197.14031844899182</v>
      </c>
      <c r="O426" s="12">
        <f t="shared" ca="1" si="67"/>
        <v>32.864949846462956</v>
      </c>
      <c r="P426" s="18">
        <f t="shared" ca="1" si="66"/>
        <v>176.44128580459164</v>
      </c>
      <c r="Q426" s="19">
        <f t="shared" ca="1" si="78"/>
        <v>26.466192870688747</v>
      </c>
      <c r="R426" s="12">
        <f t="shared" ca="1" si="78"/>
        <v>35.288257160918327</v>
      </c>
      <c r="S426" s="12">
        <f t="shared" ca="1" si="69"/>
        <v>3.2864949846462959</v>
      </c>
      <c r="T426" s="83">
        <f t="shared" ca="1" si="70"/>
        <v>65.040945016253374</v>
      </c>
    </row>
    <row r="427" spans="1:20" x14ac:dyDescent="0.3">
      <c r="A427" s="11">
        <v>45292</v>
      </c>
      <c r="B427" s="15">
        <f t="shared" ca="1" si="74"/>
        <v>49840.495654907536</v>
      </c>
      <c r="C427" s="98">
        <f t="shared" si="75"/>
        <v>45328.345721319485</v>
      </c>
      <c r="D427" s="12">
        <f t="shared" ca="1" si="76"/>
        <v>4512.1499335880526</v>
      </c>
      <c r="E427" s="99">
        <v>958.87137437030697</v>
      </c>
      <c r="F427" s="16">
        <f t="shared" ca="1" si="61"/>
        <v>707.30214951345067</v>
      </c>
      <c r="G427" s="12">
        <f t="shared" ca="1" si="62"/>
        <v>37.428757507863772</v>
      </c>
      <c r="H427" s="12">
        <f t="shared" si="63"/>
        <v>752.02498893134202</v>
      </c>
      <c r="I427" s="17" cm="1">
        <f t="array" ref="I427">IF(MONTH(A427) = LOOKUP(YEAR(A427), YEAR('CNY Dates'!A$2:A$34), 'CNY Dates'!B$2:B$34), LOOKUP(YEAR(A427), YEAR('Hongbao demand'!B$4:B$35), 'Hongbao demand'!F$4:F$35)  - O426, 0)</f>
        <v>0</v>
      </c>
      <c r="J427" s="18">
        <f t="shared" si="64"/>
        <v>-82.151596925755157</v>
      </c>
      <c r="K427" s="40">
        <f t="shared" si="77"/>
        <v>44628.677445225432</v>
      </c>
      <c r="L427" s="41">
        <f t="shared" si="77"/>
        <v>1.0719849655258702</v>
      </c>
      <c r="M427" s="14">
        <v>1E-4</v>
      </c>
      <c r="N427" s="19">
        <f t="shared" ca="1" si="65"/>
        <v>251.56922485685629</v>
      </c>
      <c r="O427" s="12">
        <f t="shared" ca="1" si="67"/>
        <v>32.591075264409099</v>
      </c>
      <c r="P427" s="18">
        <f t="shared" ca="1" si="66"/>
        <v>230.88458631296089</v>
      </c>
      <c r="Q427" s="19">
        <f t="shared" ca="1" si="78"/>
        <v>34.632687946944131</v>
      </c>
      <c r="R427" s="12">
        <f t="shared" ca="1" si="78"/>
        <v>46.176917262592184</v>
      </c>
      <c r="S427" s="12">
        <f t="shared" ca="1" si="69"/>
        <v>3.2591075264409102</v>
      </c>
      <c r="T427" s="83">
        <f t="shared" ca="1" si="70"/>
        <v>84.068712735977229</v>
      </c>
    </row>
    <row r="428" spans="1:20" x14ac:dyDescent="0.3">
      <c r="A428" s="11">
        <v>45323</v>
      </c>
      <c r="B428" s="15">
        <f t="shared" ca="1" si="74"/>
        <v>50067.885136902121</v>
      </c>
      <c r="C428" s="98">
        <f t="shared" si="75"/>
        <v>45535.050564770172</v>
      </c>
      <c r="D428" s="12">
        <f t="shared" ca="1" si="76"/>
        <v>4532.8345721319483</v>
      </c>
      <c r="E428" s="99">
        <v>962.17727213934165</v>
      </c>
      <c r="F428" s="16">
        <f t="shared" ca="1" si="61"/>
        <v>791.58595621188567</v>
      </c>
      <c r="G428" s="12">
        <f t="shared" ca="1" si="62"/>
        <v>37.601249446567103</v>
      </c>
      <c r="H428" s="12">
        <f t="shared" si="63"/>
        <v>755.47242868865806</v>
      </c>
      <c r="I428" s="17" cm="1">
        <f t="array" aca="1" ref="I428" ca="1">IF(MONTH(A428) = LOOKUP(YEAR(A428), YEAR('CNY Dates'!A$2:A$34), 'CNY Dates'!B$2:B$34), LOOKUP(YEAR(A428), YEAR('Hongbao demand'!B$4:B$35), 'Hongbao demand'!F$4:F$35)  - O427, 0)</f>
        <v>-22.078768123368711</v>
      </c>
      <c r="J428" s="18">
        <f t="shared" si="64"/>
        <v>20.591046200029261</v>
      </c>
      <c r="K428" s="40">
        <f t="shared" si="77"/>
        <v>44793.542333545993</v>
      </c>
      <c r="L428" s="41">
        <f t="shared" si="77"/>
        <v>1.0730887641469051</v>
      </c>
      <c r="M428" s="14">
        <v>1E-4</v>
      </c>
      <c r="N428" s="19">
        <f t="shared" ca="1" si="65"/>
        <v>170.59131592745598</v>
      </c>
      <c r="O428" s="12">
        <f t="shared" ca="1" si="67"/>
        <v>34.118263185491195</v>
      </c>
      <c r="P428" s="18">
        <f t="shared" ca="1" si="66"/>
        <v>149.92083158238711</v>
      </c>
      <c r="Q428" s="19">
        <f t="shared" ca="1" si="78"/>
        <v>22.488124737358067</v>
      </c>
      <c r="R428" s="12">
        <f t="shared" ca="1" si="78"/>
        <v>29.984166316477424</v>
      </c>
      <c r="S428" s="12">
        <f t="shared" ca="1" si="69"/>
        <v>3.4118263185491196</v>
      </c>
      <c r="T428" s="83">
        <f t="shared" ca="1" si="70"/>
        <v>55.884117372384608</v>
      </c>
    </row>
    <row r="429" spans="1:20" x14ac:dyDescent="0.3">
      <c r="A429" s="11">
        <v>45352</v>
      </c>
      <c r="B429" s="15">
        <f t="shared" ca="1" si="74"/>
        <v>50295.121281742729</v>
      </c>
      <c r="C429" s="98">
        <f t="shared" si="75"/>
        <v>45741.616225265709</v>
      </c>
      <c r="D429" s="12">
        <f t="shared" ca="1" si="76"/>
        <v>4553.5050564770172</v>
      </c>
      <c r="E429" s="99">
        <v>965.48316990837634</v>
      </c>
      <c r="F429" s="16">
        <f t="shared" ca="1" si="61"/>
        <v>810.37185882497261</v>
      </c>
      <c r="G429" s="12">
        <f t="shared" ca="1" si="62"/>
        <v>37.773621434432904</v>
      </c>
      <c r="H429" s="12">
        <f t="shared" si="63"/>
        <v>758.91750941283624</v>
      </c>
      <c r="I429" s="17" cm="1">
        <f t="array" ref="I429">IF(MONTH(A429) = LOOKUP(YEAR(A429), YEAR('CNY Dates'!A$2:A$34), 'CNY Dates'!B$2:B$34), LOOKUP(YEAR(A429), YEAR('Hongbao demand'!B$4:B$35), 'Hongbao demand'!F$4:F$35)  - O428, 0)</f>
        <v>0</v>
      </c>
      <c r="J429" s="18">
        <f t="shared" si="64"/>
        <v>13.680727977703398</v>
      </c>
      <c r="K429" s="40">
        <f t="shared" si="77"/>
        <v>44918.710315916614</v>
      </c>
      <c r="L429" s="41">
        <f t="shared" si="77"/>
        <v>1.0741925627679398</v>
      </c>
      <c r="M429" s="14">
        <v>1E-4</v>
      </c>
      <c r="N429" s="19">
        <f t="shared" ca="1" si="65"/>
        <v>155.11131108340373</v>
      </c>
      <c r="O429" s="12">
        <f t="shared" ca="1" si="67"/>
        <v>33.833944325612102</v>
      </c>
      <c r="P429" s="18">
        <f t="shared" ca="1" si="66"/>
        <v>134.45474503385049</v>
      </c>
      <c r="Q429" s="19">
        <f t="shared" ca="1" si="78"/>
        <v>20.168211755077571</v>
      </c>
      <c r="R429" s="12">
        <f t="shared" ca="1" si="78"/>
        <v>26.8909490067701</v>
      </c>
      <c r="S429" s="12">
        <f t="shared" ca="1" si="69"/>
        <v>3.3833944325612104</v>
      </c>
      <c r="T429" s="83">
        <f t="shared" ca="1" si="70"/>
        <v>50.442555194408882</v>
      </c>
    </row>
    <row r="430" spans="1:20" x14ac:dyDescent="0.3">
      <c r="A430" s="11">
        <v>45383</v>
      </c>
      <c r="B430" s="15">
        <f t="shared" ca="1" si="74"/>
        <v>50522.206645048595</v>
      </c>
      <c r="C430" s="98">
        <f t="shared" si="75"/>
        <v>45948.045022522027</v>
      </c>
      <c r="D430" s="12">
        <f t="shared" ca="1" si="76"/>
        <v>4574.1616225265707</v>
      </c>
      <c r="E430" s="99">
        <v>968.78906767741114</v>
      </c>
      <c r="F430" s="16">
        <f t="shared" ca="1" si="61"/>
        <v>841.88602328906336</v>
      </c>
      <c r="G430" s="12">
        <f t="shared" ca="1" si="62"/>
        <v>37.945875470641809</v>
      </c>
      <c r="H430" s="12">
        <f t="shared" si="63"/>
        <v>762.36027042109515</v>
      </c>
      <c r="I430" s="17" cm="1">
        <f t="array" ref="I430">IF(MONTH(A430) = LOOKUP(YEAR(A430), YEAR('CNY Dates'!A$2:A$34), 'CNY Dates'!B$2:B$34), LOOKUP(YEAR(A430), YEAR('Hongbao demand'!B$4:B$35), 'Hongbao demand'!F$4:F$35)  - O429, 0)</f>
        <v>0</v>
      </c>
      <c r="J430" s="18">
        <f t="shared" si="64"/>
        <v>41.579877397326456</v>
      </c>
      <c r="K430" s="40">
        <f t="shared" si="77"/>
        <v>45205.680678695207</v>
      </c>
      <c r="L430" s="41">
        <f t="shared" si="77"/>
        <v>1.0752963613889748</v>
      </c>
      <c r="M430" s="14">
        <v>1E-4</v>
      </c>
      <c r="N430" s="19">
        <f t="shared" ca="1" si="65"/>
        <v>126.90304438834778</v>
      </c>
      <c r="O430" s="12">
        <f t="shared" ca="1" si="67"/>
        <v>33.551994789565335</v>
      </c>
      <c r="P430" s="18">
        <f t="shared" ca="1" si="66"/>
        <v>106.2601646627154</v>
      </c>
      <c r="Q430" s="19">
        <f t="shared" ca="1" si="78"/>
        <v>15.939024699407309</v>
      </c>
      <c r="R430" s="12">
        <f t="shared" ca="1" si="78"/>
        <v>21.252032932543081</v>
      </c>
      <c r="S430" s="12">
        <f t="shared" ca="1" si="69"/>
        <v>3.3551994789565338</v>
      </c>
      <c r="T430" s="83">
        <f t="shared" ca="1" si="70"/>
        <v>40.546257110906922</v>
      </c>
    </row>
    <row r="431" spans="1:20" x14ac:dyDescent="0.3">
      <c r="A431" s="11">
        <v>45413</v>
      </c>
      <c r="B431" s="15">
        <f t="shared" ca="1" si="74"/>
        <v>50749.143739845313</v>
      </c>
      <c r="C431" s="98">
        <f t="shared" si="75"/>
        <v>46154.339237593107</v>
      </c>
      <c r="D431" s="12">
        <f t="shared" ca="1" si="76"/>
        <v>4594.8045022522028</v>
      </c>
      <c r="E431" s="99">
        <v>972.09496544644594</v>
      </c>
      <c r="F431" s="16">
        <f t="shared" ca="1" si="61"/>
        <v>855.52063548554747</v>
      </c>
      <c r="G431" s="12">
        <f t="shared" ca="1" si="62"/>
        <v>38.118013521054756</v>
      </c>
      <c r="H431" s="12">
        <f t="shared" si="63"/>
        <v>765.8007503753671</v>
      </c>
      <c r="I431" s="17" cm="1">
        <f t="array" ref="I431">IF(MONTH(A431) = LOOKUP(YEAR(A431), YEAR('CNY Dates'!A$2:A$34), 'CNY Dates'!B$2:B$34), LOOKUP(YEAR(A431), YEAR('Hongbao demand'!B$4:B$35), 'Hongbao demand'!F$4:F$35)  - O430, 0)</f>
        <v>0</v>
      </c>
      <c r="J431" s="18">
        <f t="shared" si="64"/>
        <v>51.601871589125608</v>
      </c>
      <c r="K431" s="40">
        <f t="shared" si="77"/>
        <v>45551.835351016722</v>
      </c>
      <c r="L431" s="41">
        <f t="shared" si="77"/>
        <v>1.0764001600100095</v>
      </c>
      <c r="M431" s="14">
        <v>1E-4</v>
      </c>
      <c r="N431" s="19">
        <f t="shared" ca="1" si="65"/>
        <v>116.57432996089847</v>
      </c>
      <c r="O431" s="12">
        <f t="shared" ca="1" si="67"/>
        <v>33.272394832985626</v>
      </c>
      <c r="P431" s="18">
        <f t="shared" ca="1" si="66"/>
        <v>95.944908453790049</v>
      </c>
      <c r="Q431" s="19">
        <f t="shared" ca="1" si="78"/>
        <v>14.391736268068506</v>
      </c>
      <c r="R431" s="12">
        <f t="shared" ca="1" si="78"/>
        <v>19.188981690758013</v>
      </c>
      <c r="S431" s="12">
        <f t="shared" ca="1" si="69"/>
        <v>3.3272394832985626</v>
      </c>
      <c r="T431" s="83">
        <f t="shared" ca="1" si="70"/>
        <v>36.907957442125081</v>
      </c>
    </row>
    <row r="432" spans="1:20" x14ac:dyDescent="0.3">
      <c r="A432" s="11">
        <v>45444</v>
      </c>
      <c r="B432" s="15">
        <f t="shared" ca="1" si="74"/>
        <v>50975.935037274678</v>
      </c>
      <c r="C432" s="98">
        <f t="shared" si="75"/>
        <v>46360.501113515369</v>
      </c>
      <c r="D432" s="12">
        <f t="shared" ca="1" si="76"/>
        <v>4615.4339237593113</v>
      </c>
      <c r="E432" s="99">
        <v>975.40086321548063</v>
      </c>
      <c r="F432" s="16">
        <f t="shared" ca="1" si="61"/>
        <v>794.5410987167138</v>
      </c>
      <c r="G432" s="12">
        <f t="shared" ca="1" si="62"/>
        <v>38.290037518768358</v>
      </c>
      <c r="H432" s="12">
        <f t="shared" si="63"/>
        <v>769.23898729321843</v>
      </c>
      <c r="I432" s="17" cm="1">
        <f t="array" ref="I432">IF(MONTH(A432) = LOOKUP(YEAR(A432), YEAR('CNY Dates'!A$2:A$34), 'CNY Dates'!B$2:B$34), LOOKUP(YEAR(A432), YEAR('Hongbao demand'!B$4:B$35), 'Hongbao demand'!F$4:F$35)  - O431, 0)</f>
        <v>0</v>
      </c>
      <c r="J432" s="18">
        <f t="shared" si="64"/>
        <v>-12.987926095273021</v>
      </c>
      <c r="K432" s="40">
        <f t="shared" si="77"/>
        <v>45523.007712539031</v>
      </c>
      <c r="L432" s="41">
        <f t="shared" si="77"/>
        <v>1.0775039586310444</v>
      </c>
      <c r="M432" s="14">
        <v>1E-4</v>
      </c>
      <c r="N432" s="19">
        <f t="shared" ca="1" si="65"/>
        <v>180.85976449876682</v>
      </c>
      <c r="O432" s="12">
        <f t="shared" ca="1" si="67"/>
        <v>32.995124876044081</v>
      </c>
      <c r="P432" s="18">
        <f t="shared" ca="1" si="66"/>
        <v>160.24357690654051</v>
      </c>
      <c r="Q432" s="19">
        <f t="shared" ca="1" si="78"/>
        <v>24.036536535981075</v>
      </c>
      <c r="R432" s="12">
        <f t="shared" ca="1" si="78"/>
        <v>32.048715381308106</v>
      </c>
      <c r="S432" s="12">
        <f t="shared" ca="1" si="69"/>
        <v>3.2995124876044084</v>
      </c>
      <c r="T432" s="83">
        <f t="shared" ca="1" si="70"/>
        <v>59.384764404893595</v>
      </c>
    </row>
    <row r="433" spans="1:20" x14ac:dyDescent="0.3">
      <c r="A433" s="11">
        <v>45474</v>
      </c>
      <c r="B433" s="15">
        <f t="shared" ca="1" si="74"/>
        <v>51202.58296729283</v>
      </c>
      <c r="C433" s="98">
        <f t="shared" si="75"/>
        <v>46566.532855941296</v>
      </c>
      <c r="D433" s="12">
        <f t="shared" ca="1" si="76"/>
        <v>4636.0501113515375</v>
      </c>
      <c r="E433" s="99">
        <v>978.70676098451543</v>
      </c>
      <c r="F433" s="16">
        <f t="shared" ca="1" si="61"/>
        <v>908.2165605490369</v>
      </c>
      <c r="G433" s="12">
        <f t="shared" ca="1" si="62"/>
        <v>38.461949364660924</v>
      </c>
      <c r="H433" s="12">
        <f t="shared" si="63"/>
        <v>772.6750185585895</v>
      </c>
      <c r="I433" s="17" cm="1">
        <f t="array" ref="I433">IF(MONTH(A433) = LOOKUP(YEAR(A433), YEAR('CNY Dates'!A$2:A$34), 'CNY Dates'!B$2:B$34), LOOKUP(YEAR(A433), YEAR('Hongbao demand'!B$4:B$35), 'Hongbao demand'!F$4:F$35)  - O432, 0)</f>
        <v>0</v>
      </c>
      <c r="J433" s="18">
        <f t="shared" si="64"/>
        <v>97.079592625786532</v>
      </c>
      <c r="K433" s="40">
        <f t="shared" si="77"/>
        <v>46135.778718292539</v>
      </c>
      <c r="L433" s="41">
        <f t="shared" si="77"/>
        <v>1.0786077572520791</v>
      </c>
      <c r="M433" s="14">
        <v>1E-4</v>
      </c>
      <c r="N433" s="19">
        <f t="shared" ca="1" si="65"/>
        <v>70.490200435478528</v>
      </c>
      <c r="O433" s="12">
        <f t="shared" ca="1" si="67"/>
        <v>32.720165502077045</v>
      </c>
      <c r="P433" s="18">
        <f t="shared" ca="1" si="66"/>
        <v>49.887026192885969</v>
      </c>
      <c r="Q433" s="19">
        <f t="shared" ca="1" si="78"/>
        <v>7.483053928932895</v>
      </c>
      <c r="R433" s="12">
        <f t="shared" ca="1" si="78"/>
        <v>9.9774052385771945</v>
      </c>
      <c r="S433" s="12">
        <f t="shared" ca="1" si="69"/>
        <v>3.2720165502077045</v>
      </c>
      <c r="T433" s="83">
        <f t="shared" ca="1" si="70"/>
        <v>20.732475717717794</v>
      </c>
    </row>
    <row r="434" spans="1:20" x14ac:dyDescent="0.3">
      <c r="A434" s="11">
        <v>45505</v>
      </c>
      <c r="B434" s="15">
        <f t="shared" ca="1" si="74"/>
        <v>51429.089919356615</v>
      </c>
      <c r="C434" s="98">
        <f t="shared" si="75"/>
        <v>46772.436633762489</v>
      </c>
      <c r="D434" s="12">
        <f t="shared" ca="1" si="76"/>
        <v>4656.6532855941296</v>
      </c>
      <c r="E434" s="99">
        <v>982.01265875355011</v>
      </c>
      <c r="F434" s="16">
        <f t="shared" ca="1" si="61"/>
        <v>769.97824761432548</v>
      </c>
      <c r="G434" s="12">
        <f t="shared" ca="1" si="62"/>
        <v>38.633750927929476</v>
      </c>
      <c r="H434" s="12">
        <f t="shared" si="63"/>
        <v>776.10888093235496</v>
      </c>
      <c r="I434" s="17" cm="1">
        <f t="array" ref="I434">IF(MONTH(A434) = LOOKUP(YEAR(A434), YEAR('CNY Dates'!A$2:A$34), 'CNY Dates'!B$2:B$34), LOOKUP(YEAR(A434), YEAR('Hongbao demand'!B$4:B$35), 'Hongbao demand'!F$4:F$35)  - O433, 0)</f>
        <v>0</v>
      </c>
      <c r="J434" s="18">
        <f t="shared" si="64"/>
        <v>-44.764384245958929</v>
      </c>
      <c r="K434" s="40">
        <f t="shared" si="77"/>
        <v>45921.505830962975</v>
      </c>
      <c r="L434" s="41">
        <f t="shared" si="77"/>
        <v>1.0797115558731141</v>
      </c>
      <c r="M434" s="14">
        <v>1E-4</v>
      </c>
      <c r="N434" s="19">
        <f t="shared" ca="1" si="65"/>
        <v>212.03441113922463</v>
      </c>
      <c r="O434" s="12">
        <f t="shared" ca="1" si="67"/>
        <v>32.447497456226401</v>
      </c>
      <c r="P434" s="18">
        <f t="shared" ca="1" si="66"/>
        <v>191.44403335710467</v>
      </c>
      <c r="Q434" s="19">
        <f t="shared" ca="1" si="78"/>
        <v>28.7166050035657</v>
      </c>
      <c r="R434" s="12">
        <f t="shared" ca="1" si="78"/>
        <v>38.288806671420936</v>
      </c>
      <c r="S434" s="12">
        <f t="shared" ca="1" si="69"/>
        <v>3.2447497456226402</v>
      </c>
      <c r="T434" s="83">
        <f t="shared" ca="1" si="70"/>
        <v>70.250161420609274</v>
      </c>
    </row>
    <row r="435" spans="1:20" x14ac:dyDescent="0.3">
      <c r="A435" s="11">
        <v>45536</v>
      </c>
      <c r="B435" s="15">
        <f t="shared" ca="1" si="74"/>
        <v>51655.458243098612</v>
      </c>
      <c r="C435" s="98">
        <f t="shared" si="75"/>
        <v>46978.214579722364</v>
      </c>
      <c r="D435" s="12">
        <f t="shared" ca="1" si="76"/>
        <v>4677.2436633762491</v>
      </c>
      <c r="E435" s="99">
        <v>985.31855652258491</v>
      </c>
      <c r="F435" s="16">
        <f t="shared" ca="1" si="61"/>
        <v>804.91561517138962</v>
      </c>
      <c r="G435" s="12">
        <f t="shared" ca="1" si="62"/>
        <v>38.805444046617744</v>
      </c>
      <c r="H435" s="12">
        <f t="shared" si="63"/>
        <v>779.54061056270814</v>
      </c>
      <c r="I435" s="17" cm="1">
        <f t="array" ref="I435">IF(MONTH(A435) = LOOKUP(YEAR(A435), YEAR('CNY Dates'!A$2:A$34), 'CNY Dates'!B$2:B$34), LOOKUP(YEAR(A435), YEAR('Hongbao demand'!B$4:B$35), 'Hongbao demand'!F$4:F$35)  - O434, 0)</f>
        <v>0</v>
      </c>
      <c r="J435" s="18">
        <f t="shared" si="64"/>
        <v>-13.430439437936228</v>
      </c>
      <c r="K435" s="40">
        <f t="shared" si="77"/>
        <v>45890.144115708812</v>
      </c>
      <c r="L435" s="41">
        <f t="shared" si="77"/>
        <v>1.0808153544941488</v>
      </c>
      <c r="M435" s="14">
        <v>1E-4</v>
      </c>
      <c r="N435" s="19">
        <f t="shared" ca="1" si="65"/>
        <v>180.4029413511953</v>
      </c>
      <c r="O435" s="12">
        <f t="shared" ca="1" si="67"/>
        <v>32.177101644091181</v>
      </c>
      <c r="P435" s="18">
        <f t="shared" ca="1" si="66"/>
        <v>159.82514675520815</v>
      </c>
      <c r="Q435" s="19">
        <f t="shared" ca="1" si="78"/>
        <v>23.973772013281224</v>
      </c>
      <c r="R435" s="12">
        <f t="shared" ca="1" si="78"/>
        <v>31.965029351041633</v>
      </c>
      <c r="S435" s="12">
        <f t="shared" ca="1" si="69"/>
        <v>3.2177101644091182</v>
      </c>
      <c r="T435" s="83">
        <f t="shared" ca="1" si="70"/>
        <v>59.156511528731976</v>
      </c>
    </row>
    <row r="436" spans="1:20" x14ac:dyDescent="0.3">
      <c r="A436" s="11">
        <v>45566</v>
      </c>
      <c r="B436" s="15">
        <f t="shared" ca="1" si="74"/>
        <v>51881.690248990839</v>
      </c>
      <c r="C436" s="98">
        <f t="shared" si="75"/>
        <v>47183.868791018605</v>
      </c>
      <c r="D436" s="12">
        <f t="shared" ca="1" si="76"/>
        <v>4697.8214579722362</v>
      </c>
      <c r="E436" s="99">
        <v>988.6244542916196</v>
      </c>
      <c r="F436" s="16">
        <f t="shared" ca="1" si="61"/>
        <v>935.33793546633535</v>
      </c>
      <c r="G436" s="12">
        <f t="shared" ca="1" si="62"/>
        <v>38.977030528135408</v>
      </c>
      <c r="H436" s="12">
        <f t="shared" si="63"/>
        <v>782.9702429953727</v>
      </c>
      <c r="I436" s="17" cm="1">
        <f t="array" ref="I436">IF(MONTH(A436) = LOOKUP(YEAR(A436), YEAR('CNY Dates'!A$2:A$34), 'CNY Dates'!B$2:B$34), LOOKUP(YEAR(A436), YEAR('Hongbao demand'!B$4:B$35), 'Hongbao demand'!F$4:F$35)  - O435, 0)</f>
        <v>0</v>
      </c>
      <c r="J436" s="18">
        <f t="shared" si="64"/>
        <v>113.39066194282729</v>
      </c>
      <c r="K436" s="40">
        <f t="shared" si="77"/>
        <v>46600.241980467574</v>
      </c>
      <c r="L436" s="41">
        <f t="shared" si="77"/>
        <v>1.0819191531151837</v>
      </c>
      <c r="M436" s="14">
        <v>1E-4</v>
      </c>
      <c r="N436" s="19">
        <f t="shared" ca="1" si="65"/>
        <v>53.286518825284247</v>
      </c>
      <c r="O436" s="12">
        <f t="shared" ca="1" si="67"/>
        <v>31.908959130390421</v>
      </c>
      <c r="P436" s="18">
        <f t="shared" ca="1" si="66"/>
        <v>32.721097695660319</v>
      </c>
      <c r="Q436" s="19">
        <f t="shared" ca="1" si="78"/>
        <v>4.908164654349048</v>
      </c>
      <c r="R436" s="12">
        <f t="shared" ca="1" si="78"/>
        <v>6.5442195391320643</v>
      </c>
      <c r="S436" s="12">
        <f t="shared" ca="1" si="69"/>
        <v>3.1908959130390424</v>
      </c>
      <c r="T436" s="83">
        <f t="shared" ca="1" si="70"/>
        <v>14.643280106520155</v>
      </c>
    </row>
    <row r="437" spans="1:20" x14ac:dyDescent="0.3">
      <c r="A437" s="11">
        <v>45597</v>
      </c>
      <c r="B437" s="15">
        <f t="shared" ca="1" si="74"/>
        <v>52107.788208997481</v>
      </c>
      <c r="C437" s="98">
        <f t="shared" si="75"/>
        <v>47389.40132989562</v>
      </c>
      <c r="D437" s="12">
        <f t="shared" ca="1" si="76"/>
        <v>4718.3868791018604</v>
      </c>
      <c r="E437" s="99">
        <v>991.9303520606544</v>
      </c>
      <c r="F437" s="16">
        <f t="shared" ca="1" si="61"/>
        <v>764.86233273084849</v>
      </c>
      <c r="G437" s="12">
        <f t="shared" ca="1" si="62"/>
        <v>39.148512149768635</v>
      </c>
      <c r="H437" s="12">
        <f t="shared" si="63"/>
        <v>786.39781318364339</v>
      </c>
      <c r="I437" s="17" cm="1">
        <f t="array" ref="I437">IF(MONTH(A437) = LOOKUP(YEAR(A437), YEAR('CNY Dates'!A$2:A$34), 'CNY Dates'!B$2:B$34), LOOKUP(YEAR(A437), YEAR('Hongbao demand'!B$4:B$35), 'Hongbao demand'!F$4:F$35)  - O436, 0)</f>
        <v>0</v>
      </c>
      <c r="J437" s="18">
        <f t="shared" si="64"/>
        <v>-60.683992602563585</v>
      </c>
      <c r="K437" s="40">
        <f t="shared" si="77"/>
        <v>46292.246693200461</v>
      </c>
      <c r="L437" s="41">
        <f t="shared" si="77"/>
        <v>1.0830229517362184</v>
      </c>
      <c r="M437" s="14">
        <v>1E-4</v>
      </c>
      <c r="N437" s="19">
        <f t="shared" ca="1" si="65"/>
        <v>227.06801932980591</v>
      </c>
      <c r="O437" s="12">
        <f t="shared" ca="1" si="67"/>
        <v>31.643051137637165</v>
      </c>
      <c r="P437" s="18">
        <f t="shared" ca="1" si="66"/>
        <v>206.51476544210436</v>
      </c>
      <c r="Q437" s="19">
        <f t="shared" ca="1" si="78"/>
        <v>30.977214816315652</v>
      </c>
      <c r="R437" s="12">
        <f t="shared" ca="1" si="78"/>
        <v>41.302953088420878</v>
      </c>
      <c r="S437" s="12">
        <f t="shared" ca="1" si="69"/>
        <v>3.1643051137637168</v>
      </c>
      <c r="T437" s="83">
        <f t="shared" ca="1" si="70"/>
        <v>75.444473018500247</v>
      </c>
    </row>
    <row r="438" spans="1:20" x14ac:dyDescent="0.3">
      <c r="A438" s="11">
        <v>45627</v>
      </c>
      <c r="B438" s="15">
        <f t="shared" ca="1" si="74"/>
        <v>52333.754357216611</v>
      </c>
      <c r="C438" s="98">
        <f t="shared" si="75"/>
        <v>47594.814224227048</v>
      </c>
      <c r="D438" s="12">
        <f t="shared" ca="1" si="76"/>
        <v>4738.9401329895618</v>
      </c>
      <c r="E438" s="99">
        <v>995.23624982968909</v>
      </c>
      <c r="F438" s="16">
        <f t="shared" ca="1" si="61"/>
        <v>801.80654232616268</v>
      </c>
      <c r="G438" s="12">
        <f t="shared" ca="1" si="62"/>
        <v>39.319890659182171</v>
      </c>
      <c r="H438" s="12">
        <f t="shared" si="63"/>
        <v>789.8233554982603</v>
      </c>
      <c r="I438" s="17" cm="1">
        <f t="array" ref="I438">IF(MONTH(A438) = LOOKUP(YEAR(A438), YEAR('CNY Dates'!A$2:A$34), 'CNY Dates'!B$2:B$34), LOOKUP(YEAR(A438), YEAR('Hongbao demand'!B$4:B$35), 'Hongbao demand'!F$4:F$35)  - O437, 0)</f>
        <v>0</v>
      </c>
      <c r="J438" s="18">
        <f t="shared" si="64"/>
        <v>-27.336703831279845</v>
      </c>
      <c r="K438" s="40">
        <f t="shared" si="77"/>
        <v>46179.70974771621</v>
      </c>
      <c r="L438" s="41">
        <f t="shared" si="77"/>
        <v>1.0841267503572531</v>
      </c>
      <c r="M438" s="14">
        <v>1E-4</v>
      </c>
      <c r="N438" s="19">
        <f t="shared" ca="1" si="65"/>
        <v>193.4297075035264</v>
      </c>
      <c r="O438" s="12">
        <f t="shared" ca="1" si="67"/>
        <v>31.37935904482352</v>
      </c>
      <c r="P438" s="18">
        <f t="shared" ca="1" si="66"/>
        <v>172.88841807038352</v>
      </c>
      <c r="Q438" s="19">
        <f t="shared" ca="1" si="78"/>
        <v>25.933262710557528</v>
      </c>
      <c r="R438" s="12">
        <f t="shared" ca="1" si="78"/>
        <v>34.577683614076705</v>
      </c>
      <c r="S438" s="12">
        <f t="shared" ca="1" si="69"/>
        <v>3.1379359044823523</v>
      </c>
      <c r="T438" s="83">
        <f t="shared" ca="1" si="70"/>
        <v>63.648882229116587</v>
      </c>
    </row>
    <row r="439" spans="1:20" x14ac:dyDescent="0.3">
      <c r="A439" s="11">
        <v>45658</v>
      </c>
      <c r="B439" s="15">
        <f t="shared" ca="1" si="74"/>
        <v>52559.590890511361</v>
      </c>
      <c r="C439" s="98">
        <f t="shared" si="75"/>
        <v>47800.109468088653</v>
      </c>
      <c r="D439" s="12">
        <f t="shared" ca="1" si="76"/>
        <v>4759.4814224227048</v>
      </c>
      <c r="E439" s="99">
        <v>998.54214759872389</v>
      </c>
      <c r="F439" s="16">
        <f t="shared" ca="1" si="61"/>
        <v>750.99664351719161</v>
      </c>
      <c r="G439" s="12">
        <f t="shared" ca="1" si="62"/>
        <v>39.491167774913016</v>
      </c>
      <c r="H439" s="12">
        <f t="shared" si="63"/>
        <v>793.24690373711746</v>
      </c>
      <c r="I439" s="17" cm="1">
        <f t="array" ref="I439">IF(MONTH(A439) = LOOKUP(YEAR(A439), YEAR('CNY Dates'!A$2:A$34), 'CNY Dates'!B$2:B$34), LOOKUP(YEAR(A439), YEAR('Hongbao demand'!B$4:B$35), 'Hongbao demand'!F$4:F$35)  - O438, 0)</f>
        <v>0</v>
      </c>
      <c r="J439" s="18">
        <f t="shared" si="64"/>
        <v>-81.741427994838858</v>
      </c>
      <c r="K439" s="40">
        <f t="shared" si="77"/>
        <v>45750.78916865572</v>
      </c>
      <c r="L439" s="41">
        <f t="shared" si="77"/>
        <v>1.0852305489782881</v>
      </c>
      <c r="M439" s="14">
        <v>1E-4</v>
      </c>
      <c r="N439" s="19">
        <f t="shared" ca="1" si="65"/>
        <v>247.54550408153227</v>
      </c>
      <c r="O439" s="12">
        <f t="shared" ca="1" si="67"/>
        <v>31.117864386116658</v>
      </c>
      <c r="P439" s="18">
        <f t="shared" ca="1" si="66"/>
        <v>227.01597969537124</v>
      </c>
      <c r="Q439" s="19">
        <f t="shared" ca="1" si="78"/>
        <v>34.052396954305685</v>
      </c>
      <c r="R439" s="12">
        <f t="shared" ca="1" si="78"/>
        <v>45.403195939074251</v>
      </c>
      <c r="S439" s="12">
        <f t="shared" ca="1" si="69"/>
        <v>3.111786438611666</v>
      </c>
      <c r="T439" s="83">
        <f t="shared" ca="1" si="70"/>
        <v>82.567379331991589</v>
      </c>
    </row>
    <row r="440" spans="1:20" x14ac:dyDescent="0.3">
      <c r="A440" s="11">
        <v>45689</v>
      </c>
      <c r="B440" s="15">
        <f t="shared" ca="1" si="74"/>
        <v>52785.299969130465</v>
      </c>
      <c r="C440" s="98">
        <f t="shared" si="75"/>
        <v>48005.289022321602</v>
      </c>
      <c r="D440" s="12">
        <f t="shared" ca="1" si="76"/>
        <v>4780.0109468088658</v>
      </c>
      <c r="E440" s="99">
        <v>1001.8480453677587</v>
      </c>
      <c r="F440" s="16">
        <f t="shared" ca="1" si="61"/>
        <v>836.0880153759224</v>
      </c>
      <c r="G440" s="12">
        <f t="shared" ca="1" si="62"/>
        <v>39.662345186855873</v>
      </c>
      <c r="H440" s="12">
        <f t="shared" si="63"/>
        <v>796.66849113481089</v>
      </c>
      <c r="I440" s="17" cm="1">
        <f t="array" aca="1" ref="I440" ca="1">IF(MONTH(A440) = LOOKUP(YEAR(A440), YEAR('CNY Dates'!A$2:A$34), 'CNY Dates'!B$2:B$34), LOOKUP(YEAR(A440), YEAR('Hongbao demand'!B$4:B$35), 'Hongbao demand'!F$4:F$35)  - O439, 0)</f>
        <v>-20.60555724507627</v>
      </c>
      <c r="J440" s="18">
        <f t="shared" si="64"/>
        <v>20.362736299331871</v>
      </c>
      <c r="K440" s="40">
        <f t="shared" si="77"/>
        <v>45915.65405697628</v>
      </c>
      <c r="L440" s="41">
        <f t="shared" si="77"/>
        <v>1.0863343475993228</v>
      </c>
      <c r="M440" s="14">
        <v>1E-4</v>
      </c>
      <c r="N440" s="19">
        <f t="shared" ca="1" si="65"/>
        <v>165.76002999183629</v>
      </c>
      <c r="O440" s="12">
        <f t="shared" ca="1" si="67"/>
        <v>33.152005998367258</v>
      </c>
      <c r="P440" s="18">
        <f t="shared" ca="1" si="66"/>
        <v>145.24207456854219</v>
      </c>
      <c r="Q440" s="19">
        <f t="shared" ca="1" si="78"/>
        <v>21.786311185281328</v>
      </c>
      <c r="R440" s="12">
        <f t="shared" ca="1" si="78"/>
        <v>29.048414913708442</v>
      </c>
      <c r="S440" s="12">
        <f t="shared" ca="1" si="69"/>
        <v>3.315200599836726</v>
      </c>
      <c r="T440" s="83">
        <f t="shared" ca="1" si="70"/>
        <v>54.149926698826498</v>
      </c>
    </row>
    <row r="441" spans="1:20" x14ac:dyDescent="0.3">
      <c r="A441" s="11">
        <v>45717</v>
      </c>
      <c r="B441" s="15">
        <f t="shared" ca="1" si="74"/>
        <v>53010.883717318524</v>
      </c>
      <c r="C441" s="98">
        <f t="shared" si="75"/>
        <v>48210.354815086364</v>
      </c>
      <c r="D441" s="12">
        <f t="shared" ca="1" si="76"/>
        <v>4800.5289022321604</v>
      </c>
      <c r="E441" s="99">
        <v>1005.1539431367934</v>
      </c>
      <c r="F441" s="16">
        <f t="shared" ca="1" si="61"/>
        <v>853.41801046900298</v>
      </c>
      <c r="G441" s="12">
        <f t="shared" ca="1" si="62"/>
        <v>39.833424556740546</v>
      </c>
      <c r="H441" s="12">
        <f t="shared" si="63"/>
        <v>800.08815037202669</v>
      </c>
      <c r="I441" s="17" cm="1">
        <f t="array" ref="I441">IF(MONTH(A441) = LOOKUP(YEAR(A441), YEAR('CNY Dates'!A$2:A$34), 'CNY Dates'!B$2:B$34), LOOKUP(YEAR(A441), YEAR('Hongbao demand'!B$4:B$35), 'Hongbao demand'!F$4:F$35)  - O440, 0)</f>
        <v>0</v>
      </c>
      <c r="J441" s="18">
        <f t="shared" si="64"/>
        <v>13.496435540235794</v>
      </c>
      <c r="K441" s="40">
        <f t="shared" si="77"/>
        <v>46040.822039346902</v>
      </c>
      <c r="L441" s="41">
        <f t="shared" si="77"/>
        <v>1.0874381462203577</v>
      </c>
      <c r="M441" s="14">
        <v>1E-4</v>
      </c>
      <c r="N441" s="19">
        <f t="shared" ca="1" si="65"/>
        <v>151.73593266779039</v>
      </c>
      <c r="O441" s="12">
        <f t="shared" ca="1" si="67"/>
        <v>32.875739281714196</v>
      </c>
      <c r="P441" s="18">
        <f t="shared" ca="1" si="66"/>
        <v>131.22935339131436</v>
      </c>
      <c r="Q441" s="19">
        <f t="shared" ca="1" si="78"/>
        <v>19.684403008697153</v>
      </c>
      <c r="R441" s="12">
        <f t="shared" ca="1" si="78"/>
        <v>26.245870678262875</v>
      </c>
      <c r="S441" s="12">
        <f t="shared" ca="1" si="69"/>
        <v>3.2875739281714198</v>
      </c>
      <c r="T441" s="83">
        <f t="shared" ca="1" si="70"/>
        <v>49.217847615131447</v>
      </c>
    </row>
    <row r="442" spans="1:20" x14ac:dyDescent="0.3">
      <c r="A442" s="11">
        <v>45748</v>
      </c>
      <c r="B442" s="15">
        <f t="shared" ca="1" si="74"/>
        <v>53236.344223916065</v>
      </c>
      <c r="C442" s="98">
        <f t="shared" si="75"/>
        <v>48415.308742407426</v>
      </c>
      <c r="D442" s="12">
        <f t="shared" ca="1" si="76"/>
        <v>4821.0354815086366</v>
      </c>
      <c r="E442" s="99">
        <v>1008.4598409058281</v>
      </c>
      <c r="F442" s="16">
        <f t="shared" ca="1" si="61"/>
        <v>884.73530958350727</v>
      </c>
      <c r="G442" s="12">
        <f t="shared" ca="1" si="62"/>
        <v>40.004407518601333</v>
      </c>
      <c r="H442" s="12">
        <f t="shared" si="63"/>
        <v>803.50591358477277</v>
      </c>
      <c r="I442" s="17" cm="1">
        <f t="array" ref="I442">IF(MONTH(A442) = LOOKUP(YEAR(A442), YEAR('CNY Dates'!A$2:A$34), 'CNY Dates'!B$2:B$34), LOOKUP(YEAR(A442), YEAR('Hongbao demand'!B$4:B$35), 'Hongbao demand'!F$4:F$35)  - O441, 0)</f>
        <v>0</v>
      </c>
      <c r="J442" s="18">
        <f t="shared" si="64"/>
        <v>41.224988480133177</v>
      </c>
      <c r="K442" s="40">
        <f t="shared" si="77"/>
        <v>46327.792402125495</v>
      </c>
      <c r="L442" s="41">
        <f t="shared" si="77"/>
        <v>1.0885419448413924</v>
      </c>
      <c r="M442" s="14">
        <v>1E-4</v>
      </c>
      <c r="N442" s="19">
        <f t="shared" ca="1" si="65"/>
        <v>123.72453132232079</v>
      </c>
      <c r="O442" s="12">
        <f t="shared" ca="1" si="67"/>
        <v>32.60177478769991</v>
      </c>
      <c r="P442" s="18">
        <f t="shared" ca="1" si="66"/>
        <v>103.22913859021537</v>
      </c>
      <c r="Q442" s="19">
        <f t="shared" ca="1" si="78"/>
        <v>15.484370788532305</v>
      </c>
      <c r="R442" s="12">
        <f t="shared" ca="1" si="78"/>
        <v>20.645827718043076</v>
      </c>
      <c r="S442" s="12">
        <f t="shared" ca="1" si="69"/>
        <v>3.2601774787699913</v>
      </c>
      <c r="T442" s="83">
        <f t="shared" ca="1" si="70"/>
        <v>39.390375985345372</v>
      </c>
    </row>
    <row r="443" spans="1:20" x14ac:dyDescent="0.3">
      <c r="A443" s="11">
        <v>45778</v>
      </c>
      <c r="B443" s="15">
        <f t="shared" ca="1" si="74"/>
        <v>53461.683542949577</v>
      </c>
      <c r="C443" s="98">
        <f t="shared" si="75"/>
        <v>48620.152668708834</v>
      </c>
      <c r="D443" s="12">
        <f t="shared" ca="1" si="76"/>
        <v>4841.5308742407424</v>
      </c>
      <c r="E443" s="99">
        <v>1011.7657386748629</v>
      </c>
      <c r="F443" s="16">
        <f t="shared" ca="1" si="61"/>
        <v>898.28733515190697</v>
      </c>
      <c r="G443" s="12">
        <f t="shared" ca="1" si="62"/>
        <v>40.175295679238637</v>
      </c>
      <c r="H443" s="12">
        <f t="shared" si="63"/>
        <v>806.9218123734571</v>
      </c>
      <c r="I443" s="17" cm="1">
        <f t="array" ref="I443">IF(MONTH(A443) = LOOKUP(YEAR(A443), YEAR('CNY Dates'!A$2:A$34), 'CNY Dates'!B$2:B$34), LOOKUP(YEAR(A443), YEAR('Hongbao demand'!B$4:B$35), 'Hongbao demand'!F$4:F$35)  - O442, 0)</f>
        <v>0</v>
      </c>
      <c r="J443" s="18">
        <f t="shared" si="64"/>
        <v>51.190227099211242</v>
      </c>
      <c r="K443" s="40">
        <f t="shared" si="77"/>
        <v>46673.947074447016</v>
      </c>
      <c r="L443" s="41">
        <f t="shared" si="77"/>
        <v>1.0896457434624274</v>
      </c>
      <c r="M443" s="14">
        <v>1E-4</v>
      </c>
      <c r="N443" s="19">
        <f t="shared" ca="1" si="65"/>
        <v>113.47840352295589</v>
      </c>
      <c r="O443" s="12">
        <f t="shared" ca="1" si="67"/>
        <v>32.330093331135743</v>
      </c>
      <c r="P443" s="18">
        <f t="shared" ca="1" si="66"/>
        <v>92.994010892814913</v>
      </c>
      <c r="Q443" s="19">
        <f t="shared" ca="1" si="78"/>
        <v>13.949101633922236</v>
      </c>
      <c r="R443" s="12">
        <f t="shared" ca="1" si="78"/>
        <v>18.598802178562984</v>
      </c>
      <c r="S443" s="12">
        <f t="shared" ca="1" si="69"/>
        <v>3.2330093331135745</v>
      </c>
      <c r="T443" s="83">
        <f t="shared" ca="1" si="70"/>
        <v>35.780913145598788</v>
      </c>
    </row>
    <row r="444" spans="1:20" x14ac:dyDescent="0.3">
      <c r="A444" s="11">
        <v>45809</v>
      </c>
      <c r="B444" s="15">
        <f t="shared" ca="1" si="74"/>
        <v>53686.903694211804</v>
      </c>
      <c r="C444" s="98">
        <f t="shared" si="75"/>
        <v>48824.88842734092</v>
      </c>
      <c r="D444" s="12">
        <f t="shared" ca="1" si="76"/>
        <v>4862.0152668708834</v>
      </c>
      <c r="E444" s="99">
        <v>1015.0716364438977</v>
      </c>
      <c r="F444" s="16">
        <f t="shared" ca="1" si="61"/>
        <v>837.67528390740222</v>
      </c>
      <c r="G444" s="12">
        <f t="shared" ca="1" si="62"/>
        <v>40.346090618672854</v>
      </c>
      <c r="H444" s="12">
        <f t="shared" si="63"/>
        <v>810.33587781181393</v>
      </c>
      <c r="I444" s="17" cm="1">
        <f t="array" ref="I444">IF(MONTH(A444) = LOOKUP(YEAR(A444), YEAR('CNY Dates'!A$2:A$34), 'CNY Dates'!B$2:B$34), LOOKUP(YEAR(A444), YEAR('Hongbao demand'!B$4:B$35), 'Hongbao demand'!F$4:F$35)  - O443, 0)</f>
        <v>0</v>
      </c>
      <c r="J444" s="18">
        <f t="shared" si="64"/>
        <v>-13.006684523084559</v>
      </c>
      <c r="K444" s="40">
        <f t="shared" si="77"/>
        <v>46645.119435969318</v>
      </c>
      <c r="L444" s="41">
        <f t="shared" si="77"/>
        <v>1.0907495420834621</v>
      </c>
      <c r="M444" s="14">
        <v>1E-4</v>
      </c>
      <c r="N444" s="19">
        <f t="shared" ca="1" si="65"/>
        <v>177.39635253649544</v>
      </c>
      <c r="O444" s="12">
        <f t="shared" ca="1" si="67"/>
        <v>32.06067588670961</v>
      </c>
      <c r="P444" s="18">
        <f t="shared" ca="1" si="66"/>
        <v>156.92277667328653</v>
      </c>
      <c r="Q444" s="19">
        <f t="shared" ca="1" si="78"/>
        <v>23.53841650099298</v>
      </c>
      <c r="R444" s="12">
        <f t="shared" ca="1" si="78"/>
        <v>31.384555334657307</v>
      </c>
      <c r="S444" s="12">
        <f t="shared" ca="1" si="69"/>
        <v>3.2060675886709613</v>
      </c>
      <c r="T444" s="83">
        <f t="shared" ca="1" si="70"/>
        <v>58.129039424321249</v>
      </c>
    </row>
    <row r="445" spans="1:20" x14ac:dyDescent="0.3">
      <c r="A445" s="11">
        <v>45839</v>
      </c>
      <c r="B445" s="15">
        <f t="shared" ca="1" si="74"/>
        <v>53912.006663832261</v>
      </c>
      <c r="C445" s="98">
        <f t="shared" si="75"/>
        <v>49029.517821098168</v>
      </c>
      <c r="D445" s="12">
        <f t="shared" ca="1" si="76"/>
        <v>4882.488842734092</v>
      </c>
      <c r="E445" s="99">
        <v>1018.3775342129323</v>
      </c>
      <c r="F445" s="16">
        <f t="shared" ca="1" si="61"/>
        <v>950.66780266977094</v>
      </c>
      <c r="G445" s="12">
        <f t="shared" ca="1" si="62"/>
        <v>40.516793890590698</v>
      </c>
      <c r="H445" s="12">
        <f t="shared" si="63"/>
        <v>813.74814045568201</v>
      </c>
      <c r="I445" s="17" cm="1">
        <f t="array" ref="I445">IF(MONTH(A445) = LOOKUP(YEAR(A445), YEAR('CNY Dates'!A$2:A$34), 'CNY Dates'!B$2:B$34), LOOKUP(YEAR(A445), YEAR('Hongbao demand'!B$4:B$35), 'Hongbao demand'!F$4:F$35)  - O444, 0)</f>
        <v>0</v>
      </c>
      <c r="J445" s="18">
        <f t="shared" si="64"/>
        <v>96.402868323498197</v>
      </c>
      <c r="K445" s="40">
        <f t="shared" si="77"/>
        <v>47257.890441722826</v>
      </c>
      <c r="L445" s="41">
        <f t="shared" si="77"/>
        <v>1.091853340704497</v>
      </c>
      <c r="M445" s="14">
        <v>1E-4</v>
      </c>
      <c r="N445" s="19">
        <f t="shared" ca="1" si="65"/>
        <v>67.709731543161411</v>
      </c>
      <c r="O445" s="12">
        <f t="shared" ca="1" si="67"/>
        <v>31.793503587653696</v>
      </c>
      <c r="P445" s="18">
        <f t="shared" ca="1" si="66"/>
        <v>47.24679216743607</v>
      </c>
      <c r="Q445" s="19">
        <f t="shared" ca="1" si="78"/>
        <v>7.0870188251154103</v>
      </c>
      <c r="R445" s="12">
        <f t="shared" ca="1" si="78"/>
        <v>9.4493584334872143</v>
      </c>
      <c r="S445" s="12">
        <f t="shared" ca="1" si="69"/>
        <v>3.1793503587653698</v>
      </c>
      <c r="T445" s="83">
        <f t="shared" ca="1" si="70"/>
        <v>19.715727617367993</v>
      </c>
    </row>
    <row r="446" spans="1:20" x14ac:dyDescent="0.3">
      <c r="A446" s="11">
        <v>45870</v>
      </c>
      <c r="B446" s="15">
        <f t="shared" ca="1" si="74"/>
        <v>54136.994404838319</v>
      </c>
      <c r="C446" s="98">
        <f t="shared" si="75"/>
        <v>49234.042622728499</v>
      </c>
      <c r="D446" s="12">
        <f t="shared" ca="1" si="76"/>
        <v>4902.951782109817</v>
      </c>
      <c r="E446" s="99">
        <v>1021.6834319819671</v>
      </c>
      <c r="F446" s="16">
        <f t="shared" ca="1" si="61"/>
        <v>813.25134224127953</v>
      </c>
      <c r="G446" s="12">
        <f t="shared" ca="1" si="62"/>
        <v>40.6874070227841</v>
      </c>
      <c r="H446" s="12">
        <f t="shared" si="63"/>
        <v>817.15863035163613</v>
      </c>
      <c r="I446" s="17" cm="1">
        <f t="array" ref="I446">IF(MONTH(A446) = LOOKUP(YEAR(A446), YEAR('CNY Dates'!A$2:A$34), 'CNY Dates'!B$2:B$34), LOOKUP(YEAR(A446), YEAR('Hongbao demand'!B$4:B$35), 'Hongbao demand'!F$4:F$35)  - O445, 0)</f>
        <v>0</v>
      </c>
      <c r="J446" s="18">
        <f t="shared" si="64"/>
        <v>-44.594695133140696</v>
      </c>
      <c r="K446" s="40">
        <f t="shared" si="77"/>
        <v>47043.617554393262</v>
      </c>
      <c r="L446" s="41">
        <f t="shared" si="77"/>
        <v>1.0929571393255317</v>
      </c>
      <c r="M446" s="14">
        <v>1E-4</v>
      </c>
      <c r="N446" s="19">
        <f t="shared" ca="1" si="65"/>
        <v>208.43208974068762</v>
      </c>
      <c r="O446" s="12">
        <f t="shared" ca="1" si="67"/>
        <v>31.528557724423248</v>
      </c>
      <c r="P446" s="18">
        <f t="shared" ca="1" si="66"/>
        <v>187.97960957765463</v>
      </c>
      <c r="Q446" s="19">
        <f t="shared" ca="1" si="78"/>
        <v>28.196941436648192</v>
      </c>
      <c r="R446" s="12">
        <f t="shared" ca="1" si="78"/>
        <v>37.59592191553093</v>
      </c>
      <c r="S446" s="12">
        <f t="shared" ca="1" si="69"/>
        <v>3.152855772442325</v>
      </c>
      <c r="T446" s="83">
        <f t="shared" ca="1" si="70"/>
        <v>68.945719124621448</v>
      </c>
    </row>
    <row r="447" spans="1:20" x14ac:dyDescent="0.3">
      <c r="A447" s="11">
        <v>45901</v>
      </c>
      <c r="B447" s="15">
        <f t="shared" ca="1" si="74"/>
        <v>54361.868837706876</v>
      </c>
      <c r="C447" s="98">
        <f t="shared" si="75"/>
        <v>49438.464575434024</v>
      </c>
      <c r="D447" s="12">
        <f t="shared" ca="1" si="76"/>
        <v>4923.4042622728502</v>
      </c>
      <c r="E447" s="99">
        <v>1024.9893297510018</v>
      </c>
      <c r="F447" s="16">
        <f t="shared" ca="1" si="61"/>
        <v>847.97875742160784</v>
      </c>
      <c r="G447" s="12">
        <f t="shared" ca="1" si="62"/>
        <v>40.857931517581811</v>
      </c>
      <c r="H447" s="12">
        <f t="shared" si="63"/>
        <v>820.56737704547493</v>
      </c>
      <c r="I447" s="17" cm="1">
        <f t="array" ref="I447">IF(MONTH(A447) = LOOKUP(YEAR(A447), YEAR('CNY Dates'!A$2:A$34), 'CNY Dates'!B$2:B$34), LOOKUP(YEAR(A447), YEAR('Hongbao demand'!B$4:B$35), 'Hongbao demand'!F$4:F$35)  - O446, 0)</f>
        <v>0</v>
      </c>
      <c r="J447" s="18">
        <f t="shared" si="64"/>
        <v>-13.446551141448916</v>
      </c>
      <c r="K447" s="40">
        <f t="shared" si="77"/>
        <v>47012.255839139107</v>
      </c>
      <c r="L447" s="41">
        <f t="shared" si="77"/>
        <v>1.0940609379465667</v>
      </c>
      <c r="M447" s="14">
        <v>1E-4</v>
      </c>
      <c r="N447" s="19">
        <f t="shared" ca="1" si="65"/>
        <v>177.01057232939399</v>
      </c>
      <c r="O447" s="12">
        <f t="shared" ca="1" si="67"/>
        <v>31.265819743386388</v>
      </c>
      <c r="P447" s="18">
        <f t="shared" ca="1" si="66"/>
        <v>156.56837705884118</v>
      </c>
      <c r="Q447" s="19">
        <f t="shared" ca="1" si="78"/>
        <v>23.485256558826176</v>
      </c>
      <c r="R447" s="12">
        <f t="shared" ca="1" si="78"/>
        <v>31.313675411768237</v>
      </c>
      <c r="S447" s="12">
        <f t="shared" ca="1" si="69"/>
        <v>3.1265819743386389</v>
      </c>
      <c r="T447" s="83">
        <f t="shared" ca="1" si="70"/>
        <v>57.925513944933051</v>
      </c>
    </row>
    <row r="448" spans="1:20" x14ac:dyDescent="0.3">
      <c r="A448" s="11">
        <v>45931</v>
      </c>
      <c r="B448" s="15">
        <f t="shared" ca="1" si="74"/>
        <v>54586.631850906895</v>
      </c>
      <c r="C448" s="98">
        <f t="shared" si="75"/>
        <v>49642.785393363491</v>
      </c>
      <c r="D448" s="12">
        <f t="shared" ca="1" si="76"/>
        <v>4943.8464575434027</v>
      </c>
      <c r="E448" s="99">
        <v>1028.2952275200366</v>
      </c>
      <c r="F448" s="16">
        <f t="shared" ca="1" si="61"/>
        <v>977.63037507808099</v>
      </c>
      <c r="G448" s="12">
        <f t="shared" ca="1" si="62"/>
        <v>41.028368852273751</v>
      </c>
      <c r="H448" s="12">
        <f t="shared" si="63"/>
        <v>823.97440959056701</v>
      </c>
      <c r="I448" s="17" cm="1">
        <f t="array" ref="I448">IF(MONTH(A448) = LOOKUP(YEAR(A448), YEAR('CNY Dates'!A$2:A$34), 'CNY Dates'!B$2:B$34), LOOKUP(YEAR(A448), YEAR('Hongbao demand'!B$4:B$35), 'Hongbao demand'!F$4:F$35)  - O447, 0)</f>
        <v>0</v>
      </c>
      <c r="J448" s="18">
        <f t="shared" si="64"/>
        <v>112.62759663524029</v>
      </c>
      <c r="K448" s="40">
        <f t="shared" si="77"/>
        <v>47722.353703897861</v>
      </c>
      <c r="L448" s="41">
        <f t="shared" si="77"/>
        <v>1.0951647365676014</v>
      </c>
      <c r="M448" s="14">
        <v>1E-4</v>
      </c>
      <c r="N448" s="19">
        <f t="shared" ca="1" si="65"/>
        <v>50.664852441955645</v>
      </c>
      <c r="O448" s="12">
        <f t="shared" ca="1" si="67"/>
        <v>31.005271245524835</v>
      </c>
      <c r="P448" s="18">
        <f t="shared" ca="1" si="66"/>
        <v>30.232770649009581</v>
      </c>
      <c r="Q448" s="19">
        <f t="shared" ca="1" si="78"/>
        <v>4.5349155973514366</v>
      </c>
      <c r="R448" s="12">
        <f t="shared" ca="1" si="78"/>
        <v>6.0465541298019163</v>
      </c>
      <c r="S448" s="12">
        <f t="shared" ca="1" si="69"/>
        <v>3.1005271245524835</v>
      </c>
      <c r="T448" s="83">
        <f t="shared" ca="1" si="70"/>
        <v>13.681996851705836</v>
      </c>
    </row>
    <row r="449" spans="1:20" x14ac:dyDescent="0.3">
      <c r="A449" s="11">
        <v>45962</v>
      </c>
      <c r="B449" s="15">
        <f t="shared" ca="1" si="74"/>
        <v>54811.285301432858</v>
      </c>
      <c r="C449" s="98">
        <f t="shared" si="75"/>
        <v>49847.006762096506</v>
      </c>
      <c r="D449" s="12">
        <f t="shared" ca="1" si="76"/>
        <v>4964.2785393363492</v>
      </c>
      <c r="E449" s="99">
        <v>1031.6011252890714</v>
      </c>
      <c r="F449" s="16">
        <f t="shared" ca="1" si="61"/>
        <v>808.15441644627492</v>
      </c>
      <c r="G449" s="12">
        <f t="shared" ca="1" si="62"/>
        <v>41.198720479528355</v>
      </c>
      <c r="H449" s="12">
        <f t="shared" si="63"/>
        <v>827.37975655605817</v>
      </c>
      <c r="I449" s="17" cm="1">
        <f t="array" ref="I449">IF(MONTH(A449) = LOOKUP(YEAR(A449), YEAR('CNY Dates'!A$2:A$34), 'CNY Dates'!B$2:B$34), LOOKUP(YEAR(A449), YEAR('Hongbao demand'!B$4:B$35), 'Hongbao demand'!F$4:F$35)  - O448, 0)</f>
        <v>0</v>
      </c>
      <c r="J449" s="18">
        <f t="shared" si="64"/>
        <v>-60.424060589311573</v>
      </c>
      <c r="K449" s="40">
        <f t="shared" si="77"/>
        <v>47414.358416630748</v>
      </c>
      <c r="L449" s="41">
        <f t="shared" si="77"/>
        <v>1.0962685351886361</v>
      </c>
      <c r="M449" s="14">
        <v>1E-4</v>
      </c>
      <c r="N449" s="19">
        <f t="shared" ca="1" si="65"/>
        <v>223.44670884279651</v>
      </c>
      <c r="O449" s="12">
        <f t="shared" ca="1" si="67"/>
        <v>30.746893985145459</v>
      </c>
      <c r="P449" s="18">
        <f t="shared" ca="1" si="66"/>
        <v>203.0245719694949</v>
      </c>
      <c r="Q449" s="19">
        <f t="shared" ca="1" si="78"/>
        <v>30.453685795424235</v>
      </c>
      <c r="R449" s="12">
        <f t="shared" ca="1" si="78"/>
        <v>40.60491439389898</v>
      </c>
      <c r="S449" s="12">
        <f t="shared" ca="1" si="69"/>
        <v>3.074689398514546</v>
      </c>
      <c r="T449" s="83">
        <f t="shared" ca="1" si="70"/>
        <v>74.133289587837766</v>
      </c>
    </row>
    <row r="450" spans="1:20" x14ac:dyDescent="0.3">
      <c r="A450" s="11">
        <v>45992</v>
      </c>
      <c r="B450" s="15">
        <f t="shared" ca="1" si="74"/>
        <v>55035.831015329321</v>
      </c>
      <c r="C450" s="98">
        <f t="shared" si="75"/>
        <v>50051.130339119671</v>
      </c>
      <c r="D450" s="12">
        <f t="shared" ca="1" si="76"/>
        <v>4984.7006762096507</v>
      </c>
      <c r="E450" s="99">
        <v>1034.907023058106</v>
      </c>
      <c r="F450" s="16">
        <f t="shared" ca="1" si="61"/>
        <v>844.88170035850681</v>
      </c>
      <c r="G450" s="12">
        <f t="shared" ca="1" si="62"/>
        <v>41.368987827802911</v>
      </c>
      <c r="H450" s="12">
        <f t="shared" si="63"/>
        <v>830.78344603494179</v>
      </c>
      <c r="I450" s="17" cm="1">
        <f t="array" ref="I450">IF(MONTH(A450) = LOOKUP(YEAR(A450), YEAR('CNY Dates'!A$2:A$34), 'CNY Dates'!B$2:B$34), LOOKUP(YEAR(A450), YEAR('Hongbao demand'!B$4:B$35), 'Hongbao demand'!F$4:F$35)  - O449, 0)</f>
        <v>0</v>
      </c>
      <c r="J450" s="18">
        <f t="shared" si="64"/>
        <v>-27.270733504237928</v>
      </c>
      <c r="K450" s="40">
        <f t="shared" si="77"/>
        <v>47301.821471146497</v>
      </c>
      <c r="L450" s="41">
        <f t="shared" si="77"/>
        <v>1.097372333809671</v>
      </c>
      <c r="M450" s="14">
        <v>1E-4</v>
      </c>
      <c r="N450" s="19">
        <f t="shared" ca="1" si="65"/>
        <v>190.0253226995992</v>
      </c>
      <c r="O450" s="12">
        <f t="shared" ca="1" si="67"/>
        <v>30.490669868602581</v>
      </c>
      <c r="P450" s="18">
        <f t="shared" ca="1" si="66"/>
        <v>169.61296499728269</v>
      </c>
      <c r="Q450" s="19">
        <f t="shared" ca="1" si="78"/>
        <v>25.441944749592402</v>
      </c>
      <c r="R450" s="12">
        <f t="shared" ca="1" si="78"/>
        <v>33.92259299945654</v>
      </c>
      <c r="S450" s="12">
        <f t="shared" ca="1" si="69"/>
        <v>3.0490669868602582</v>
      </c>
      <c r="T450" s="83">
        <f t="shared" ca="1" si="70"/>
        <v>62.413604735909203</v>
      </c>
    </row>
    <row r="451" spans="1:20" x14ac:dyDescent="0.3">
      <c r="A451" s="11">
        <v>46023</v>
      </c>
      <c r="B451" s="15">
        <f t="shared" ca="1" si="74"/>
        <v>55260.270788206792</v>
      </c>
      <c r="C451" s="98">
        <f t="shared" si="75"/>
        <v>50255.157754294822</v>
      </c>
      <c r="D451" s="12">
        <f t="shared" ca="1" si="76"/>
        <v>5005.1130339119672</v>
      </c>
      <c r="E451" s="99">
        <v>1038.2129208271408</v>
      </c>
      <c r="F451" s="16">
        <f t="shared" ca="1" si="61"/>
        <v>794.37567902462615</v>
      </c>
      <c r="G451" s="12">
        <f t="shared" ca="1" si="62"/>
        <v>41.539172301747087</v>
      </c>
      <c r="H451" s="12">
        <f t="shared" si="63"/>
        <v>834.1855056519945</v>
      </c>
      <c r="I451" s="17" cm="1">
        <f t="array" ref="I451">IF(MONTH(A451) = LOOKUP(YEAR(A451), YEAR('CNY Dates'!A$2:A$34), 'CNY Dates'!B$2:B$34), LOOKUP(YEAR(A451), YEAR('Hongbao demand'!B$4:B$35), 'Hongbao demand'!F$4:F$35)  - O450, 0)</f>
        <v>0</v>
      </c>
      <c r="J451" s="18">
        <f t="shared" si="64"/>
        <v>-81.348998929115439</v>
      </c>
      <c r="K451" s="40">
        <f t="shared" si="77"/>
        <v>46872.900892086014</v>
      </c>
      <c r="L451" s="41">
        <f t="shared" si="77"/>
        <v>1.0984761324307057</v>
      </c>
      <c r="M451" s="14">
        <v>1E-4</v>
      </c>
      <c r="N451" s="19">
        <f t="shared" ca="1" si="65"/>
        <v>243.83724180251465</v>
      </c>
      <c r="O451" s="12">
        <f t="shared" ca="1" si="67"/>
        <v>30.236580953030895</v>
      </c>
      <c r="P451" s="18">
        <f t="shared" ca="1" si="66"/>
        <v>223.43450028499956</v>
      </c>
      <c r="Q451" s="19">
        <f t="shared" ca="1" si="78"/>
        <v>33.515175042749931</v>
      </c>
      <c r="R451" s="12">
        <f t="shared" ca="1" si="78"/>
        <v>44.686900056999917</v>
      </c>
      <c r="S451" s="12">
        <f t="shared" ca="1" si="69"/>
        <v>3.0236580953030896</v>
      </c>
      <c r="T451" s="83">
        <f t="shared" ca="1" si="70"/>
        <v>81.225733195052939</v>
      </c>
    </row>
    <row r="452" spans="1:20" x14ac:dyDescent="0.3">
      <c r="A452" s="11">
        <v>46054</v>
      </c>
      <c r="B452" s="15">
        <f t="shared" ca="1" si="74"/>
        <v>55484.606385748899</v>
      </c>
      <c r="C452" s="98">
        <f t="shared" si="75"/>
        <v>50459.090610319414</v>
      </c>
      <c r="D452" s="12">
        <f t="shared" ca="1" si="76"/>
        <v>5025.5157754294823</v>
      </c>
      <c r="E452" s="99">
        <v>1041.5188185961756</v>
      </c>
      <c r="F452" s="16">
        <f t="shared" ca="1" si="61"/>
        <v>879.71437044960783</v>
      </c>
      <c r="G452" s="12">
        <f t="shared" ca="1" si="62"/>
        <v>41.709275282599727</v>
      </c>
      <c r="H452" s="12">
        <f t="shared" si="63"/>
        <v>837.58596257158035</v>
      </c>
      <c r="I452" s="17" cm="1">
        <f t="array" aca="1" ref="I452" ca="1">IF(MONTH(A452) = LOOKUP(YEAR(A452), YEAR('CNY Dates'!A$2:A$34), 'CNY Dates'!B$2:B$34), LOOKUP(YEAR(A452), YEAR('Hongbao demand'!B$4:B$35), 'Hongbao demand'!F$4:F$35)  - O451, 0)</f>
        <v>-19.724273811990507</v>
      </c>
      <c r="J452" s="18">
        <f t="shared" si="64"/>
        <v>20.14340640741834</v>
      </c>
      <c r="K452" s="40">
        <f t="shared" si="77"/>
        <v>47037.765780406568</v>
      </c>
      <c r="L452" s="41">
        <f t="shared" si="77"/>
        <v>1.0995799310517407</v>
      </c>
      <c r="M452" s="14">
        <v>1E-4</v>
      </c>
      <c r="N452" s="19">
        <f t="shared" ca="1" si="65"/>
        <v>161.80444814656778</v>
      </c>
      <c r="O452" s="12">
        <f t="shared" ca="1" si="67"/>
        <v>32.360889629313554</v>
      </c>
      <c r="P452" s="18">
        <f t="shared" ca="1" si="66"/>
        <v>141.41116254410827</v>
      </c>
      <c r="Q452" s="19">
        <f t="shared" ca="1" si="78"/>
        <v>21.211674381616238</v>
      </c>
      <c r="R452" s="12">
        <f t="shared" ca="1" si="78"/>
        <v>28.282232508821654</v>
      </c>
      <c r="S452" s="12">
        <f t="shared" ca="1" si="69"/>
        <v>3.2360889629313556</v>
      </c>
      <c r="T452" s="83">
        <f t="shared" ca="1" si="70"/>
        <v>52.729995853369246</v>
      </c>
    </row>
    <row r="453" spans="1:20" x14ac:dyDescent="0.3">
      <c r="A453" s="11">
        <v>46082</v>
      </c>
      <c r="B453" s="15">
        <f t="shared" ca="1" si="74"/>
        <v>55708.839544211245</v>
      </c>
      <c r="C453" s="98">
        <f t="shared" si="75"/>
        <v>50662.930483179305</v>
      </c>
      <c r="D453" s="12">
        <f t="shared" ca="1" si="76"/>
        <v>5045.9090610319417</v>
      </c>
      <c r="E453" s="99">
        <v>1044.8247163652104</v>
      </c>
      <c r="F453" s="16">
        <f t="shared" ca="1" si="61"/>
        <v>896.18340351099266</v>
      </c>
      <c r="G453" s="12">
        <f t="shared" ca="1" si="62"/>
        <v>41.879298128579016</v>
      </c>
      <c r="H453" s="12">
        <f t="shared" si="63"/>
        <v>840.98484350532351</v>
      </c>
      <c r="I453" s="17" cm="1">
        <f t="array" ref="I453">IF(MONTH(A453) = LOOKUP(YEAR(A453), YEAR('CNY Dates'!A$2:A$34), 'CNY Dates'!B$2:B$34), LOOKUP(YEAR(A453), YEAR('Hongbao demand'!B$4:B$35), 'Hongbao demand'!F$4:F$35)  - O452, 0)</f>
        <v>0</v>
      </c>
      <c r="J453" s="18">
        <f t="shared" si="64"/>
        <v>13.319261877090222</v>
      </c>
      <c r="K453" s="40">
        <f t="shared" si="77"/>
        <v>47162.933762777189</v>
      </c>
      <c r="L453" s="41">
        <f t="shared" si="77"/>
        <v>1.1006837296727754</v>
      </c>
      <c r="M453" s="14">
        <v>1E-4</v>
      </c>
      <c r="N453" s="19">
        <f t="shared" ca="1" si="65"/>
        <v>148.64131285421774</v>
      </c>
      <c r="O453" s="12">
        <f t="shared" ca="1" si="67"/>
        <v>32.091215549069275</v>
      </c>
      <c r="P453" s="18">
        <f t="shared" ca="1" si="66"/>
        <v>128.25732556822913</v>
      </c>
      <c r="Q453" s="19">
        <f t="shared" ca="1" si="78"/>
        <v>19.23859883523437</v>
      </c>
      <c r="R453" s="12">
        <f t="shared" ca="1" si="78"/>
        <v>25.651465113645827</v>
      </c>
      <c r="S453" s="12">
        <f t="shared" ca="1" si="69"/>
        <v>3.2091215549069276</v>
      </c>
      <c r="T453" s="83">
        <f t="shared" ca="1" si="70"/>
        <v>48.099185503787126</v>
      </c>
    </row>
    <row r="454" spans="1:20" x14ac:dyDescent="0.3">
      <c r="A454" s="11">
        <v>46113</v>
      </c>
      <c r="B454" s="15">
        <f t="shared" ca="1" si="74"/>
        <v>55932.971970911822</v>
      </c>
      <c r="C454" s="98">
        <f t="shared" si="75"/>
        <v>50866.678922593892</v>
      </c>
      <c r="D454" s="12">
        <f t="shared" ca="1" si="76"/>
        <v>5066.2930483179307</v>
      </c>
      <c r="E454" s="99">
        <v>1048.1306141342452</v>
      </c>
      <c r="F454" s="16">
        <f t="shared" ca="1" si="61"/>
        <v>927.31571736771355</v>
      </c>
      <c r="G454" s="12">
        <f t="shared" ca="1" si="62"/>
        <v>42.04924217526618</v>
      </c>
      <c r="H454" s="12">
        <f t="shared" si="63"/>
        <v>844.38217471965504</v>
      </c>
      <c r="I454" s="17" cm="1">
        <f t="array" ref="I454">IF(MONTH(A454) = LOOKUP(YEAR(A454), YEAR('CNY Dates'!A$2:A$34), 'CNY Dates'!B$2:B$34), LOOKUP(YEAR(A454), YEAR('Hongbao demand'!B$4:B$35), 'Hongbao demand'!F$4:F$35)  - O453, 0)</f>
        <v>0</v>
      </c>
      <c r="J454" s="18">
        <f t="shared" si="64"/>
        <v>40.88430047279234</v>
      </c>
      <c r="K454" s="40">
        <f t="shared" si="77"/>
        <v>47449.904125555782</v>
      </c>
      <c r="L454" s="41">
        <f t="shared" si="77"/>
        <v>1.1017875282938103</v>
      </c>
      <c r="M454" s="14">
        <v>1E-4</v>
      </c>
      <c r="N454" s="19">
        <f t="shared" ca="1" si="65"/>
        <v>120.81489676653166</v>
      </c>
      <c r="O454" s="12">
        <f t="shared" ca="1" si="67"/>
        <v>31.823788752827031</v>
      </c>
      <c r="P454" s="18">
        <f t="shared" ca="1" si="66"/>
        <v>100.44005282507351</v>
      </c>
      <c r="Q454" s="19">
        <f t="shared" ca="1" si="78"/>
        <v>15.066007923761026</v>
      </c>
      <c r="R454" s="12">
        <f t="shared" ca="1" si="78"/>
        <v>20.088010565014702</v>
      </c>
      <c r="S454" s="12">
        <f t="shared" ca="1" si="69"/>
        <v>3.1823788752827031</v>
      </c>
      <c r="T454" s="83">
        <f t="shared" ca="1" si="70"/>
        <v>38.336397364058428</v>
      </c>
    </row>
    <row r="455" spans="1:20" x14ac:dyDescent="0.3">
      <c r="A455" s="11">
        <v>46143</v>
      </c>
      <c r="B455" s="15">
        <f t="shared" ca="1" si="74"/>
        <v>56157.005344713325</v>
      </c>
      <c r="C455" s="98">
        <f t="shared" si="75"/>
        <v>51070.337452453939</v>
      </c>
      <c r="D455" s="12">
        <f t="shared" ca="1" si="76"/>
        <v>5086.6678922593892</v>
      </c>
      <c r="E455" s="99">
        <v>1051.4365119032798</v>
      </c>
      <c r="F455" s="16">
        <f t="shared" ca="1" si="61"/>
        <v>940.79215016013029</v>
      </c>
      <c r="G455" s="12">
        <f t="shared" ca="1" si="62"/>
        <v>42.219108735982758</v>
      </c>
      <c r="H455" s="12">
        <f t="shared" si="63"/>
        <v>847.77798204323153</v>
      </c>
      <c r="I455" s="17" cm="1">
        <f t="array" ref="I455">IF(MONTH(A455) = LOOKUP(YEAR(A455), YEAR('CNY Dates'!A$2:A$34), 'CNY Dates'!B$2:B$34), LOOKUP(YEAR(A455), YEAR('Hongbao demand'!B$4:B$35), 'Hongbao demand'!F$4:F$35)  - O454, 0)</f>
        <v>0</v>
      </c>
      <c r="J455" s="18">
        <f t="shared" si="64"/>
        <v>50.795059380915944</v>
      </c>
      <c r="K455" s="40">
        <f t="shared" si="77"/>
        <v>47796.058797877304</v>
      </c>
      <c r="L455" s="41">
        <f t="shared" si="77"/>
        <v>1.102891326914845</v>
      </c>
      <c r="M455" s="14">
        <v>1E-4</v>
      </c>
      <c r="N455" s="19">
        <f t="shared" ca="1" si="65"/>
        <v>110.64436174314949</v>
      </c>
      <c r="O455" s="12">
        <f t="shared" ca="1" si="67"/>
        <v>31.558590513220143</v>
      </c>
      <c r="P455" s="18">
        <f t="shared" ca="1" si="66"/>
        <v>90.278508757144664</v>
      </c>
      <c r="Q455" s="19">
        <f t="shared" ca="1" si="78"/>
        <v>13.541776313571699</v>
      </c>
      <c r="R455" s="12">
        <f t="shared" ca="1" si="78"/>
        <v>18.055701751428934</v>
      </c>
      <c r="S455" s="12">
        <f t="shared" ca="1" si="69"/>
        <v>3.1558590513220146</v>
      </c>
      <c r="T455" s="83">
        <f t="shared" ca="1" si="70"/>
        <v>34.753337116322648</v>
      </c>
    </row>
    <row r="456" spans="1:20" x14ac:dyDescent="0.3">
      <c r="A456" s="11">
        <v>46174</v>
      </c>
      <c r="B456" s="15">
        <f t="shared" ca="1" si="74"/>
        <v>56380.941316497418</v>
      </c>
      <c r="C456" s="98">
        <f t="shared" si="75"/>
        <v>51273.907571252021</v>
      </c>
      <c r="D456" s="12">
        <f t="shared" ca="1" si="76"/>
        <v>5107.0337452453941</v>
      </c>
      <c r="E456" s="99">
        <v>1054.7424096723146</v>
      </c>
      <c r="F456" s="16">
        <f t="shared" ref="F456:F510" ca="1" si="79">SUM(G456:J456)-MIN(0, P455)</f>
        <v>880.53596278416535</v>
      </c>
      <c r="G456" s="12">
        <f t="shared" ref="G456:G510" ca="1" si="80">D455/($I$1*12)</f>
        <v>42.388899102161574</v>
      </c>
      <c r="H456" s="12">
        <f t="shared" ref="H456:H510" si="81">C455/($I$2*12)</f>
        <v>851.17229087423232</v>
      </c>
      <c r="I456" s="17" cm="1">
        <f t="array" ref="I456">IF(MONTH(A456) = LOOKUP(YEAR(A456), YEAR('CNY Dates'!A$2:A$34), 'CNY Dates'!B$2:B$34), LOOKUP(YEAR(A456), YEAR('Hongbao demand'!B$4:B$35), 'Hongbao demand'!F$4:F$35)  - O455, 0)</f>
        <v>0</v>
      </c>
      <c r="J456" s="18">
        <f t="shared" ref="J456:J510" si="82">(SQRT(K456/(2*L456*M456))-SQRT(K455/(2*L455*M455)))*L456</f>
        <v>-13.025227192228474</v>
      </c>
      <c r="K456" s="40">
        <f t="shared" si="77"/>
        <v>47767.231159399613</v>
      </c>
      <c r="L456" s="41">
        <f t="shared" si="77"/>
        <v>1.10399512553588</v>
      </c>
      <c r="M456" s="14">
        <v>1E-4</v>
      </c>
      <c r="N456" s="19">
        <f t="shared" ref="N456:N510" ca="1" si="83">E456-F456</f>
        <v>174.20644688814923</v>
      </c>
      <c r="O456" s="12">
        <f t="shared" ca="1" si="67"/>
        <v>31.295602258943308</v>
      </c>
      <c r="P456" s="18">
        <f t="shared" ref="P456:P510" ca="1" si="84">MAX(MIN(D456+N456 - D$1*C456, 0), D456+N456 - D$2*C456)</f>
        <v>153.84943500834106</v>
      </c>
      <c r="Q456" s="19">
        <f t="shared" ca="1" si="78"/>
        <v>23.077415251251157</v>
      </c>
      <c r="R456" s="12">
        <f t="shared" ca="1" si="78"/>
        <v>30.769887001668213</v>
      </c>
      <c r="S456" s="12">
        <f t="shared" ca="1" si="69"/>
        <v>3.1295602258943309</v>
      </c>
      <c r="T456" s="83">
        <f t="shared" ca="1" si="70"/>
        <v>56.9768624788137</v>
      </c>
    </row>
    <row r="457" spans="1:20" x14ac:dyDescent="0.3">
      <c r="A457" s="11">
        <v>46204</v>
      </c>
      <c r="B457" s="15">
        <f t="shared" ca="1" si="74"/>
        <v>56604.781509631037</v>
      </c>
      <c r="C457" s="98">
        <f t="shared" si="75"/>
        <v>51477.390752505838</v>
      </c>
      <c r="D457" s="12">
        <f t="shared" ca="1" si="76"/>
        <v>5127.3907571252021</v>
      </c>
      <c r="E457" s="99">
        <v>1058.0483074413494</v>
      </c>
      <c r="F457" s="16">
        <f t="shared" ca="1" si="79"/>
        <v>992.87711966042593</v>
      </c>
      <c r="G457" s="12">
        <f t="shared" ca="1" si="80"/>
        <v>42.55861454371162</v>
      </c>
      <c r="H457" s="12">
        <f t="shared" si="81"/>
        <v>854.56512618753368</v>
      </c>
      <c r="I457" s="17" cm="1">
        <f t="array" ref="I457">IF(MONTH(A457) = LOOKUP(YEAR(A457), YEAR('CNY Dates'!A$2:A$34), 'CNY Dates'!B$2:B$34), LOOKUP(YEAR(A457), YEAR('Hongbao demand'!B$4:B$35), 'Hongbao demand'!F$4:F$35)  - O456, 0)</f>
        <v>0</v>
      </c>
      <c r="J457" s="18">
        <f t="shared" si="82"/>
        <v>95.753378929180641</v>
      </c>
      <c r="K457" s="40">
        <f t="shared" si="77"/>
        <v>48380.002165153113</v>
      </c>
      <c r="L457" s="41">
        <f t="shared" si="77"/>
        <v>1.1050989241569147</v>
      </c>
      <c r="M457" s="14">
        <v>1E-4</v>
      </c>
      <c r="N457" s="19">
        <f t="shared" ca="1" si="83"/>
        <v>65.171187780923447</v>
      </c>
      <c r="O457" s="12">
        <f t="shared" ref="O457:O510" ca="1" si="85">MIN(IF(I457=0, O456*(I$1*12-1)/(I$1*12), MAX(O$5*N457, 0)), D$2*O$5*C456)</f>
        <v>31.034805573452115</v>
      </c>
      <c r="P457" s="18">
        <f t="shared" ca="1" si="84"/>
        <v>44.822869655540671</v>
      </c>
      <c r="Q457" s="19">
        <f t="shared" ref="Q457:R488" ca="1" si="86">MAX(0,$P457)*Q$5</f>
        <v>6.7234304483311007</v>
      </c>
      <c r="R457" s="12">
        <f t="shared" ca="1" si="86"/>
        <v>8.9645739311081343</v>
      </c>
      <c r="S457" s="12">
        <f t="shared" ref="S457:S510" ca="1" si="87">O457*$S$5</f>
        <v>3.1034805573452116</v>
      </c>
      <c r="T457" s="83">
        <f t="shared" ref="T457:T510" ca="1" si="88">SUM(Q457:S457)</f>
        <v>18.791484936784446</v>
      </c>
    </row>
    <row r="458" spans="1:20" x14ac:dyDescent="0.3">
      <c r="A458" s="11">
        <v>46235</v>
      </c>
      <c r="B458" s="15">
        <f t="shared" ca="1" si="74"/>
        <v>56828.527520425043</v>
      </c>
      <c r="C458" s="98">
        <f t="shared" si="75"/>
        <v>51680.788445174461</v>
      </c>
      <c r="D458" s="12">
        <f t="shared" ca="1" si="76"/>
        <v>5147.7390752505844</v>
      </c>
      <c r="E458" s="99">
        <v>1061.3542052103842</v>
      </c>
      <c r="F458" s="16">
        <f t="shared" ca="1" si="79"/>
        <v>856.25228257019899</v>
      </c>
      <c r="G458" s="12">
        <f t="shared" ca="1" si="80"/>
        <v>42.728256309376683</v>
      </c>
      <c r="H458" s="12">
        <f t="shared" si="81"/>
        <v>857.95651254176403</v>
      </c>
      <c r="I458" s="17" cm="1">
        <f t="array" ref="I458">IF(MONTH(A458) = LOOKUP(YEAR(A458), YEAR('CNY Dates'!A$2:A$34), 'CNY Dates'!B$2:B$34), LOOKUP(YEAR(A458), YEAR('Hongbao demand'!B$4:B$35), 'Hongbao demand'!F$4:F$35)  - O457, 0)</f>
        <v>0</v>
      </c>
      <c r="J458" s="18">
        <f t="shared" si="82"/>
        <v>-44.432486280941681</v>
      </c>
      <c r="K458" s="40">
        <f t="shared" si="77"/>
        <v>48165.72927782355</v>
      </c>
      <c r="L458" s="41">
        <f t="shared" si="77"/>
        <v>1.1062027227779496</v>
      </c>
      <c r="M458" s="14">
        <v>1E-4</v>
      </c>
      <c r="N458" s="19">
        <f t="shared" ca="1" si="83"/>
        <v>205.10192264018519</v>
      </c>
      <c r="O458" s="12">
        <f t="shared" ca="1" si="85"/>
        <v>30.776182193673346</v>
      </c>
      <c r="P458" s="18">
        <f t="shared" ca="1" si="84"/>
        <v>184.76215337332269</v>
      </c>
      <c r="Q458" s="19">
        <f t="shared" ca="1" si="86"/>
        <v>27.714323005998402</v>
      </c>
      <c r="R458" s="12">
        <f t="shared" ca="1" si="86"/>
        <v>36.952430674664541</v>
      </c>
      <c r="S458" s="12">
        <f t="shared" ca="1" si="87"/>
        <v>3.0776182193673347</v>
      </c>
      <c r="T458" s="83">
        <f t="shared" ca="1" si="88"/>
        <v>67.744371900030274</v>
      </c>
    </row>
    <row r="459" spans="1:20" x14ac:dyDescent="0.3">
      <c r="A459" s="11">
        <v>46266</v>
      </c>
      <c r="B459" s="15">
        <f t="shared" ca="1" si="74"/>
        <v>57052.180918585087</v>
      </c>
      <c r="C459" s="98">
        <f t="shared" si="75"/>
        <v>51884.102074067639</v>
      </c>
      <c r="D459" s="12">
        <f t="shared" ca="1" si="76"/>
        <v>5168.0788445174467</v>
      </c>
      <c r="E459" s="99">
        <v>1064.6601029794188</v>
      </c>
      <c r="F459" s="16">
        <f t="shared" ca="1" si="79"/>
        <v>890.78175149281276</v>
      </c>
      <c r="G459" s="12">
        <f t="shared" ca="1" si="80"/>
        <v>42.897825627088203</v>
      </c>
      <c r="H459" s="12">
        <f t="shared" si="81"/>
        <v>861.34647408624107</v>
      </c>
      <c r="I459" s="17" cm="1">
        <f t="array" ref="I459">IF(MONTH(A459) = LOOKUP(YEAR(A459), YEAR('CNY Dates'!A$2:A$34), 'CNY Dates'!B$2:B$34), LOOKUP(YEAR(A459), YEAR('Hongbao demand'!B$4:B$35), 'Hongbao demand'!F$4:F$35)  - O458, 0)</f>
        <v>0</v>
      </c>
      <c r="J459" s="18">
        <f t="shared" si="82"/>
        <v>-13.462548220516529</v>
      </c>
      <c r="K459" s="40">
        <f t="shared" si="77"/>
        <v>48134.367562569394</v>
      </c>
      <c r="L459" s="41">
        <f t="shared" si="77"/>
        <v>1.1073065213989843</v>
      </c>
      <c r="M459" s="14">
        <v>1E-4</v>
      </c>
      <c r="N459" s="19">
        <f t="shared" ca="1" si="83"/>
        <v>173.87835148660599</v>
      </c>
      <c r="O459" s="12">
        <f t="shared" ca="1" si="85"/>
        <v>30.519714008726069</v>
      </c>
      <c r="P459" s="18">
        <f t="shared" ca="1" si="84"/>
        <v>153.54698859728887</v>
      </c>
      <c r="Q459" s="19">
        <f t="shared" ca="1" si="86"/>
        <v>23.03204828959333</v>
      </c>
      <c r="R459" s="12">
        <f t="shared" ca="1" si="86"/>
        <v>30.709397719457776</v>
      </c>
      <c r="S459" s="12">
        <f t="shared" ca="1" si="87"/>
        <v>3.0519714008726071</v>
      </c>
      <c r="T459" s="83">
        <f t="shared" ca="1" si="88"/>
        <v>56.793417409923713</v>
      </c>
    </row>
    <row r="460" spans="1:20" x14ac:dyDescent="0.3">
      <c r="A460" s="11">
        <v>46296</v>
      </c>
      <c r="B460" s="15">
        <f t="shared" ca="1" si="74"/>
        <v>57275.743247655068</v>
      </c>
      <c r="C460" s="98">
        <f t="shared" si="75"/>
        <v>52087.333040248304</v>
      </c>
      <c r="D460" s="12">
        <f t="shared" ca="1" si="76"/>
        <v>5188.4102074067641</v>
      </c>
      <c r="E460" s="99">
        <v>1067.9660007484536</v>
      </c>
      <c r="F460" s="16">
        <f t="shared" ca="1" si="79"/>
        <v>1019.6974400599254</v>
      </c>
      <c r="G460" s="12">
        <f t="shared" ca="1" si="80"/>
        <v>43.067323704312052</v>
      </c>
      <c r="H460" s="12">
        <f t="shared" si="81"/>
        <v>864.73503456779395</v>
      </c>
      <c r="I460" s="17" cm="1">
        <f t="array" ref="I460">IF(MONTH(A460) = LOOKUP(YEAR(A460), YEAR('CNY Dates'!A$2:A$34), 'CNY Dates'!B$2:B$34), LOOKUP(YEAR(A460), YEAR('Hongbao demand'!B$4:B$35), 'Hongbao demand'!F$4:F$35)  - O459, 0)</f>
        <v>0</v>
      </c>
      <c r="J460" s="18">
        <f t="shared" si="82"/>
        <v>111.89508178781945</v>
      </c>
      <c r="K460" s="40">
        <f t="shared" si="77"/>
        <v>48844.465427328156</v>
      </c>
      <c r="L460" s="41">
        <f t="shared" si="77"/>
        <v>1.108410320020019</v>
      </c>
      <c r="M460" s="14">
        <v>1E-4</v>
      </c>
      <c r="N460" s="19">
        <f t="shared" ca="1" si="83"/>
        <v>48.268560688528169</v>
      </c>
      <c r="O460" s="12">
        <f t="shared" ca="1" si="85"/>
        <v>30.265383058653352</v>
      </c>
      <c r="P460" s="18">
        <f t="shared" ca="1" si="84"/>
        <v>27.945464070461639</v>
      </c>
      <c r="Q460" s="19">
        <f t="shared" ca="1" si="86"/>
        <v>4.1918196105692456</v>
      </c>
      <c r="R460" s="12">
        <f t="shared" ca="1" si="86"/>
        <v>5.5890928140923286</v>
      </c>
      <c r="S460" s="12">
        <f t="shared" ca="1" si="87"/>
        <v>3.0265383058653352</v>
      </c>
      <c r="T460" s="83">
        <f t="shared" ca="1" si="88"/>
        <v>12.807450730526909</v>
      </c>
    </row>
    <row r="461" spans="1:20" x14ac:dyDescent="0.3">
      <c r="A461" s="11">
        <v>46327</v>
      </c>
      <c r="B461" s="15">
        <f t="shared" ca="1" si="74"/>
        <v>57499.216025453148</v>
      </c>
      <c r="C461" s="98">
        <f t="shared" si="75"/>
        <v>52290.482721428321</v>
      </c>
      <c r="D461" s="12">
        <f t="shared" ca="1" si="76"/>
        <v>5208.7333040248304</v>
      </c>
      <c r="E461" s="99">
        <v>1071.2718985174884</v>
      </c>
      <c r="F461" s="16">
        <f t="shared" ca="1" si="79"/>
        <v>851.18376611293195</v>
      </c>
      <c r="G461" s="12">
        <f t="shared" ca="1" si="80"/>
        <v>43.236751728389699</v>
      </c>
      <c r="H461" s="12">
        <f t="shared" si="81"/>
        <v>868.12221733747174</v>
      </c>
      <c r="I461" s="17" cm="1">
        <f t="array" ref="I461">IF(MONTH(A461) = LOOKUP(YEAR(A461), YEAR('CNY Dates'!A$2:A$34), 'CNY Dates'!B$2:B$34), LOOKUP(YEAR(A461), YEAR('Hongbao demand'!B$4:B$35), 'Hongbao demand'!F$4:F$35)  - O460, 0)</f>
        <v>0</v>
      </c>
      <c r="J461" s="18">
        <f t="shared" si="82"/>
        <v>-60.175202952929446</v>
      </c>
      <c r="K461" s="40">
        <f t="shared" si="77"/>
        <v>48536.470140061036</v>
      </c>
      <c r="L461" s="41">
        <f t="shared" si="77"/>
        <v>1.109514118641054</v>
      </c>
      <c r="M461" s="14">
        <v>1E-4</v>
      </c>
      <c r="N461" s="19">
        <f t="shared" ca="1" si="83"/>
        <v>220.0881324045564</v>
      </c>
      <c r="O461" s="12">
        <f t="shared" ca="1" si="85"/>
        <v>30.013171533164574</v>
      </c>
      <c r="P461" s="18">
        <f t="shared" ca="1" si="84"/>
        <v>199.77316428655467</v>
      </c>
      <c r="Q461" s="19">
        <f t="shared" ca="1" si="86"/>
        <v>29.965974642983198</v>
      </c>
      <c r="R461" s="12">
        <f t="shared" ca="1" si="86"/>
        <v>39.954632857310941</v>
      </c>
      <c r="S461" s="12">
        <f t="shared" ca="1" si="87"/>
        <v>3.0013171533164575</v>
      </c>
      <c r="T461" s="83">
        <f t="shared" ca="1" si="88"/>
        <v>72.921924653610603</v>
      </c>
    </row>
    <row r="462" spans="1:20" x14ac:dyDescent="0.3">
      <c r="A462" s="11">
        <v>46357</v>
      </c>
      <c r="B462" s="15">
        <f t="shared" ca="1" si="74"/>
        <v>57722.600744500545</v>
      </c>
      <c r="C462" s="98">
        <f t="shared" si="75"/>
        <v>52493.552472357711</v>
      </c>
      <c r="D462" s="12">
        <f t="shared" ca="1" si="76"/>
        <v>5229.0482721428325</v>
      </c>
      <c r="E462" s="99">
        <v>1074.5777962865232</v>
      </c>
      <c r="F462" s="16">
        <f t="shared" ca="1" si="79"/>
        <v>887.7061714037053</v>
      </c>
      <c r="G462" s="12">
        <f t="shared" ca="1" si="80"/>
        <v>43.40611086687359</v>
      </c>
      <c r="H462" s="12">
        <f t="shared" si="81"/>
        <v>871.50804535713871</v>
      </c>
      <c r="I462" s="17" cm="1">
        <f t="array" ref="I462">IF(MONTH(A462) = LOOKUP(YEAR(A462), YEAR('CNY Dates'!A$2:A$34), 'CNY Dates'!B$2:B$34), LOOKUP(YEAR(A462), YEAR('Hongbao demand'!B$4:B$35), 'Hongbao demand'!F$4:F$35)  - O461, 0)</f>
        <v>0</v>
      </c>
      <c r="J462" s="18">
        <f t="shared" si="82"/>
        <v>-27.207984820307068</v>
      </c>
      <c r="K462" s="40">
        <f t="shared" si="77"/>
        <v>48423.933194576784</v>
      </c>
      <c r="L462" s="41">
        <f t="shared" si="77"/>
        <v>1.1106179172620887</v>
      </c>
      <c r="M462" s="14">
        <v>1E-4</v>
      </c>
      <c r="N462" s="19">
        <f t="shared" ca="1" si="83"/>
        <v>186.87162488281785</v>
      </c>
      <c r="O462" s="12">
        <f t="shared" ca="1" si="85"/>
        <v>29.763061770388202</v>
      </c>
      <c r="P462" s="18">
        <f t="shared" ca="1" si="84"/>
        <v>166.56464978987879</v>
      </c>
      <c r="Q462" s="19">
        <f t="shared" ca="1" si="86"/>
        <v>24.984697468481816</v>
      </c>
      <c r="R462" s="12">
        <f t="shared" ca="1" si="86"/>
        <v>33.312929957975761</v>
      </c>
      <c r="S462" s="12">
        <f t="shared" ca="1" si="87"/>
        <v>2.9763061770388202</v>
      </c>
      <c r="T462" s="83">
        <f t="shared" ca="1" si="88"/>
        <v>61.273933603496403</v>
      </c>
    </row>
    <row r="463" spans="1:20" x14ac:dyDescent="0.3">
      <c r="A463" s="11">
        <v>46388</v>
      </c>
      <c r="B463" s="15">
        <f t="shared" ca="1" si="74"/>
        <v>57945.898872443075</v>
      </c>
      <c r="C463" s="98">
        <f t="shared" si="75"/>
        <v>52696.543625207305</v>
      </c>
      <c r="D463" s="12">
        <f t="shared" ca="1" si="76"/>
        <v>5249.3552472357715</v>
      </c>
      <c r="E463" s="99">
        <v>1077.883694055558</v>
      </c>
      <c r="F463" s="16">
        <f t="shared" ca="1" si="79"/>
        <v>837.49476923993325</v>
      </c>
      <c r="G463" s="12">
        <f t="shared" ca="1" si="80"/>
        <v>43.575402267856937</v>
      </c>
      <c r="H463" s="12">
        <f t="shared" si="81"/>
        <v>874.89254120596183</v>
      </c>
      <c r="I463" s="17" cm="1">
        <f t="array" ref="I463">IF(MONTH(A463) = LOOKUP(YEAR(A463), YEAR('CNY Dates'!A$2:A$34), 'CNY Dates'!B$2:B$34), LOOKUP(YEAR(A463), YEAR('Hongbao demand'!B$4:B$35), 'Hongbao demand'!F$4:F$35)  - O462, 0)</f>
        <v>0</v>
      </c>
      <c r="J463" s="18">
        <f t="shared" si="82"/>
        <v>-80.973174233885558</v>
      </c>
      <c r="K463" s="40">
        <f t="shared" si="77"/>
        <v>47995.012615516302</v>
      </c>
      <c r="L463" s="41">
        <f t="shared" si="77"/>
        <v>1.1117217158831236</v>
      </c>
      <c r="M463" s="14">
        <v>1E-4</v>
      </c>
      <c r="N463" s="19">
        <f t="shared" ca="1" si="83"/>
        <v>240.3889248156247</v>
      </c>
      <c r="O463" s="12">
        <f t="shared" ca="1" si="85"/>
        <v>29.515036255634968</v>
      </c>
      <c r="P463" s="18">
        <f t="shared" ca="1" si="84"/>
        <v>220.08980953066566</v>
      </c>
      <c r="Q463" s="19">
        <f t="shared" ca="1" si="86"/>
        <v>33.013471429599846</v>
      </c>
      <c r="R463" s="12">
        <f t="shared" ca="1" si="86"/>
        <v>44.017961906133138</v>
      </c>
      <c r="S463" s="12">
        <f t="shared" ca="1" si="87"/>
        <v>2.9515036255634968</v>
      </c>
      <c r="T463" s="83">
        <f t="shared" ca="1" si="88"/>
        <v>79.982936961296474</v>
      </c>
    </row>
    <row r="464" spans="1:20" x14ac:dyDescent="0.3">
      <c r="A464" s="11">
        <v>46419</v>
      </c>
      <c r="B464" s="15">
        <f t="shared" ca="1" si="74"/>
        <v>58169.111852465838</v>
      </c>
      <c r="C464" s="98">
        <f t="shared" si="75"/>
        <v>52899.457489945111</v>
      </c>
      <c r="D464" s="12">
        <f t="shared" ca="1" si="76"/>
        <v>5269.6543625207305</v>
      </c>
      <c r="E464" s="99">
        <v>1081.1895918245925</v>
      </c>
      <c r="F464" s="16">
        <f t="shared" ca="1" si="79"/>
        <v>922.95014291553423</v>
      </c>
      <c r="G464" s="12">
        <f t="shared" ca="1" si="80"/>
        <v>43.744627060298093</v>
      </c>
      <c r="H464" s="12">
        <f t="shared" si="81"/>
        <v>878.27572708678838</v>
      </c>
      <c r="I464" s="17" cm="1">
        <f t="array" aca="1" ref="I464" ca="1">IF(MONTH(A464) = LOOKUP(YEAR(A464), YEAR('CNY Dates'!A$2:A$34), 'CNY Dates'!B$2:B$34), LOOKUP(YEAR(A464), YEAR('Hongbao demand'!B$4:B$35), 'Hongbao demand'!F$4:F$35)  - O463, 0)</f>
        <v>-19.00272911459458</v>
      </c>
      <c r="J464" s="18">
        <f t="shared" si="82"/>
        <v>19.932517883042401</v>
      </c>
      <c r="K464" s="40">
        <f t="shared" si="77"/>
        <v>48159.877503836862</v>
      </c>
      <c r="L464" s="41">
        <f t="shared" si="77"/>
        <v>1.1128255145041583</v>
      </c>
      <c r="M464" s="14">
        <v>1E-4</v>
      </c>
      <c r="N464" s="19">
        <f t="shared" ca="1" si="83"/>
        <v>158.2394489090583</v>
      </c>
      <c r="O464" s="12">
        <f t="shared" ca="1" si="85"/>
        <v>31.64788978181166</v>
      </c>
      <c r="P464" s="18">
        <f t="shared" ca="1" si="84"/>
        <v>137.94806243527728</v>
      </c>
      <c r="Q464" s="19">
        <f t="shared" ca="1" si="86"/>
        <v>20.692209365291593</v>
      </c>
      <c r="R464" s="12">
        <f t="shared" ca="1" si="86"/>
        <v>27.589612487055458</v>
      </c>
      <c r="S464" s="12">
        <f t="shared" ca="1" si="87"/>
        <v>3.164788978181166</v>
      </c>
      <c r="T464" s="83">
        <f t="shared" ca="1" si="88"/>
        <v>51.446610830528215</v>
      </c>
    </row>
    <row r="465" spans="1:20" x14ac:dyDescent="0.3">
      <c r="A465" s="11">
        <v>46447</v>
      </c>
      <c r="B465" s="15">
        <f t="shared" ca="1" si="74"/>
        <v>58392.241103700828</v>
      </c>
      <c r="C465" s="98">
        <f t="shared" si="75"/>
        <v>53102.295354706315</v>
      </c>
      <c r="D465" s="12">
        <f t="shared" ca="1" si="76"/>
        <v>5289.9457489945116</v>
      </c>
      <c r="E465" s="99">
        <v>1084.4954895936273</v>
      </c>
      <c r="F465" s="16">
        <f t="shared" ca="1" si="79"/>
        <v>938.7201973392182</v>
      </c>
      <c r="G465" s="12">
        <f t="shared" ca="1" si="80"/>
        <v>43.913786354339422</v>
      </c>
      <c r="H465" s="12">
        <f t="shared" si="81"/>
        <v>881.65762483241849</v>
      </c>
      <c r="I465" s="17" cm="1">
        <f t="array" ref="I465">IF(MONTH(A465) = LOOKUP(YEAR(A465), YEAR('CNY Dates'!A$2:A$34), 'CNY Dates'!B$2:B$34), LOOKUP(YEAR(A465), YEAR('Hongbao demand'!B$4:B$35), 'Hongbao demand'!F$4:F$35)  - O464, 0)</f>
        <v>0</v>
      </c>
      <c r="J465" s="18">
        <f t="shared" si="82"/>
        <v>13.148786152460247</v>
      </c>
      <c r="K465" s="40">
        <f t="shared" si="77"/>
        <v>48285.045486207477</v>
      </c>
      <c r="L465" s="41">
        <f t="shared" si="77"/>
        <v>1.1139293131251933</v>
      </c>
      <c r="M465" s="14">
        <v>1E-4</v>
      </c>
      <c r="N465" s="19">
        <f t="shared" ca="1" si="83"/>
        <v>145.77529225440912</v>
      </c>
      <c r="O465" s="12">
        <f t="shared" ca="1" si="85"/>
        <v>31.38415736696323</v>
      </c>
      <c r="P465" s="18">
        <f t="shared" ca="1" si="84"/>
        <v>125.49150577828823</v>
      </c>
      <c r="Q465" s="19">
        <f t="shared" ca="1" si="86"/>
        <v>18.823725866743235</v>
      </c>
      <c r="R465" s="12">
        <f t="shared" ca="1" si="86"/>
        <v>25.098301155657648</v>
      </c>
      <c r="S465" s="12">
        <f t="shared" ca="1" si="87"/>
        <v>3.1384157366963232</v>
      </c>
      <c r="T465" s="83">
        <f t="shared" ca="1" si="88"/>
        <v>47.060442759097207</v>
      </c>
    </row>
    <row r="466" spans="1:20" x14ac:dyDescent="0.3">
      <c r="A466" s="11">
        <v>46478</v>
      </c>
      <c r="B466" s="15">
        <f t="shared" ca="1" si="74"/>
        <v>58615.288021627835</v>
      </c>
      <c r="C466" s="98">
        <f t="shared" si="75"/>
        <v>53305.058486157206</v>
      </c>
      <c r="D466" s="12">
        <f t="shared" ca="1" si="76"/>
        <v>5310.2295354706321</v>
      </c>
      <c r="E466" s="99">
        <v>1087.8013873626621</v>
      </c>
      <c r="F466" s="16">
        <f t="shared" ca="1" si="79"/>
        <v>969.6780895503606</v>
      </c>
      <c r="G466" s="12">
        <f t="shared" ca="1" si="80"/>
        <v>44.082881241620932</v>
      </c>
      <c r="H466" s="12">
        <f t="shared" si="81"/>
        <v>885.0382559117719</v>
      </c>
      <c r="I466" s="17" cm="1">
        <f t="array" ref="I466">IF(MONTH(A466) = LOOKUP(YEAR(A466), YEAR('CNY Dates'!A$2:A$34), 'CNY Dates'!B$2:B$34), LOOKUP(YEAR(A466), YEAR('Hongbao demand'!B$4:B$35), 'Hongbao demand'!F$4:F$35)  - O465, 0)</f>
        <v>0</v>
      </c>
      <c r="J466" s="18">
        <f t="shared" si="82"/>
        <v>40.556952396967738</v>
      </c>
      <c r="K466" s="40">
        <f t="shared" si="77"/>
        <v>48572.01584898607</v>
      </c>
      <c r="L466" s="41">
        <f t="shared" si="77"/>
        <v>1.115033111746228</v>
      </c>
      <c r="M466" s="14">
        <v>1E-4</v>
      </c>
      <c r="N466" s="19">
        <f t="shared" ca="1" si="83"/>
        <v>118.12329781230153</v>
      </c>
      <c r="O466" s="12">
        <f t="shared" ca="1" si="85"/>
        <v>31.122622722238535</v>
      </c>
      <c r="P466" s="18">
        <f t="shared" ca="1" si="84"/>
        <v>97.846984667212382</v>
      </c>
      <c r="Q466" s="19">
        <f t="shared" ca="1" si="86"/>
        <v>14.677047700081857</v>
      </c>
      <c r="R466" s="12">
        <f t="shared" ca="1" si="86"/>
        <v>19.569396933442476</v>
      </c>
      <c r="S466" s="12">
        <f t="shared" ca="1" si="87"/>
        <v>3.1122622722238535</v>
      </c>
      <c r="T466" s="83">
        <f t="shared" ca="1" si="88"/>
        <v>37.358706905748186</v>
      </c>
    </row>
    <row r="467" spans="1:20" x14ac:dyDescent="0.3">
      <c r="A467" s="11">
        <v>46508</v>
      </c>
      <c r="B467" s="15">
        <f t="shared" ca="1" si="74"/>
        <v>58838.253978468667</v>
      </c>
      <c r="C467" s="98">
        <f t="shared" si="75"/>
        <v>53507.748129852946</v>
      </c>
      <c r="D467" s="12">
        <f t="shared" ca="1" si="76"/>
        <v>5330.5058486157213</v>
      </c>
      <c r="E467" s="99">
        <v>1091.1072851316967</v>
      </c>
      <c r="F467" s="16">
        <f t="shared" ca="1" si="79"/>
        <v>983.08492533828814</v>
      </c>
      <c r="G467" s="12">
        <f t="shared" ca="1" si="80"/>
        <v>44.251912795588602</v>
      </c>
      <c r="H467" s="12">
        <f t="shared" si="81"/>
        <v>888.41764143595344</v>
      </c>
      <c r="I467" s="17" cm="1">
        <f t="array" ref="I467">IF(MONTH(A467) = LOOKUP(YEAR(A467), YEAR('CNY Dates'!A$2:A$34), 'CNY Dates'!B$2:B$34), LOOKUP(YEAR(A467), YEAR('Hongbao demand'!B$4:B$35), 'Hongbao demand'!F$4:F$35)  - O466, 0)</f>
        <v>0</v>
      </c>
      <c r="J467" s="18">
        <f t="shared" si="82"/>
        <v>50.415371106746129</v>
      </c>
      <c r="K467" s="40">
        <f t="shared" si="77"/>
        <v>48918.170521307591</v>
      </c>
      <c r="L467" s="41">
        <f t="shared" si="77"/>
        <v>1.1161369103672629</v>
      </c>
      <c r="M467" s="14">
        <v>1E-4</v>
      </c>
      <c r="N467" s="19">
        <f t="shared" ca="1" si="83"/>
        <v>108.02235979340855</v>
      </c>
      <c r="O467" s="12">
        <f t="shared" ca="1" si="85"/>
        <v>30.863267532886546</v>
      </c>
      <c r="P467" s="18">
        <f t="shared" ca="1" si="84"/>
        <v>87.753395423834263</v>
      </c>
      <c r="Q467" s="19">
        <f t="shared" ca="1" si="86"/>
        <v>13.16300931357514</v>
      </c>
      <c r="R467" s="12">
        <f t="shared" ca="1" si="86"/>
        <v>17.550679084766852</v>
      </c>
      <c r="S467" s="12">
        <f t="shared" ca="1" si="87"/>
        <v>3.0863267532886547</v>
      </c>
      <c r="T467" s="83">
        <f t="shared" ca="1" si="88"/>
        <v>33.800015151630646</v>
      </c>
    </row>
    <row r="468" spans="1:20" x14ac:dyDescent="0.3">
      <c r="A468" s="11">
        <v>46539</v>
      </c>
      <c r="B468" s="15">
        <f t="shared" ref="B468:B510" ca="1" si="89">C468+D468</f>
        <v>59061.140323574757</v>
      </c>
      <c r="C468" s="98">
        <f t="shared" ref="C468:C510" si="90">C467+E468-SUM(H468)</f>
        <v>53710.365510589458</v>
      </c>
      <c r="D468" s="12">
        <f t="shared" ref="D468:D510" ca="1" si="91">MIN(MAX(D$1*C467, D467+N467), C467*D$2)</f>
        <v>5350.7748129852953</v>
      </c>
      <c r="E468" s="99">
        <v>1094.4131829007315</v>
      </c>
      <c r="F468" s="16">
        <f t="shared" ca="1" si="79"/>
        <v>923.1731402333686</v>
      </c>
      <c r="G468" s="12">
        <f t="shared" ca="1" si="80"/>
        <v>44.420882071797678</v>
      </c>
      <c r="H468" s="12">
        <f t="shared" si="81"/>
        <v>891.79580216421573</v>
      </c>
      <c r="I468" s="17" cm="1">
        <f t="array" ref="I468">IF(MONTH(A468) = LOOKUP(YEAR(A468), YEAR('CNY Dates'!A$2:A$34), 'CNY Dates'!B$2:B$34), LOOKUP(YEAR(A468), YEAR('Hongbao demand'!B$4:B$35), 'Hongbao demand'!F$4:F$35)  - O467, 0)</f>
        <v>0</v>
      </c>
      <c r="J468" s="18">
        <f t="shared" si="82"/>
        <v>-13.043544002644762</v>
      </c>
      <c r="K468" s="40">
        <f t="shared" si="77"/>
        <v>48889.3428828299</v>
      </c>
      <c r="L468" s="41">
        <f t="shared" si="77"/>
        <v>1.1172407089882976</v>
      </c>
      <c r="M468" s="14">
        <v>1E-4</v>
      </c>
      <c r="N468" s="19">
        <f t="shared" ca="1" si="83"/>
        <v>171.2400426673629</v>
      </c>
      <c r="O468" s="12">
        <f t="shared" ca="1" si="85"/>
        <v>30.606073636779158</v>
      </c>
      <c r="P468" s="18">
        <f t="shared" ca="1" si="84"/>
        <v>150.97830459371198</v>
      </c>
      <c r="Q468" s="19">
        <f t="shared" ca="1" si="86"/>
        <v>22.646745689056797</v>
      </c>
      <c r="R468" s="12">
        <f t="shared" ca="1" si="86"/>
        <v>30.195660918742398</v>
      </c>
      <c r="S468" s="12">
        <f t="shared" ca="1" si="87"/>
        <v>3.0606073636779159</v>
      </c>
      <c r="T468" s="83">
        <f t="shared" ca="1" si="88"/>
        <v>55.903013971477108</v>
      </c>
    </row>
    <row r="469" spans="1:20" x14ac:dyDescent="0.3">
      <c r="A469" s="11">
        <v>46569</v>
      </c>
      <c r="B469" s="15">
        <f t="shared" ca="1" si="89"/>
        <v>59283.948383808347</v>
      </c>
      <c r="C469" s="98">
        <f t="shared" si="90"/>
        <v>53912.9118327494</v>
      </c>
      <c r="D469" s="12">
        <f t="shared" ca="1" si="91"/>
        <v>5371.0365510589463</v>
      </c>
      <c r="E469" s="99">
        <v>1097.7190806697663</v>
      </c>
      <c r="F469" s="16">
        <f t="shared" ca="1" si="79"/>
        <v>1034.8920224950314</v>
      </c>
      <c r="G469" s="12">
        <f t="shared" ca="1" si="80"/>
        <v>44.589790108210792</v>
      </c>
      <c r="H469" s="12">
        <f t="shared" si="81"/>
        <v>895.17275850982435</v>
      </c>
      <c r="I469" s="17" cm="1">
        <f t="array" ref="I469">IF(MONTH(A469) = LOOKUP(YEAR(A469), YEAR('CNY Dates'!A$2:A$34), 'CNY Dates'!B$2:B$34), LOOKUP(YEAR(A469), YEAR('Hongbao demand'!B$4:B$35), 'Hongbao demand'!F$4:F$35)  - O468, 0)</f>
        <v>0</v>
      </c>
      <c r="J469" s="18">
        <f t="shared" si="82"/>
        <v>95.129473876996244</v>
      </c>
      <c r="K469" s="40">
        <f t="shared" si="77"/>
        <v>49502.113888583408</v>
      </c>
      <c r="L469" s="41">
        <f t="shared" si="77"/>
        <v>1.1183445076093326</v>
      </c>
      <c r="M469" s="14">
        <v>1E-4</v>
      </c>
      <c r="N469" s="19">
        <f t="shared" ca="1" si="83"/>
        <v>62.82705817473493</v>
      </c>
      <c r="O469" s="12">
        <f t="shared" ca="1" si="85"/>
        <v>30.35102302313933</v>
      </c>
      <c r="P469" s="18">
        <f t="shared" ca="1" si="84"/>
        <v>42.572425958740496</v>
      </c>
      <c r="Q469" s="19">
        <f t="shared" ca="1" si="86"/>
        <v>6.3858638938110746</v>
      </c>
      <c r="R469" s="12">
        <f t="shared" ca="1" si="86"/>
        <v>8.5144851917480988</v>
      </c>
      <c r="S469" s="12">
        <f t="shared" ca="1" si="87"/>
        <v>3.0351023023139332</v>
      </c>
      <c r="T469" s="83">
        <f t="shared" ca="1" si="88"/>
        <v>17.935451387873108</v>
      </c>
    </row>
    <row r="470" spans="1:20" x14ac:dyDescent="0.3">
      <c r="A470" s="11">
        <v>46600</v>
      </c>
      <c r="B470" s="15">
        <f t="shared" ca="1" si="89"/>
        <v>59506.679463917317</v>
      </c>
      <c r="C470" s="98">
        <f t="shared" si="90"/>
        <v>54115.388280642379</v>
      </c>
      <c r="D470" s="12">
        <f t="shared" ca="1" si="91"/>
        <v>5391.2911832749405</v>
      </c>
      <c r="E470" s="99">
        <v>1101.0249784388011</v>
      </c>
      <c r="F470" s="16">
        <f t="shared" ca="1" si="79"/>
        <v>899.02989121928908</v>
      </c>
      <c r="G470" s="12">
        <f t="shared" ca="1" si="80"/>
        <v>44.758637925491222</v>
      </c>
      <c r="H470" s="12">
        <f t="shared" si="81"/>
        <v>898.54853054582338</v>
      </c>
      <c r="I470" s="17" cm="1">
        <f t="array" ref="I470">IF(MONTH(A470) = LOOKUP(YEAR(A470), YEAR('CNY Dates'!A$2:A$34), 'CNY Dates'!B$2:B$34), LOOKUP(YEAR(A470), YEAR('Hongbao demand'!B$4:B$35), 'Hongbao demand'!F$4:F$35)  - O469, 0)</f>
        <v>0</v>
      </c>
      <c r="J470" s="18">
        <f t="shared" si="82"/>
        <v>-44.277277252025556</v>
      </c>
      <c r="K470" s="40">
        <f t="shared" si="77"/>
        <v>49287.841001253837</v>
      </c>
      <c r="L470" s="41">
        <f t="shared" si="77"/>
        <v>1.1194483062303673</v>
      </c>
      <c r="M470" s="14">
        <v>1E-4</v>
      </c>
      <c r="N470" s="19">
        <f t="shared" ca="1" si="83"/>
        <v>201.99508721951202</v>
      </c>
      <c r="O470" s="12">
        <f t="shared" ca="1" si="85"/>
        <v>30.098097831279837</v>
      </c>
      <c r="P470" s="18">
        <f t="shared" ca="1" si="84"/>
        <v>181.74744243021451</v>
      </c>
      <c r="Q470" s="19">
        <f t="shared" ca="1" si="86"/>
        <v>27.262116364532176</v>
      </c>
      <c r="R470" s="12">
        <f t="shared" ca="1" si="86"/>
        <v>36.349488486042901</v>
      </c>
      <c r="S470" s="12">
        <f t="shared" ca="1" si="87"/>
        <v>3.009809783127984</v>
      </c>
      <c r="T470" s="83">
        <f t="shared" ca="1" si="88"/>
        <v>66.621414633703054</v>
      </c>
    </row>
    <row r="471" spans="1:20" x14ac:dyDescent="0.3">
      <c r="A471" s="11">
        <v>46631</v>
      </c>
      <c r="B471" s="15">
        <f t="shared" ca="1" si="89"/>
        <v>59729.334846903745</v>
      </c>
      <c r="C471" s="98">
        <f t="shared" si="90"/>
        <v>54317.796018839508</v>
      </c>
      <c r="D471" s="12">
        <f t="shared" ca="1" si="91"/>
        <v>5411.5388280642383</v>
      </c>
      <c r="E471" s="99">
        <v>1104.3308762078359</v>
      </c>
      <c r="F471" s="16">
        <f t="shared" ca="1" si="79"/>
        <v>933.37214962830114</v>
      </c>
      <c r="G471" s="12">
        <f t="shared" ca="1" si="80"/>
        <v>44.927426527291168</v>
      </c>
      <c r="H471" s="12">
        <f t="shared" si="81"/>
        <v>901.92313801070634</v>
      </c>
      <c r="I471" s="17" cm="1">
        <f t="array" ref="I471">IF(MONTH(A471) = LOOKUP(YEAR(A471), YEAR('CNY Dates'!A$2:A$34), 'CNY Dates'!B$2:B$34), LOOKUP(YEAR(A471), YEAR('Hongbao demand'!B$4:B$35), 'Hongbao demand'!F$4:F$35)  - O470, 0)</f>
        <v>0</v>
      </c>
      <c r="J471" s="18">
        <f t="shared" si="82"/>
        <v>-13.478414909696353</v>
      </c>
      <c r="K471" s="40">
        <f t="shared" si="77"/>
        <v>49256.479285999681</v>
      </c>
      <c r="L471" s="41">
        <f t="shared" si="77"/>
        <v>1.1205521048514022</v>
      </c>
      <c r="M471" s="14">
        <v>1E-4</v>
      </c>
      <c r="N471" s="19">
        <f t="shared" ca="1" si="83"/>
        <v>170.95872657953475</v>
      </c>
      <c r="O471" s="12">
        <f t="shared" ca="1" si="85"/>
        <v>29.847280349352506</v>
      </c>
      <c r="P471" s="18">
        <f t="shared" ca="1" si="84"/>
        <v>150.71795275982186</v>
      </c>
      <c r="Q471" s="19">
        <f t="shared" ca="1" si="86"/>
        <v>22.607692913973278</v>
      </c>
      <c r="R471" s="12">
        <f t="shared" ca="1" si="86"/>
        <v>30.143590551964373</v>
      </c>
      <c r="S471" s="12">
        <f t="shared" ca="1" si="87"/>
        <v>2.9847280349352507</v>
      </c>
      <c r="T471" s="83">
        <f t="shared" ca="1" si="88"/>
        <v>55.736011500872898</v>
      </c>
    </row>
    <row r="472" spans="1:20" x14ac:dyDescent="0.3">
      <c r="A472" s="11">
        <v>46661</v>
      </c>
      <c r="B472" s="15">
        <f t="shared" ca="1" si="89"/>
        <v>59951.915794386332</v>
      </c>
      <c r="C472" s="98">
        <f t="shared" si="90"/>
        <v>54520.136192502381</v>
      </c>
      <c r="D472" s="12">
        <f t="shared" ca="1" si="91"/>
        <v>5431.7796018839508</v>
      </c>
      <c r="E472" s="99">
        <v>1107.6367739768705</v>
      </c>
      <c r="F472" s="16">
        <f t="shared" ca="1" si="79"/>
        <v>1061.5840343457239</v>
      </c>
      <c r="G472" s="12">
        <f t="shared" ca="1" si="80"/>
        <v>45.09615690053532</v>
      </c>
      <c r="H472" s="12">
        <f t="shared" si="81"/>
        <v>905.2966003139918</v>
      </c>
      <c r="I472" s="17" cm="1">
        <f t="array" ref="I472">IF(MONTH(A472) = LOOKUP(YEAR(A472), YEAR('CNY Dates'!A$2:A$34), 'CNY Dates'!B$2:B$34), LOOKUP(YEAR(A472), YEAR('Hongbao demand'!B$4:B$35), 'Hongbao demand'!F$4:F$35)  - O471, 0)</f>
        <v>0</v>
      </c>
      <c r="J472" s="18">
        <f t="shared" si="82"/>
        <v>111.19127713119687</v>
      </c>
      <c r="K472" s="40">
        <f t="shared" si="77"/>
        <v>49966.577150758443</v>
      </c>
      <c r="L472" s="41">
        <f t="shared" si="77"/>
        <v>1.1216559034724369</v>
      </c>
      <c r="M472" s="14">
        <v>1E-4</v>
      </c>
      <c r="N472" s="19">
        <f t="shared" ca="1" si="83"/>
        <v>46.052739631146551</v>
      </c>
      <c r="O472" s="12">
        <f t="shared" ca="1" si="85"/>
        <v>29.598553013107903</v>
      </c>
      <c r="P472" s="18">
        <f t="shared" ca="1" si="84"/>
        <v>25.818722264858479</v>
      </c>
      <c r="Q472" s="19">
        <f t="shared" ca="1" si="86"/>
        <v>3.8728083397287718</v>
      </c>
      <c r="R472" s="12">
        <f t="shared" ca="1" si="86"/>
        <v>5.163744452971696</v>
      </c>
      <c r="S472" s="12">
        <f t="shared" ca="1" si="87"/>
        <v>2.9598553013107907</v>
      </c>
      <c r="T472" s="83">
        <f t="shared" ca="1" si="88"/>
        <v>11.996408094011258</v>
      </c>
    </row>
    <row r="473" spans="1:20" x14ac:dyDescent="0.3">
      <c r="A473" s="11">
        <v>46692</v>
      </c>
      <c r="B473" s="15">
        <f t="shared" ca="1" si="89"/>
        <v>60174.423546956823</v>
      </c>
      <c r="C473" s="98">
        <f t="shared" si="90"/>
        <v>54722.409927706583</v>
      </c>
      <c r="D473" s="12">
        <f t="shared" ca="1" si="91"/>
        <v>5452.0136192502387</v>
      </c>
      <c r="E473" s="99">
        <v>1110.9426717459053</v>
      </c>
      <c r="F473" s="16">
        <f t="shared" ca="1" si="79"/>
        <v>893.9970412905285</v>
      </c>
      <c r="G473" s="12">
        <f t="shared" ca="1" si="80"/>
        <v>45.264830015699587</v>
      </c>
      <c r="H473" s="12">
        <f t="shared" si="81"/>
        <v>908.66893654170633</v>
      </c>
      <c r="I473" s="17" cm="1">
        <f t="array" ref="I473">IF(MONTH(A473) = LOOKUP(YEAR(A473), YEAR('CNY Dates'!A$2:A$34), 'CNY Dates'!B$2:B$34), LOOKUP(YEAR(A473), YEAR('Hongbao demand'!B$4:B$35), 'Hongbao demand'!F$4:F$35)  - O472, 0)</f>
        <v>0</v>
      </c>
      <c r="J473" s="18">
        <f t="shared" si="82"/>
        <v>-59.936725266877403</v>
      </c>
      <c r="K473" s="40">
        <f t="shared" si="77"/>
        <v>49658.58186349133</v>
      </c>
      <c r="L473" s="41">
        <f t="shared" si="77"/>
        <v>1.1227597020934716</v>
      </c>
      <c r="M473" s="14">
        <v>1E-4</v>
      </c>
      <c r="N473" s="19">
        <f t="shared" ca="1" si="83"/>
        <v>216.94563045537677</v>
      </c>
      <c r="O473" s="12">
        <f t="shared" ca="1" si="85"/>
        <v>29.351898404665338</v>
      </c>
      <c r="P473" s="18">
        <f t="shared" ca="1" si="84"/>
        <v>196.71825693495703</v>
      </c>
      <c r="Q473" s="19">
        <f t="shared" ca="1" si="86"/>
        <v>29.507738540243551</v>
      </c>
      <c r="R473" s="12">
        <f t="shared" ca="1" si="86"/>
        <v>39.343651386991411</v>
      </c>
      <c r="S473" s="12">
        <f t="shared" ca="1" si="87"/>
        <v>2.935189840466534</v>
      </c>
      <c r="T473" s="83">
        <f t="shared" ca="1" si="88"/>
        <v>71.786579767701497</v>
      </c>
    </row>
    <row r="474" spans="1:20" x14ac:dyDescent="0.3">
      <c r="A474" s="11">
        <v>46722</v>
      </c>
      <c r="B474" s="15">
        <f t="shared" ca="1" si="89"/>
        <v>60396.859324530407</v>
      </c>
      <c r="C474" s="98">
        <f t="shared" si="90"/>
        <v>54924.618331759746</v>
      </c>
      <c r="D474" s="12">
        <f t="shared" ca="1" si="91"/>
        <v>5472.2409927706585</v>
      </c>
      <c r="E474" s="99">
        <v>1114.2485695149401</v>
      </c>
      <c r="F474" s="16">
        <f t="shared" ca="1" si="79"/>
        <v>930.32537314712988</v>
      </c>
      <c r="G474" s="12">
        <f t="shared" ca="1" si="80"/>
        <v>45.433446827085319</v>
      </c>
      <c r="H474" s="12">
        <f t="shared" si="81"/>
        <v>912.04016546177638</v>
      </c>
      <c r="I474" s="17" cm="1">
        <f t="array" ref="I474">IF(MONTH(A474) = LOOKUP(YEAR(A474), YEAR('CNY Dates'!A$2:A$34), 'CNY Dates'!B$2:B$34), LOOKUP(YEAR(A474), YEAR('Hongbao demand'!B$4:B$35), 'Hongbao demand'!F$4:F$35)  - O473, 0)</f>
        <v>0</v>
      </c>
      <c r="J474" s="18">
        <f t="shared" si="82"/>
        <v>-27.148239141731782</v>
      </c>
      <c r="K474" s="40">
        <f t="shared" si="77"/>
        <v>49546.044918007072</v>
      </c>
      <c r="L474" s="41">
        <f t="shared" si="77"/>
        <v>1.1238635007145066</v>
      </c>
      <c r="M474" s="14">
        <v>1E-4</v>
      </c>
      <c r="N474" s="19">
        <f t="shared" ca="1" si="83"/>
        <v>183.92319636781019</v>
      </c>
      <c r="O474" s="12">
        <f t="shared" ca="1" si="85"/>
        <v>29.107299251293124</v>
      </c>
      <c r="P474" s="18">
        <f t="shared" ca="1" si="84"/>
        <v>163.70235596249404</v>
      </c>
      <c r="Q474" s="19">
        <f t="shared" ca="1" si="86"/>
        <v>24.555353394374105</v>
      </c>
      <c r="R474" s="12">
        <f t="shared" ca="1" si="86"/>
        <v>32.740471192498809</v>
      </c>
      <c r="S474" s="12">
        <f t="shared" ca="1" si="87"/>
        <v>2.9107299251293126</v>
      </c>
      <c r="T474" s="83">
        <f t="shared" ca="1" si="88"/>
        <v>60.206554512002221</v>
      </c>
    </row>
    <row r="475" spans="1:20" x14ac:dyDescent="0.3">
      <c r="A475" s="11">
        <v>46753</v>
      </c>
      <c r="B475" s="15">
        <f t="shared" ca="1" si="89"/>
        <v>60619.224326690368</v>
      </c>
      <c r="C475" s="98">
        <f t="shared" si="90"/>
        <v>55126.76249351439</v>
      </c>
      <c r="D475" s="12">
        <f t="shared" ca="1" si="91"/>
        <v>5492.4618331759748</v>
      </c>
      <c r="E475" s="99">
        <v>1117.5544672839749</v>
      </c>
      <c r="F475" s="16">
        <f t="shared" ca="1" si="79"/>
        <v>880.39939977165818</v>
      </c>
      <c r="G475" s="12">
        <f t="shared" ca="1" si="80"/>
        <v>45.602008273088821</v>
      </c>
      <c r="H475" s="12">
        <f t="shared" si="81"/>
        <v>915.41030552932909</v>
      </c>
      <c r="I475" s="17" cm="1">
        <f t="array" ref="I475">IF(MONTH(A475) = LOOKUP(YEAR(A475), YEAR('CNY Dates'!A$2:A$34), 'CNY Dates'!B$2:B$34), LOOKUP(YEAR(A475), YEAR('Hongbao demand'!B$4:B$35), 'Hongbao demand'!F$4:F$35)  - O474, 0)</f>
        <v>0</v>
      </c>
      <c r="J475" s="18">
        <f t="shared" si="82"/>
        <v>-80.612914030759697</v>
      </c>
      <c r="K475" s="40">
        <f t="shared" si="77"/>
        <v>49117.124338946589</v>
      </c>
      <c r="L475" s="41">
        <f t="shared" si="77"/>
        <v>1.1249672993355413</v>
      </c>
      <c r="M475" s="14">
        <v>1E-4</v>
      </c>
      <c r="N475" s="19">
        <f t="shared" ca="1" si="83"/>
        <v>237.15506751231669</v>
      </c>
      <c r="O475" s="12">
        <f t="shared" ca="1" si="85"/>
        <v>28.864738424199015</v>
      </c>
      <c r="P475" s="18">
        <f t="shared" ca="1" si="84"/>
        <v>216.94065133685217</v>
      </c>
      <c r="Q475" s="19">
        <f t="shared" ca="1" si="86"/>
        <v>32.541097700527821</v>
      </c>
      <c r="R475" s="12">
        <f t="shared" ca="1" si="86"/>
        <v>43.388130267370435</v>
      </c>
      <c r="S475" s="12">
        <f t="shared" ca="1" si="87"/>
        <v>2.8864738424199015</v>
      </c>
      <c r="T475" s="83">
        <f t="shared" ca="1" si="88"/>
        <v>78.81570181031816</v>
      </c>
    </row>
    <row r="476" spans="1:20" x14ac:dyDescent="0.3">
      <c r="A476" s="11">
        <v>46784</v>
      </c>
      <c r="B476" s="15">
        <f t="shared" ca="1" si="89"/>
        <v>60841.519733026929</v>
      </c>
      <c r="C476" s="98">
        <f t="shared" si="90"/>
        <v>55328.84348367549</v>
      </c>
      <c r="D476" s="12">
        <f t="shared" ca="1" si="91"/>
        <v>5512.6762493514398</v>
      </c>
      <c r="E476" s="99">
        <v>1120.8603650530094</v>
      </c>
      <c r="F476" s="16">
        <f t="shared" ca="1" si="79"/>
        <v>965.92703437456987</v>
      </c>
      <c r="G476" s="12">
        <f t="shared" ca="1" si="80"/>
        <v>45.770515276466455</v>
      </c>
      <c r="H476" s="12">
        <f t="shared" si="81"/>
        <v>918.77937489190651</v>
      </c>
      <c r="I476" s="17" cm="1">
        <f t="array" aca="1" ref="I476" ca="1">IF(MONTH(A476) = LOOKUP(YEAR(A476), YEAR('CNY Dates'!A$2:A$34), 'CNY Dates'!B$2:B$34), LOOKUP(YEAR(A476), YEAR('Hongbao demand'!B$4:B$35), 'Hongbao demand'!F$4:F$35)  - O475, 0)</f>
        <v>-18.352431283158626</v>
      </c>
      <c r="J476" s="18">
        <f t="shared" si="82"/>
        <v>19.729575489355504</v>
      </c>
      <c r="K476" s="40">
        <f t="shared" si="77"/>
        <v>49281.98922726715</v>
      </c>
      <c r="L476" s="41">
        <f t="shared" si="77"/>
        <v>1.1260710979565762</v>
      </c>
      <c r="M476" s="14">
        <v>1E-4</v>
      </c>
      <c r="N476" s="19">
        <f t="shared" ca="1" si="83"/>
        <v>154.93333067843957</v>
      </c>
      <c r="O476" s="12">
        <f t="shared" ca="1" si="85"/>
        <v>30.986666135687916</v>
      </c>
      <c r="P476" s="18">
        <f t="shared" ca="1" si="84"/>
        <v>134.72523166232986</v>
      </c>
      <c r="Q476" s="19">
        <f t="shared" ca="1" si="86"/>
        <v>20.20878474934948</v>
      </c>
      <c r="R476" s="12">
        <f t="shared" ca="1" si="86"/>
        <v>26.945046332465974</v>
      </c>
      <c r="S476" s="12">
        <f t="shared" ca="1" si="87"/>
        <v>3.0986666135687919</v>
      </c>
      <c r="T476" s="83">
        <f t="shared" ca="1" si="88"/>
        <v>50.25249769538425</v>
      </c>
    </row>
    <row r="477" spans="1:20" x14ac:dyDescent="0.3">
      <c r="A477" s="11">
        <v>46813</v>
      </c>
      <c r="B477" s="15">
        <f t="shared" ca="1" si="89"/>
        <v>61063.746703470497</v>
      </c>
      <c r="C477" s="98">
        <f t="shared" si="90"/>
        <v>55530.862355102945</v>
      </c>
      <c r="D477" s="12">
        <f t="shared" ca="1" si="91"/>
        <v>5532.8843483675491</v>
      </c>
      <c r="E477" s="99">
        <v>1124.1662628220442</v>
      </c>
      <c r="F477" s="16">
        <f t="shared" ca="1" si="79"/>
        <v>981.07098119330874</v>
      </c>
      <c r="G477" s="12">
        <f t="shared" ca="1" si="80"/>
        <v>45.938968744595329</v>
      </c>
      <c r="H477" s="12">
        <f t="shared" si="81"/>
        <v>922.14739139459152</v>
      </c>
      <c r="I477" s="17" cm="1">
        <f t="array" ref="I477">IF(MONTH(A477) = LOOKUP(YEAR(A477), YEAR('CNY Dates'!A$2:A$34), 'CNY Dates'!B$2:B$34), LOOKUP(YEAR(A477), YEAR('Hongbao demand'!B$4:B$35), 'Hongbao demand'!F$4:F$35)  - O476, 0)</f>
        <v>0</v>
      </c>
      <c r="J477" s="18">
        <f t="shared" si="82"/>
        <v>12.984621054121963</v>
      </c>
      <c r="K477" s="40">
        <f t="shared" si="77"/>
        <v>49407.157209637771</v>
      </c>
      <c r="L477" s="41">
        <f t="shared" si="77"/>
        <v>1.1271748965776109</v>
      </c>
      <c r="M477" s="14">
        <v>1E-4</v>
      </c>
      <c r="N477" s="19">
        <f t="shared" ca="1" si="83"/>
        <v>143.09528162873551</v>
      </c>
      <c r="O477" s="12">
        <f t="shared" ca="1" si="85"/>
        <v>30.728443917890516</v>
      </c>
      <c r="P477" s="18">
        <f t="shared" ca="1" si="84"/>
        <v>122.89339448599003</v>
      </c>
      <c r="Q477" s="19">
        <f t="shared" ca="1" si="86"/>
        <v>18.434009172898502</v>
      </c>
      <c r="R477" s="12">
        <f t="shared" ca="1" si="86"/>
        <v>24.578678897198007</v>
      </c>
      <c r="S477" s="12">
        <f t="shared" ca="1" si="87"/>
        <v>3.0728443917890518</v>
      </c>
      <c r="T477" s="83">
        <f t="shared" ca="1" si="88"/>
        <v>46.085532461885563</v>
      </c>
    </row>
    <row r="478" spans="1:20" x14ac:dyDescent="0.3">
      <c r="A478" s="11">
        <v>46844</v>
      </c>
      <c r="B478" s="15">
        <f t="shared" ca="1" si="89"/>
        <v>61285.906378619271</v>
      </c>
      <c r="C478" s="98">
        <f t="shared" si="90"/>
        <v>55732.820143108976</v>
      </c>
      <c r="D478" s="12">
        <f t="shared" ca="1" si="91"/>
        <v>5553.0862355102945</v>
      </c>
      <c r="E478" s="99">
        <v>1127.472160591079</v>
      </c>
      <c r="F478" s="16">
        <f t="shared" ca="1" si="79"/>
        <v>1011.8638952061441</v>
      </c>
      <c r="G478" s="12">
        <f t="shared" ca="1" si="80"/>
        <v>46.107369569729578</v>
      </c>
      <c r="H478" s="12">
        <f t="shared" si="81"/>
        <v>925.51437258504905</v>
      </c>
      <c r="I478" s="17" cm="1">
        <f t="array" ref="I478">IF(MONTH(A478) = LOOKUP(YEAR(A478), YEAR('CNY Dates'!A$2:A$34), 'CNY Dates'!B$2:B$34), LOOKUP(YEAR(A478), YEAR('Hongbao demand'!B$4:B$35), 'Hongbao demand'!F$4:F$35)  - O477, 0)</f>
        <v>0</v>
      </c>
      <c r="J478" s="18">
        <f t="shared" si="82"/>
        <v>40.242153051365413</v>
      </c>
      <c r="K478" s="40">
        <f t="shared" si="77"/>
        <v>49694.127572416357</v>
      </c>
      <c r="L478" s="41">
        <f t="shared" si="77"/>
        <v>1.1282786951986459</v>
      </c>
      <c r="M478" s="14">
        <v>1E-4</v>
      </c>
      <c r="N478" s="19">
        <f t="shared" ca="1" si="83"/>
        <v>115.60826538493495</v>
      </c>
      <c r="O478" s="12">
        <f t="shared" ca="1" si="85"/>
        <v>30.472373551908095</v>
      </c>
      <c r="P478" s="18">
        <f t="shared" ca="1" si="84"/>
        <v>95.412486584331418</v>
      </c>
      <c r="Q478" s="19">
        <f t="shared" ca="1" si="86"/>
        <v>14.311872987649712</v>
      </c>
      <c r="R478" s="12">
        <f t="shared" ca="1" si="86"/>
        <v>19.082497316866284</v>
      </c>
      <c r="S478" s="12">
        <f t="shared" ca="1" si="87"/>
        <v>3.0472373551908096</v>
      </c>
      <c r="T478" s="83">
        <f t="shared" ca="1" si="88"/>
        <v>36.441607659706804</v>
      </c>
    </row>
    <row r="479" spans="1:20" x14ac:dyDescent="0.3">
      <c r="A479" s="11">
        <v>46874</v>
      </c>
      <c r="B479" s="15">
        <f t="shared" ca="1" si="89"/>
        <v>61507.999880061507</v>
      </c>
      <c r="C479" s="98">
        <f t="shared" si="90"/>
        <v>55934.717865750608</v>
      </c>
      <c r="D479" s="12">
        <f t="shared" ca="1" si="91"/>
        <v>5573.2820143108984</v>
      </c>
      <c r="E479" s="99">
        <v>1130.7780583601138</v>
      </c>
      <c r="F479" s="16">
        <f t="shared" ca="1" si="79"/>
        <v>1025.2062998825913</v>
      </c>
      <c r="G479" s="12">
        <f t="shared" ca="1" si="80"/>
        <v>46.275718629252452</v>
      </c>
      <c r="H479" s="12">
        <f t="shared" si="81"/>
        <v>928.88033571848291</v>
      </c>
      <c r="I479" s="17" cm="1">
        <f t="array" ref="I479">IF(MONTH(A479) = LOOKUP(YEAR(A479), YEAR('CNY Dates'!A$2:A$34), 'CNY Dates'!B$2:B$34), LOOKUP(YEAR(A479), YEAR('Hongbao demand'!B$4:B$35), 'Hongbao demand'!F$4:F$35)  - O478, 0)</f>
        <v>0</v>
      </c>
      <c r="J479" s="18">
        <f t="shared" si="82"/>
        <v>50.050245534855918</v>
      </c>
      <c r="K479" s="40">
        <f t="shared" si="77"/>
        <v>50040.282244737879</v>
      </c>
      <c r="L479" s="41">
        <f t="shared" si="77"/>
        <v>1.1293824938196806</v>
      </c>
      <c r="M479" s="14">
        <v>1E-4</v>
      </c>
      <c r="N479" s="19">
        <f t="shared" ca="1" si="83"/>
        <v>105.57175847752251</v>
      </c>
      <c r="O479" s="12">
        <f t="shared" ca="1" si="85"/>
        <v>30.218437105642195</v>
      </c>
      <c r="P479" s="18">
        <f t="shared" ca="1" si="84"/>
        <v>85.381986213360506</v>
      </c>
      <c r="Q479" s="19">
        <f t="shared" ca="1" si="86"/>
        <v>12.807297932004076</v>
      </c>
      <c r="R479" s="12">
        <f t="shared" ca="1" si="86"/>
        <v>17.076397242672101</v>
      </c>
      <c r="S479" s="12">
        <f t="shared" ca="1" si="87"/>
        <v>3.0218437105642195</v>
      </c>
      <c r="T479" s="83">
        <f t="shared" ca="1" si="88"/>
        <v>32.905538885240396</v>
      </c>
    </row>
    <row r="480" spans="1:20" x14ac:dyDescent="0.3">
      <c r="A480" s="11">
        <v>46905</v>
      </c>
      <c r="B480" s="15">
        <f t="shared" ca="1" si="89"/>
        <v>61730.028310692316</v>
      </c>
      <c r="C480" s="98">
        <f t="shared" si="90"/>
        <v>56136.556524117252</v>
      </c>
      <c r="D480" s="12">
        <f t="shared" ca="1" si="91"/>
        <v>5593.4717865750608</v>
      </c>
      <c r="E480" s="99">
        <v>1134.0839561291486</v>
      </c>
      <c r="F480" s="16">
        <f t="shared" ca="1" si="79"/>
        <v>965.62768756206322</v>
      </c>
      <c r="G480" s="12">
        <f t="shared" ca="1" si="80"/>
        <v>46.444016785924155</v>
      </c>
      <c r="H480" s="12">
        <f t="shared" si="81"/>
        <v>932.24529776251018</v>
      </c>
      <c r="I480" s="17" cm="1">
        <f t="array" ref="I480">IF(MONTH(A480) = LOOKUP(YEAR(A480), YEAR('CNY Dates'!A$2:A$34), 'CNY Dates'!B$2:B$34), LOOKUP(YEAR(A480), YEAR('Hongbao demand'!B$4:B$35), 'Hongbao demand'!F$4:F$35)  - O479, 0)</f>
        <v>0</v>
      </c>
      <c r="J480" s="18">
        <f t="shared" si="82"/>
        <v>-13.061626986371119</v>
      </c>
      <c r="K480" s="40">
        <f t="shared" si="77"/>
        <v>50011.454606260188</v>
      </c>
      <c r="L480" s="41">
        <f t="shared" si="77"/>
        <v>1.1304862924407155</v>
      </c>
      <c r="M480" s="14">
        <v>1E-4</v>
      </c>
      <c r="N480" s="19">
        <f t="shared" ca="1" si="83"/>
        <v>168.45626856708543</v>
      </c>
      <c r="O480" s="12">
        <f t="shared" ca="1" si="85"/>
        <v>29.966616796428511</v>
      </c>
      <c r="P480" s="18">
        <f t="shared" ca="1" si="84"/>
        <v>148.27240273042025</v>
      </c>
      <c r="Q480" s="19">
        <f t="shared" ca="1" si="86"/>
        <v>22.240860409563037</v>
      </c>
      <c r="R480" s="12">
        <f t="shared" ca="1" si="86"/>
        <v>29.654480546084052</v>
      </c>
      <c r="S480" s="12">
        <f t="shared" ca="1" si="87"/>
        <v>2.9966616796428514</v>
      </c>
      <c r="T480" s="83">
        <f t="shared" ca="1" si="88"/>
        <v>54.892002635289934</v>
      </c>
    </row>
    <row r="481" spans="1:20" x14ac:dyDescent="0.3">
      <c r="A481" s="11">
        <v>46935</v>
      </c>
      <c r="B481" s="15">
        <f t="shared" ca="1" si="89"/>
        <v>61951.992755025203</v>
      </c>
      <c r="C481" s="98">
        <f t="shared" si="90"/>
        <v>56338.337102613477</v>
      </c>
      <c r="D481" s="12">
        <f t="shared" ca="1" si="91"/>
        <v>5613.6556524117259</v>
      </c>
      <c r="E481" s="99">
        <v>1137.3898538981832</v>
      </c>
      <c r="F481" s="16">
        <f t="shared" ca="1" si="79"/>
        <v>1076.7511760298303</v>
      </c>
      <c r="G481" s="12">
        <f t="shared" ca="1" si="80"/>
        <v>46.612264888125509</v>
      </c>
      <c r="H481" s="12">
        <f t="shared" si="81"/>
        <v>935.60927540195416</v>
      </c>
      <c r="I481" s="17" cm="1">
        <f t="array" ref="I481">IF(MONTH(A481) = LOOKUP(YEAR(A481), YEAR('CNY Dates'!A$2:A$34), 'CNY Dates'!B$2:B$34), LOOKUP(YEAR(A481), YEAR('Hongbao demand'!B$4:B$35), 'Hongbao demand'!F$4:F$35)  - O480, 0)</f>
        <v>0</v>
      </c>
      <c r="J481" s="18">
        <f t="shared" si="82"/>
        <v>94.529635739750631</v>
      </c>
      <c r="K481" s="40">
        <f t="shared" si="77"/>
        <v>50624.225612013695</v>
      </c>
      <c r="L481" s="41">
        <f t="shared" si="77"/>
        <v>1.1315900910617502</v>
      </c>
      <c r="M481" s="14">
        <v>1E-4</v>
      </c>
      <c r="N481" s="19">
        <f t="shared" ca="1" si="83"/>
        <v>60.638677868352943</v>
      </c>
      <c r="O481" s="12">
        <f t="shared" ca="1" si="85"/>
        <v>29.716894989791609</v>
      </c>
      <c r="P481" s="18">
        <f t="shared" ca="1" si="84"/>
        <v>40.460620018730879</v>
      </c>
      <c r="Q481" s="19">
        <f t="shared" ca="1" si="86"/>
        <v>6.0690930028096313</v>
      </c>
      <c r="R481" s="12">
        <f t="shared" ca="1" si="86"/>
        <v>8.0921240037461768</v>
      </c>
      <c r="S481" s="12">
        <f t="shared" ca="1" si="87"/>
        <v>2.9716894989791611</v>
      </c>
      <c r="T481" s="83">
        <f t="shared" ca="1" si="88"/>
        <v>17.132906505534969</v>
      </c>
    </row>
    <row r="482" spans="1:20" x14ac:dyDescent="0.3">
      <c r="A482" s="11">
        <v>46966</v>
      </c>
      <c r="B482" s="15">
        <f t="shared" ca="1" si="89"/>
        <v>62173.894279498491</v>
      </c>
      <c r="C482" s="98">
        <f t="shared" si="90"/>
        <v>56540.060569237139</v>
      </c>
      <c r="D482" s="12">
        <f t="shared" ca="1" si="91"/>
        <v>5633.8337102613477</v>
      </c>
      <c r="E482" s="99">
        <v>1140.695751667218</v>
      </c>
      <c r="F482" s="16">
        <f t="shared" ca="1" si="79"/>
        <v>941.62412097981758</v>
      </c>
      <c r="G482" s="12">
        <f t="shared" ca="1" si="80"/>
        <v>46.780463770097718</v>
      </c>
      <c r="H482" s="12">
        <f t="shared" si="81"/>
        <v>938.97228504355792</v>
      </c>
      <c r="I482" s="17" cm="1">
        <f t="array" ref="I482">IF(MONTH(A482) = LOOKUP(YEAR(A482), YEAR('CNY Dates'!A$2:A$34), 'CNY Dates'!B$2:B$34), LOOKUP(YEAR(A482), YEAR('Hongbao demand'!B$4:B$35), 'Hongbao demand'!F$4:F$35)  - O481, 0)</f>
        <v>0</v>
      </c>
      <c r="J482" s="18">
        <f t="shared" si="82"/>
        <v>-44.128627833838095</v>
      </c>
      <c r="K482" s="40">
        <f t="shared" si="77"/>
        <v>50409.952724684132</v>
      </c>
      <c r="L482" s="41">
        <f t="shared" si="77"/>
        <v>1.1326938896827852</v>
      </c>
      <c r="M482" s="14">
        <v>1E-4</v>
      </c>
      <c r="N482" s="19">
        <f t="shared" ca="1" si="83"/>
        <v>199.07163068740044</v>
      </c>
      <c r="O482" s="12">
        <f t="shared" ca="1" si="85"/>
        <v>29.469254198210013</v>
      </c>
      <c r="P482" s="18">
        <f t="shared" ca="1" si="84"/>
        <v>178.89928402503392</v>
      </c>
      <c r="Q482" s="19">
        <f t="shared" ca="1" si="86"/>
        <v>26.834892603755087</v>
      </c>
      <c r="R482" s="12">
        <f t="shared" ca="1" si="86"/>
        <v>35.779856805006787</v>
      </c>
      <c r="S482" s="12">
        <f t="shared" ca="1" si="87"/>
        <v>2.9469254198210013</v>
      </c>
      <c r="T482" s="83">
        <f t="shared" ca="1" si="88"/>
        <v>65.561674828582881</v>
      </c>
    </row>
    <row r="483" spans="1:20" x14ac:dyDescent="0.3">
      <c r="A483" s="11">
        <v>46997</v>
      </c>
      <c r="B483" s="15">
        <f t="shared" ca="1" si="89"/>
        <v>62395.733932776478</v>
      </c>
      <c r="C483" s="98">
        <f t="shared" si="90"/>
        <v>56741.727875852768</v>
      </c>
      <c r="D483" s="12">
        <f t="shared" ca="1" si="91"/>
        <v>5654.0060569237139</v>
      </c>
      <c r="E483" s="99">
        <v>1144.0016494362528</v>
      </c>
      <c r="F483" s="16">
        <f t="shared" ca="1" si="79"/>
        <v>975.78881908320932</v>
      </c>
      <c r="G483" s="12">
        <f t="shared" ca="1" si="80"/>
        <v>46.948614252177897</v>
      </c>
      <c r="H483" s="12">
        <f t="shared" si="81"/>
        <v>942.33434282061899</v>
      </c>
      <c r="I483" s="17" cm="1">
        <f t="array" ref="I483">IF(MONTH(A483) = LOOKUP(YEAR(A483), YEAR('CNY Dates'!A$2:A$34), 'CNY Dates'!B$2:B$34), LOOKUP(YEAR(A483), YEAR('Hongbao demand'!B$4:B$35), 'Hongbao demand'!F$4:F$35)  - O482, 0)</f>
        <v>0</v>
      </c>
      <c r="J483" s="18">
        <f t="shared" si="82"/>
        <v>-13.494137989587555</v>
      </c>
      <c r="K483" s="40">
        <f t="shared" si="77"/>
        <v>50378.591009429969</v>
      </c>
      <c r="L483" s="41">
        <f t="shared" si="77"/>
        <v>1.1337976883038199</v>
      </c>
      <c r="M483" s="14">
        <v>1E-4</v>
      </c>
      <c r="N483" s="19">
        <f t="shared" ca="1" si="83"/>
        <v>168.2128303530435</v>
      </c>
      <c r="O483" s="12">
        <f t="shared" ca="1" si="85"/>
        <v>29.223677079891598</v>
      </c>
      <c r="P483" s="18">
        <f t="shared" ca="1" si="84"/>
        <v>148.04609969147987</v>
      </c>
      <c r="Q483" s="19">
        <f t="shared" ca="1" si="86"/>
        <v>22.206914953721981</v>
      </c>
      <c r="R483" s="12">
        <f t="shared" ca="1" si="86"/>
        <v>29.609219938295976</v>
      </c>
      <c r="S483" s="12">
        <f t="shared" ca="1" si="87"/>
        <v>2.9223677079891601</v>
      </c>
      <c r="T483" s="83">
        <f t="shared" ca="1" si="88"/>
        <v>54.738502600007116</v>
      </c>
    </row>
    <row r="484" spans="1:20" x14ac:dyDescent="0.3">
      <c r="A484" s="11">
        <v>47027</v>
      </c>
      <c r="B484" s="15">
        <f t="shared" ca="1" si="89"/>
        <v>62617.512746045788</v>
      </c>
      <c r="C484" s="98">
        <f t="shared" si="90"/>
        <v>56943.339958460507</v>
      </c>
      <c r="D484" s="12">
        <f t="shared" ca="1" si="91"/>
        <v>5674.1727875852775</v>
      </c>
      <c r="E484" s="99">
        <v>1147.3075472052874</v>
      </c>
      <c r="F484" s="16">
        <f t="shared" ca="1" si="79"/>
        <v>1103.3266715918342</v>
      </c>
      <c r="G484" s="12">
        <f t="shared" ca="1" si="80"/>
        <v>47.116717141030946</v>
      </c>
      <c r="H484" s="12">
        <f t="shared" si="81"/>
        <v>945.69546459754611</v>
      </c>
      <c r="I484" s="17" cm="1">
        <f t="array" ref="I484">IF(MONTH(A484) = LOOKUP(YEAR(A484), YEAR('CNY Dates'!A$2:A$34), 'CNY Dates'!B$2:B$34), LOOKUP(YEAR(A484), YEAR('Hongbao demand'!B$4:B$35), 'Hongbao demand'!F$4:F$35)  - O483, 0)</f>
        <v>0</v>
      </c>
      <c r="J484" s="18">
        <f t="shared" si="82"/>
        <v>110.51448985325715</v>
      </c>
      <c r="K484" s="40">
        <f t="shared" si="77"/>
        <v>51088.688874188731</v>
      </c>
      <c r="L484" s="41">
        <f t="shared" si="77"/>
        <v>1.1349014869248548</v>
      </c>
      <c r="M484" s="14">
        <v>1E-4</v>
      </c>
      <c r="N484" s="19">
        <f t="shared" ca="1" si="83"/>
        <v>43.980875613453236</v>
      </c>
      <c r="O484" s="12">
        <f t="shared" ca="1" si="85"/>
        <v>28.980146437559167</v>
      </c>
      <c r="P484" s="18">
        <f t="shared" ca="1" si="84"/>
        <v>23.819667352679971</v>
      </c>
      <c r="Q484" s="19">
        <f t="shared" ca="1" si="86"/>
        <v>3.5729501029019954</v>
      </c>
      <c r="R484" s="12">
        <f t="shared" ca="1" si="86"/>
        <v>4.7639334705359948</v>
      </c>
      <c r="S484" s="12">
        <f t="shared" ca="1" si="87"/>
        <v>2.8980146437559169</v>
      </c>
      <c r="T484" s="83">
        <f t="shared" ca="1" si="88"/>
        <v>11.234898217193908</v>
      </c>
    </row>
    <row r="485" spans="1:20" x14ac:dyDescent="0.3">
      <c r="A485" s="11">
        <v>47058</v>
      </c>
      <c r="B485" s="15">
        <f t="shared" ca="1" si="89"/>
        <v>62839.231733306537</v>
      </c>
      <c r="C485" s="98">
        <f t="shared" si="90"/>
        <v>57144.897737460487</v>
      </c>
      <c r="D485" s="12">
        <f t="shared" ca="1" si="91"/>
        <v>5694.333995846051</v>
      </c>
      <c r="E485" s="99">
        <v>1150.6134449743222</v>
      </c>
      <c r="F485" s="16">
        <f t="shared" ca="1" si="79"/>
        <v>936.63244900163943</v>
      </c>
      <c r="G485" s="12">
        <f t="shared" ca="1" si="80"/>
        <v>47.28477322987731</v>
      </c>
      <c r="H485" s="12">
        <f t="shared" si="81"/>
        <v>949.05566597434176</v>
      </c>
      <c r="I485" s="17" cm="1">
        <f t="array" ref="I485">IF(MONTH(A485) = LOOKUP(YEAR(A485), YEAR('CNY Dates'!A$2:A$34), 'CNY Dates'!B$2:B$34), LOOKUP(YEAR(A485), YEAR('Hongbao demand'!B$4:B$35), 'Hongbao demand'!F$4:F$35)  - O484, 0)</f>
        <v>0</v>
      </c>
      <c r="J485" s="18">
        <f t="shared" si="82"/>
        <v>-59.70799020257963</v>
      </c>
      <c r="K485" s="40">
        <f t="shared" si="77"/>
        <v>50780.693586921618</v>
      </c>
      <c r="L485" s="41">
        <f t="shared" si="77"/>
        <v>1.1360052855458895</v>
      </c>
      <c r="M485" s="14">
        <v>1E-4</v>
      </c>
      <c r="N485" s="19">
        <f t="shared" ca="1" si="83"/>
        <v>213.98099597268276</v>
      </c>
      <c r="O485" s="12">
        <f t="shared" ca="1" si="85"/>
        <v>28.738645217246177</v>
      </c>
      <c r="P485" s="18">
        <f t="shared" ca="1" si="84"/>
        <v>193.82521807268495</v>
      </c>
      <c r="Q485" s="19">
        <f t="shared" ca="1" si="86"/>
        <v>29.073782710902741</v>
      </c>
      <c r="R485" s="12">
        <f t="shared" ca="1" si="86"/>
        <v>38.765043614536992</v>
      </c>
      <c r="S485" s="12">
        <f t="shared" ca="1" si="87"/>
        <v>2.8738645217246179</v>
      </c>
      <c r="T485" s="83">
        <f t="shared" ca="1" si="88"/>
        <v>70.712690847164339</v>
      </c>
    </row>
    <row r="486" spans="1:20" x14ac:dyDescent="0.3">
      <c r="A486" s="11">
        <v>47088</v>
      </c>
      <c r="B486" s="15">
        <f t="shared" ca="1" si="89"/>
        <v>63060.891891658881</v>
      </c>
      <c r="C486" s="98">
        <f t="shared" si="90"/>
        <v>57346.402117912832</v>
      </c>
      <c r="D486" s="12">
        <f t="shared" ca="1" si="91"/>
        <v>5714.4897737460487</v>
      </c>
      <c r="E486" s="99">
        <v>1153.919342743357</v>
      </c>
      <c r="F486" s="16">
        <f t="shared" ca="1" si="79"/>
        <v>972.77644886589701</v>
      </c>
      <c r="G486" s="12">
        <f t="shared" ca="1" si="80"/>
        <v>47.452783298717094</v>
      </c>
      <c r="H486" s="12">
        <f t="shared" si="81"/>
        <v>952.41496229100812</v>
      </c>
      <c r="I486" s="17" cm="1">
        <f t="array" ref="I486">IF(MONTH(A486) = LOOKUP(YEAR(A486), YEAR('CNY Dates'!A$2:A$34), 'CNY Dates'!B$2:B$34), LOOKUP(YEAR(A486), YEAR('Hongbao demand'!B$4:B$35), 'Hongbao demand'!F$4:F$35)  - O485, 0)</f>
        <v>0</v>
      </c>
      <c r="J486" s="18">
        <f t="shared" si="82"/>
        <v>-27.091296723828261</v>
      </c>
      <c r="K486" s="40">
        <f t="shared" si="77"/>
        <v>50668.156641437366</v>
      </c>
      <c r="L486" s="41">
        <f t="shared" si="77"/>
        <v>1.1371090841669242</v>
      </c>
      <c r="M486" s="14">
        <v>1E-4</v>
      </c>
      <c r="N486" s="19">
        <f t="shared" ca="1" si="83"/>
        <v>181.14289387745998</v>
      </c>
      <c r="O486" s="12">
        <f t="shared" ca="1" si="85"/>
        <v>28.499156507102459</v>
      </c>
      <c r="P486" s="18">
        <f t="shared" ca="1" si="84"/>
        <v>160.99245583222455</v>
      </c>
      <c r="Q486" s="19">
        <f t="shared" ca="1" si="86"/>
        <v>24.148868374833683</v>
      </c>
      <c r="R486" s="12">
        <f t="shared" ca="1" si="86"/>
        <v>32.19849116644491</v>
      </c>
      <c r="S486" s="12">
        <f t="shared" ca="1" si="87"/>
        <v>2.8499156507102459</v>
      </c>
      <c r="T486" s="83">
        <f t="shared" ca="1" si="88"/>
        <v>59.197275191988837</v>
      </c>
    </row>
    <row r="487" spans="1:20" x14ac:dyDescent="0.3">
      <c r="A487" s="11">
        <v>47119</v>
      </c>
      <c r="B487" s="15">
        <f t="shared" ca="1" si="89"/>
        <v>63282.494201584632</v>
      </c>
      <c r="C487" s="98">
        <f t="shared" si="90"/>
        <v>57547.853989793344</v>
      </c>
      <c r="D487" s="12">
        <f t="shared" ca="1" si="91"/>
        <v>5734.6402117912839</v>
      </c>
      <c r="E487" s="99">
        <v>1157.2252405123918</v>
      </c>
      <c r="F487" s="16">
        <f t="shared" ca="1" si="79"/>
        <v>923.12685261458466</v>
      </c>
      <c r="G487" s="12">
        <f t="shared" ca="1" si="80"/>
        <v>47.620748114550409</v>
      </c>
      <c r="H487" s="12">
        <f t="shared" si="81"/>
        <v>955.77336863188054</v>
      </c>
      <c r="I487" s="17" cm="1">
        <f t="array" ref="I487">IF(MONTH(A487) = LOOKUP(YEAR(A487), YEAR('CNY Dates'!A$2:A$34), 'CNY Dates'!B$2:B$34), LOOKUP(YEAR(A487), YEAR('Hongbao demand'!B$4:B$35), 'Hongbao demand'!F$4:F$35)  - O486, 0)</f>
        <v>0</v>
      </c>
      <c r="J487" s="18">
        <f t="shared" si="82"/>
        <v>-80.267264131846318</v>
      </c>
      <c r="K487" s="40">
        <f t="shared" si="77"/>
        <v>50239.236062376876</v>
      </c>
      <c r="L487" s="41">
        <f t="shared" si="77"/>
        <v>1.1382128827879592</v>
      </c>
      <c r="M487" s="14">
        <v>1E-4</v>
      </c>
      <c r="N487" s="19">
        <f t="shared" ca="1" si="83"/>
        <v>234.09838789780713</v>
      </c>
      <c r="O487" s="12">
        <f t="shared" ca="1" si="85"/>
        <v>28.261663536209937</v>
      </c>
      <c r="P487" s="18">
        <f t="shared" ca="1" si="84"/>
        <v>213.95320070975595</v>
      </c>
      <c r="Q487" s="19">
        <f t="shared" ca="1" si="86"/>
        <v>32.092980106463393</v>
      </c>
      <c r="R487" s="12">
        <f t="shared" ca="1" si="86"/>
        <v>42.790640141951194</v>
      </c>
      <c r="S487" s="12">
        <f t="shared" ca="1" si="87"/>
        <v>2.826166353620994</v>
      </c>
      <c r="T487" s="83">
        <f t="shared" ca="1" si="88"/>
        <v>77.709786602035578</v>
      </c>
    </row>
    <row r="488" spans="1:20" x14ac:dyDescent="0.3">
      <c r="A488" s="11">
        <v>47150</v>
      </c>
      <c r="B488" s="15">
        <f t="shared" ca="1" si="89"/>
        <v>63504.039627224214</v>
      </c>
      <c r="C488" s="98">
        <f t="shared" si="90"/>
        <v>57749.254228244878</v>
      </c>
      <c r="D488" s="12">
        <f t="shared" ca="1" si="91"/>
        <v>5754.7853989793348</v>
      </c>
      <c r="E488" s="99">
        <v>1160.5311382814266</v>
      </c>
      <c r="F488" s="16">
        <f t="shared" ca="1" si="79"/>
        <v>1008.7043348865285</v>
      </c>
      <c r="G488" s="12">
        <f t="shared" ca="1" si="80"/>
        <v>47.788668431594033</v>
      </c>
      <c r="H488" s="12">
        <f t="shared" si="81"/>
        <v>959.13089982988902</v>
      </c>
      <c r="I488" s="17" cm="1">
        <f t="array" aca="1" ref="I488" ca="1">IF(MONTH(A488) = LOOKUP(YEAR(A488), YEAR('CNY Dates'!A$2:A$34), 'CNY Dates'!B$2:B$34), LOOKUP(YEAR(A488), YEAR('Hongbao demand'!B$4:B$35), 'Hongbao demand'!F$4:F$35)  - O487, 0)</f>
        <v>-17.749356395169549</v>
      </c>
      <c r="J488" s="18">
        <f t="shared" si="82"/>
        <v>19.534123020215063</v>
      </c>
      <c r="K488" s="40">
        <f t="shared" si="77"/>
        <v>50404.100950697437</v>
      </c>
      <c r="L488" s="41">
        <f t="shared" si="77"/>
        <v>1.1393166814089939</v>
      </c>
      <c r="M488" s="14">
        <v>1E-4</v>
      </c>
      <c r="N488" s="19">
        <f t="shared" ca="1" si="83"/>
        <v>151.82680339489809</v>
      </c>
      <c r="O488" s="12">
        <f t="shared" ca="1" si="85"/>
        <v>30.36536067897962</v>
      </c>
      <c r="P488" s="18">
        <f t="shared" ca="1" si="84"/>
        <v>131.68677954974464</v>
      </c>
      <c r="Q488" s="19">
        <f t="shared" ca="1" si="86"/>
        <v>19.753016932461694</v>
      </c>
      <c r="R488" s="12">
        <f t="shared" ca="1" si="86"/>
        <v>26.337355909948929</v>
      </c>
      <c r="S488" s="12">
        <f t="shared" ca="1" si="87"/>
        <v>3.0365360678979623</v>
      </c>
      <c r="T488" s="83">
        <f t="shared" ca="1" si="88"/>
        <v>49.126908910308586</v>
      </c>
    </row>
    <row r="489" spans="1:20" x14ac:dyDescent="0.3">
      <c r="A489" s="11">
        <v>47178</v>
      </c>
      <c r="B489" s="15">
        <f t="shared" ca="1" si="89"/>
        <v>63725.529116649086</v>
      </c>
      <c r="C489" s="98">
        <f t="shared" si="90"/>
        <v>57950.603693824596</v>
      </c>
      <c r="D489" s="12">
        <f t="shared" ca="1" si="91"/>
        <v>5774.9254228244881</v>
      </c>
      <c r="E489" s="99">
        <v>1163.8370360504614</v>
      </c>
      <c r="F489" s="16">
        <f t="shared" ca="1" si="79"/>
        <v>1023.2705249082528</v>
      </c>
      <c r="G489" s="12">
        <f t="shared" ca="1" si="80"/>
        <v>47.956544991494454</v>
      </c>
      <c r="H489" s="12">
        <f t="shared" si="81"/>
        <v>962.48757047074798</v>
      </c>
      <c r="I489" s="17" cm="1">
        <f t="array" ref="I489">IF(MONTH(A489) = LOOKUP(YEAR(A489), YEAR('CNY Dates'!A$2:A$34), 'CNY Dates'!B$2:B$34), LOOKUP(YEAR(A489), YEAR('Hongbao demand'!B$4:B$35), 'Hongbao demand'!F$4:F$35)  - O488, 0)</f>
        <v>0</v>
      </c>
      <c r="J489" s="18">
        <f t="shared" si="82"/>
        <v>12.826409446010437</v>
      </c>
      <c r="K489" s="40">
        <f t="shared" si="77"/>
        <v>50529.268933068059</v>
      </c>
      <c r="L489" s="41">
        <f t="shared" si="77"/>
        <v>1.1404204800300288</v>
      </c>
      <c r="M489" s="14">
        <v>1E-4</v>
      </c>
      <c r="N489" s="19">
        <f t="shared" ca="1" si="83"/>
        <v>140.56651114220858</v>
      </c>
      <c r="O489" s="12">
        <f t="shared" ca="1" si="85"/>
        <v>30.11231600665479</v>
      </c>
      <c r="P489" s="18">
        <f t="shared" ca="1" si="84"/>
        <v>120.43156458423709</v>
      </c>
      <c r="Q489" s="19">
        <f t="shared" ref="Q489:R510" ca="1" si="92">MAX(0,$P489)*Q$5</f>
        <v>18.064734687635564</v>
      </c>
      <c r="R489" s="12">
        <f t="shared" ca="1" si="92"/>
        <v>24.086312916847419</v>
      </c>
      <c r="S489" s="12">
        <f t="shared" ca="1" si="87"/>
        <v>3.0112316006654791</v>
      </c>
      <c r="T489" s="83">
        <f t="shared" ca="1" si="88"/>
        <v>45.162279205148465</v>
      </c>
    </row>
    <row r="490" spans="1:20" x14ac:dyDescent="0.3">
      <c r="A490" s="11">
        <v>47209</v>
      </c>
      <c r="B490" s="15">
        <f t="shared" ca="1" si="89"/>
        <v>63946.963602129472</v>
      </c>
      <c r="C490" s="98">
        <f t="shared" si="90"/>
        <v>58151.903232747012</v>
      </c>
      <c r="D490" s="12">
        <f t="shared" ca="1" si="91"/>
        <v>5795.0603693824596</v>
      </c>
      <c r="E490" s="99">
        <v>1167.142933819496</v>
      </c>
      <c r="F490" s="16">
        <f t="shared" ca="1" si="79"/>
        <v>1053.9069473860659</v>
      </c>
      <c r="G490" s="12">
        <f t="shared" ca="1" si="80"/>
        <v>48.124378523537402</v>
      </c>
      <c r="H490" s="12">
        <f t="shared" si="81"/>
        <v>965.84339489707656</v>
      </c>
      <c r="I490" s="17" cm="1">
        <f t="array" ref="I490">IF(MONTH(A490) = LOOKUP(YEAR(A490), YEAR('CNY Dates'!A$2:A$34), 'CNY Dates'!B$2:B$34), LOOKUP(YEAR(A490), YEAR('Hongbao demand'!B$4:B$35), 'Hongbao demand'!F$4:F$35)  - O489, 0)</f>
        <v>0</v>
      </c>
      <c r="J490" s="18">
        <f t="shared" si="82"/>
        <v>39.939173965451879</v>
      </c>
      <c r="K490" s="40">
        <f t="shared" si="77"/>
        <v>50816.239295846652</v>
      </c>
      <c r="L490" s="41">
        <f t="shared" si="77"/>
        <v>1.1415242786510635</v>
      </c>
      <c r="M490" s="14">
        <v>1E-4</v>
      </c>
      <c r="N490" s="19">
        <f t="shared" ca="1" si="83"/>
        <v>113.23598643343007</v>
      </c>
      <c r="O490" s="12">
        <f t="shared" ca="1" si="85"/>
        <v>29.861380039932666</v>
      </c>
      <c r="P490" s="18">
        <f t="shared" ca="1" si="84"/>
        <v>93.106032541188142</v>
      </c>
      <c r="Q490" s="19">
        <f t="shared" ca="1" si="92"/>
        <v>13.96590488117822</v>
      </c>
      <c r="R490" s="12">
        <f t="shared" ca="1" si="92"/>
        <v>18.621206508237631</v>
      </c>
      <c r="S490" s="12">
        <f t="shared" ca="1" si="87"/>
        <v>2.9861380039932666</v>
      </c>
      <c r="T490" s="83">
        <f t="shared" ca="1" si="88"/>
        <v>35.573249393409121</v>
      </c>
    </row>
    <row r="491" spans="1:20" x14ac:dyDescent="0.3">
      <c r="A491" s="11">
        <v>47239</v>
      </c>
      <c r="B491" s="15">
        <f t="shared" ca="1" si="89"/>
        <v>64168.344000397796</v>
      </c>
      <c r="C491" s="98">
        <f t="shared" si="90"/>
        <v>58353.153677123097</v>
      </c>
      <c r="D491" s="12">
        <f t="shared" ca="1" si="91"/>
        <v>5815.1903232747018</v>
      </c>
      <c r="E491" s="99">
        <v>1170.4488315885308</v>
      </c>
      <c r="F491" s="16">
        <f t="shared" ca="1" si="79"/>
        <v>1067.1893953601661</v>
      </c>
      <c r="G491" s="12">
        <f t="shared" ca="1" si="80"/>
        <v>48.29216974485383</v>
      </c>
      <c r="H491" s="12">
        <f t="shared" si="81"/>
        <v>969.19838721245026</v>
      </c>
      <c r="I491" s="17" cm="1">
        <f t="array" ref="I491">IF(MONTH(A491) = LOOKUP(YEAR(A491), YEAR('CNY Dates'!A$2:A$34), 'CNY Dates'!B$2:B$34), LOOKUP(YEAR(A491), YEAR('Hongbao demand'!B$4:B$35), 'Hongbao demand'!F$4:F$35)  - O490, 0)</f>
        <v>0</v>
      </c>
      <c r="J491" s="18">
        <f t="shared" si="82"/>
        <v>49.698838402862158</v>
      </c>
      <c r="K491" s="40">
        <f t="shared" si="77"/>
        <v>51162.393968168166</v>
      </c>
      <c r="L491" s="41">
        <f t="shared" si="77"/>
        <v>1.1426280772720985</v>
      </c>
      <c r="M491" s="14">
        <v>1E-4</v>
      </c>
      <c r="N491" s="19">
        <f t="shared" ca="1" si="83"/>
        <v>103.25943622836462</v>
      </c>
      <c r="O491" s="12">
        <f t="shared" ca="1" si="85"/>
        <v>29.612535206266561</v>
      </c>
      <c r="P491" s="18">
        <f t="shared" ca="1" si="84"/>
        <v>83.134391790756126</v>
      </c>
      <c r="Q491" s="19">
        <f t="shared" ca="1" si="92"/>
        <v>12.470158768613418</v>
      </c>
      <c r="R491" s="12">
        <f t="shared" ca="1" si="92"/>
        <v>16.626878358151227</v>
      </c>
      <c r="S491" s="12">
        <f t="shared" ca="1" si="87"/>
        <v>2.9612535206266561</v>
      </c>
      <c r="T491" s="83">
        <f t="shared" ca="1" si="88"/>
        <v>32.058290647391303</v>
      </c>
    </row>
    <row r="492" spans="1:20" x14ac:dyDescent="0.3">
      <c r="A492" s="11">
        <v>47270</v>
      </c>
      <c r="B492" s="15">
        <f t="shared" ca="1" si="89"/>
        <v>64389.67121290759</v>
      </c>
      <c r="C492" s="98">
        <f t="shared" si="90"/>
        <v>58554.355845195278</v>
      </c>
      <c r="D492" s="12">
        <f t="shared" ca="1" si="91"/>
        <v>5835.31536771231</v>
      </c>
      <c r="E492" s="99">
        <v>1173.7547293575656</v>
      </c>
      <c r="F492" s="16">
        <f t="shared" ca="1" si="79"/>
        <v>1007.9330106456925</v>
      </c>
      <c r="G492" s="12">
        <f t="shared" ca="1" si="80"/>
        <v>48.459919360622514</v>
      </c>
      <c r="H492" s="12">
        <f t="shared" si="81"/>
        <v>972.55256128538497</v>
      </c>
      <c r="I492" s="17" cm="1">
        <f t="array" ref="I492">IF(MONTH(A492) = LOOKUP(YEAR(A492), YEAR('CNY Dates'!A$2:A$34), 'CNY Dates'!B$2:B$34), LOOKUP(YEAR(A492), YEAR('Hongbao demand'!B$4:B$35), 'Hongbao demand'!F$4:F$35)  - O491, 0)</f>
        <v>0</v>
      </c>
      <c r="J492" s="18">
        <f t="shared" si="82"/>
        <v>-13.079470000314908</v>
      </c>
      <c r="K492" s="40">
        <f t="shared" si="77"/>
        <v>51133.566329690475</v>
      </c>
      <c r="L492" s="41">
        <f t="shared" si="77"/>
        <v>1.1437318758931332</v>
      </c>
      <c r="M492" s="14">
        <v>1E-4</v>
      </c>
      <c r="N492" s="19">
        <f t="shared" ca="1" si="83"/>
        <v>165.82171871187302</v>
      </c>
      <c r="O492" s="12">
        <f t="shared" ca="1" si="85"/>
        <v>29.36576407954767</v>
      </c>
      <c r="P492" s="18">
        <f t="shared" ca="1" si="84"/>
        <v>145.70150190465574</v>
      </c>
      <c r="Q492" s="19">
        <f t="shared" ca="1" si="92"/>
        <v>21.85522528569836</v>
      </c>
      <c r="R492" s="12">
        <f t="shared" ca="1" si="92"/>
        <v>29.140300380931151</v>
      </c>
      <c r="S492" s="12">
        <f t="shared" ca="1" si="87"/>
        <v>2.9365764079547674</v>
      </c>
      <c r="T492" s="83">
        <f t="shared" ca="1" si="88"/>
        <v>53.932102074584279</v>
      </c>
    </row>
    <row r="493" spans="1:20" x14ac:dyDescent="0.3">
      <c r="A493" s="11">
        <v>47300</v>
      </c>
      <c r="B493" s="15">
        <f t="shared" ca="1" si="89"/>
        <v>64610.946126088151</v>
      </c>
      <c r="C493" s="98">
        <f t="shared" si="90"/>
        <v>58755.510541568627</v>
      </c>
      <c r="D493" s="12">
        <f t="shared" ca="1" si="91"/>
        <v>5855.4355845195278</v>
      </c>
      <c r="E493" s="99">
        <v>1177.0606271266001</v>
      </c>
      <c r="F493" s="16">
        <f t="shared" ca="1" si="79"/>
        <v>1118.4860257037128</v>
      </c>
      <c r="G493" s="12">
        <f t="shared" ca="1" si="80"/>
        <v>48.627628064269253</v>
      </c>
      <c r="H493" s="12">
        <f t="shared" si="81"/>
        <v>975.90593075325467</v>
      </c>
      <c r="I493" s="17" cm="1">
        <f t="array" ref="I493">IF(MONTH(A493) = LOOKUP(YEAR(A493), YEAR('CNY Dates'!A$2:A$34), 'CNY Dates'!B$2:B$34), LOOKUP(YEAR(A493), YEAR('Hongbao demand'!B$4:B$35), 'Hongbao demand'!F$4:F$35)  - O492, 0)</f>
        <v>0</v>
      </c>
      <c r="J493" s="18">
        <f t="shared" si="82"/>
        <v>93.952466886188844</v>
      </c>
      <c r="K493" s="40">
        <f t="shared" si="77"/>
        <v>51746.337335443983</v>
      </c>
      <c r="L493" s="41">
        <f t="shared" si="77"/>
        <v>1.1448356745141681</v>
      </c>
      <c r="M493" s="14">
        <v>1E-4</v>
      </c>
      <c r="N493" s="19">
        <f t="shared" ca="1" si="83"/>
        <v>58.574601422887326</v>
      </c>
      <c r="O493" s="12">
        <f t="shared" ca="1" si="85"/>
        <v>29.121049378884774</v>
      </c>
      <c r="P493" s="18">
        <f t="shared" ca="1" si="84"/>
        <v>38.459131785552017</v>
      </c>
      <c r="Q493" s="19">
        <f t="shared" ca="1" si="92"/>
        <v>5.7688697678328023</v>
      </c>
      <c r="R493" s="12">
        <f t="shared" ca="1" si="92"/>
        <v>7.6918263571104042</v>
      </c>
      <c r="S493" s="12">
        <f t="shared" ca="1" si="87"/>
        <v>2.9121049378884774</v>
      </c>
      <c r="T493" s="83">
        <f t="shared" ca="1" si="88"/>
        <v>16.372801062831684</v>
      </c>
    </row>
    <row r="494" spans="1:20" x14ac:dyDescent="0.3">
      <c r="A494" s="11">
        <v>47331</v>
      </c>
      <c r="B494" s="15">
        <f t="shared" ca="1" si="89"/>
        <v>64832.169611594989</v>
      </c>
      <c r="C494" s="98">
        <f t="shared" si="90"/>
        <v>58956.618557438123</v>
      </c>
      <c r="D494" s="12">
        <f t="shared" ca="1" si="91"/>
        <v>5875.5510541568628</v>
      </c>
      <c r="E494" s="99">
        <v>1180.3665248956349</v>
      </c>
      <c r="F494" s="16">
        <f t="shared" ca="1" si="79"/>
        <v>984.06767165432768</v>
      </c>
      <c r="G494" s="12">
        <f t="shared" ca="1" si="80"/>
        <v>48.795296537662729</v>
      </c>
      <c r="H494" s="12">
        <f t="shared" si="81"/>
        <v>979.25850902614377</v>
      </c>
      <c r="I494" s="17" cm="1">
        <f t="array" ref="I494">IF(MONTH(A494) = LOOKUP(YEAR(A494), YEAR('CNY Dates'!A$2:A$34), 'CNY Dates'!B$2:B$34), LOOKUP(YEAR(A494), YEAR('Hongbao demand'!B$4:B$35), 'Hongbao demand'!F$4:F$35)  - O493, 0)</f>
        <v>0</v>
      </c>
      <c r="J494" s="18">
        <f t="shared" si="82"/>
        <v>-43.986133909478767</v>
      </c>
      <c r="K494" s="40">
        <f t="shared" si="77"/>
        <v>51532.064448114419</v>
      </c>
      <c r="L494" s="41">
        <f t="shared" si="77"/>
        <v>1.1459394731352028</v>
      </c>
      <c r="M494" s="14">
        <v>1E-4</v>
      </c>
      <c r="N494" s="19">
        <f t="shared" ca="1" si="83"/>
        <v>196.29885324130726</v>
      </c>
      <c r="O494" s="12">
        <f t="shared" ca="1" si="85"/>
        <v>28.878373967394065</v>
      </c>
      <c r="P494" s="18">
        <f t="shared" ca="1" si="84"/>
        <v>176.18805165435788</v>
      </c>
      <c r="Q494" s="19">
        <f t="shared" ca="1" si="92"/>
        <v>26.428207748153682</v>
      </c>
      <c r="R494" s="12">
        <f t="shared" ca="1" si="92"/>
        <v>35.237610330871576</v>
      </c>
      <c r="S494" s="12">
        <f t="shared" ca="1" si="87"/>
        <v>2.8878373967394069</v>
      </c>
      <c r="T494" s="83">
        <f t="shared" ca="1" si="88"/>
        <v>64.553655475764657</v>
      </c>
    </row>
    <row r="495" spans="1:20" x14ac:dyDescent="0.3">
      <c r="A495" s="11">
        <v>47362</v>
      </c>
      <c r="B495" s="15">
        <f t="shared" ca="1" si="89"/>
        <v>65053.342526555971</v>
      </c>
      <c r="C495" s="98">
        <f t="shared" si="90"/>
        <v>59157.680670812158</v>
      </c>
      <c r="D495" s="12">
        <f t="shared" ca="1" si="91"/>
        <v>5895.6618557438123</v>
      </c>
      <c r="E495" s="99">
        <v>1183.6724226646697</v>
      </c>
      <c r="F495" s="16">
        <f t="shared" ca="1" si="79"/>
        <v>1018.0635282992426</v>
      </c>
      <c r="G495" s="12">
        <f t="shared" ca="1" si="80"/>
        <v>48.962925451307193</v>
      </c>
      <c r="H495" s="12">
        <f t="shared" si="81"/>
        <v>982.61030929063543</v>
      </c>
      <c r="I495" s="17" cm="1">
        <f t="array" ref="I495">IF(MONTH(A495) = LOOKUP(YEAR(A495), YEAR('CNY Dates'!A$2:A$34), 'CNY Dates'!B$2:B$34), LOOKUP(YEAR(A495), YEAR('Hongbao demand'!B$4:B$35), 'Hongbao demand'!F$4:F$35)  - O494, 0)</f>
        <v>0</v>
      </c>
      <c r="J495" s="18">
        <f t="shared" si="82"/>
        <v>-13.509706442699937</v>
      </c>
      <c r="K495" s="40">
        <f t="shared" si="77"/>
        <v>51500.702732860263</v>
      </c>
      <c r="L495" s="41">
        <f t="shared" si="77"/>
        <v>1.1470432717562375</v>
      </c>
      <c r="M495" s="14">
        <v>1E-4</v>
      </c>
      <c r="N495" s="19">
        <f t="shared" ca="1" si="83"/>
        <v>165.60889436542709</v>
      </c>
      <c r="O495" s="12">
        <f t="shared" ca="1" si="85"/>
        <v>28.637720850999116</v>
      </c>
      <c r="P495" s="18">
        <f t="shared" ca="1" si="84"/>
        <v>145.50268302802306</v>
      </c>
      <c r="Q495" s="19">
        <f t="shared" ca="1" si="92"/>
        <v>21.825402454203459</v>
      </c>
      <c r="R495" s="12">
        <f t="shared" ca="1" si="92"/>
        <v>29.100536605604614</v>
      </c>
      <c r="S495" s="12">
        <f t="shared" ca="1" si="87"/>
        <v>2.863772085099912</v>
      </c>
      <c r="T495" s="83">
        <f t="shared" ca="1" si="88"/>
        <v>53.789711144907983</v>
      </c>
    </row>
    <row r="496" spans="1:20" x14ac:dyDescent="0.3">
      <c r="A496" s="11">
        <v>47392</v>
      </c>
      <c r="B496" s="15">
        <f t="shared" ca="1" si="89"/>
        <v>65274.465713813552</v>
      </c>
      <c r="C496" s="98">
        <f t="shared" si="90"/>
        <v>59358.697646732333</v>
      </c>
      <c r="D496" s="12">
        <f t="shared" ca="1" si="91"/>
        <v>5915.768067081216</v>
      </c>
      <c r="E496" s="99">
        <v>1186.9783204337045</v>
      </c>
      <c r="F496" s="16">
        <f t="shared" ca="1" si="79"/>
        <v>1144.9550199021578</v>
      </c>
      <c r="G496" s="12">
        <f t="shared" ca="1" si="80"/>
        <v>49.130515464531769</v>
      </c>
      <c r="H496" s="12">
        <f t="shared" si="81"/>
        <v>985.96134451353601</v>
      </c>
      <c r="I496" s="17" cm="1">
        <f t="array" ref="I496">IF(MONTH(A496) = LOOKUP(YEAR(A496), YEAR('CNY Dates'!A$2:A$34), 'CNY Dates'!B$2:B$34), LOOKUP(YEAR(A496), YEAR('Hongbao demand'!B$4:B$35), 'Hongbao demand'!F$4:F$35)  - O495, 0)</f>
        <v>0</v>
      </c>
      <c r="J496" s="18">
        <f t="shared" si="82"/>
        <v>109.86315992408997</v>
      </c>
      <c r="K496" s="40">
        <f t="shared" si="77"/>
        <v>52210.800597619018</v>
      </c>
      <c r="L496" s="41">
        <f t="shared" si="77"/>
        <v>1.1481470703772725</v>
      </c>
      <c r="M496" s="14">
        <v>1E-4</v>
      </c>
      <c r="N496" s="19">
        <f t="shared" ca="1" si="83"/>
        <v>42.023300531546738</v>
      </c>
      <c r="O496" s="12">
        <f t="shared" ca="1" si="85"/>
        <v>28.39907317724079</v>
      </c>
      <c r="P496" s="18">
        <f t="shared" ca="1" si="84"/>
        <v>21.921602939529294</v>
      </c>
      <c r="Q496" s="19">
        <f t="shared" ca="1" si="92"/>
        <v>3.2882404409293939</v>
      </c>
      <c r="R496" s="12">
        <f t="shared" ca="1" si="92"/>
        <v>4.3843205879058589</v>
      </c>
      <c r="S496" s="12">
        <f t="shared" ca="1" si="87"/>
        <v>2.8399073177240792</v>
      </c>
      <c r="T496" s="83">
        <f t="shared" ca="1" si="88"/>
        <v>10.512468346559331</v>
      </c>
    </row>
    <row r="497" spans="1:20" x14ac:dyDescent="0.3">
      <c r="A497" s="11">
        <v>47423</v>
      </c>
      <c r="B497" s="15">
        <f t="shared" ca="1" si="89"/>
        <v>65495.540002162765</v>
      </c>
      <c r="C497" s="98">
        <f t="shared" si="90"/>
        <v>59559.670237489532</v>
      </c>
      <c r="D497" s="12">
        <f t="shared" ca="1" si="91"/>
        <v>5935.8697646732335</v>
      </c>
      <c r="E497" s="99">
        <v>1190.2842182027393</v>
      </c>
      <c r="F497" s="16">
        <f t="shared" ca="1" si="79"/>
        <v>979.12128291848398</v>
      </c>
      <c r="G497" s="12">
        <f t="shared" ca="1" si="80"/>
        <v>49.298067225676803</v>
      </c>
      <c r="H497" s="12">
        <f t="shared" si="81"/>
        <v>989.31162744553887</v>
      </c>
      <c r="I497" s="17" cm="1">
        <f t="array" ref="I497">IF(MONTH(A497) = LOOKUP(YEAR(A497), YEAR('CNY Dates'!A$2:A$34), 'CNY Dates'!B$2:B$34), LOOKUP(YEAR(A497), YEAR('Hongbao demand'!B$4:B$35), 'Hongbao demand'!F$4:F$35)  - O496, 0)</f>
        <v>0</v>
      </c>
      <c r="J497" s="18">
        <f t="shared" si="82"/>
        <v>-59.4884117527317</v>
      </c>
      <c r="K497" s="40">
        <f t="shared" si="77"/>
        <v>51902.805310351905</v>
      </c>
      <c r="L497" s="41">
        <f t="shared" si="77"/>
        <v>1.1492508689983072</v>
      </c>
      <c r="M497" s="14">
        <v>1E-4</v>
      </c>
      <c r="N497" s="19">
        <f t="shared" ca="1" si="83"/>
        <v>211.16293528425535</v>
      </c>
      <c r="O497" s="12">
        <f t="shared" ca="1" si="85"/>
        <v>28.162414234097117</v>
      </c>
      <c r="P497" s="18">
        <f t="shared" ca="1" si="84"/>
        <v>191.06567620853548</v>
      </c>
      <c r="Q497" s="19">
        <f t="shared" ca="1" si="92"/>
        <v>28.65985143128032</v>
      </c>
      <c r="R497" s="12">
        <f t="shared" ca="1" si="92"/>
        <v>38.2131352417071</v>
      </c>
      <c r="S497" s="12">
        <f t="shared" ca="1" si="87"/>
        <v>2.816241423409712</v>
      </c>
      <c r="T497" s="83">
        <f t="shared" ca="1" si="88"/>
        <v>69.68922809639713</v>
      </c>
    </row>
    <row r="498" spans="1:20" x14ac:dyDescent="0.3">
      <c r="A498" s="11">
        <v>47453</v>
      </c>
      <c r="B498" s="15">
        <f t="shared" ca="1" si="89"/>
        <v>65716.566206585441</v>
      </c>
      <c r="C498" s="98">
        <f t="shared" si="90"/>
        <v>59760.599182836486</v>
      </c>
      <c r="D498" s="12">
        <f t="shared" ca="1" si="91"/>
        <v>5955.9670237489536</v>
      </c>
      <c r="E498" s="99">
        <v>1193.5901159717741</v>
      </c>
      <c r="F498" s="16">
        <f t="shared" ca="1" si="79"/>
        <v>1015.089777258036</v>
      </c>
      <c r="G498" s="12">
        <f t="shared" ca="1" si="80"/>
        <v>49.465581372276944</v>
      </c>
      <c r="H498" s="12">
        <f t="shared" si="81"/>
        <v>992.66117062482556</v>
      </c>
      <c r="I498" s="17" cm="1">
        <f t="array" ref="I498">IF(MONTH(A498) = LOOKUP(YEAR(A498), YEAR('CNY Dates'!A$2:A$34), 'CNY Dates'!B$2:B$34), LOOKUP(YEAR(A498), YEAR('Hongbao demand'!B$4:B$35), 'Hongbao demand'!F$4:F$35)  - O497, 0)</f>
        <v>0</v>
      </c>
      <c r="J498" s="18">
        <f t="shared" si="82"/>
        <v>-27.036974739066544</v>
      </c>
      <c r="K498" s="40">
        <f t="shared" si="77"/>
        <v>51790.268364867654</v>
      </c>
      <c r="L498" s="41">
        <f t="shared" si="77"/>
        <v>1.1503546676193421</v>
      </c>
      <c r="M498" s="14">
        <v>1E-4</v>
      </c>
      <c r="N498" s="19">
        <f t="shared" ca="1" si="83"/>
        <v>178.50033871373819</v>
      </c>
      <c r="O498" s="12">
        <f t="shared" ca="1" si="85"/>
        <v>27.927727448812973</v>
      </c>
      <c r="P498" s="18">
        <f t="shared" ca="1" si="84"/>
        <v>158.40744417904352</v>
      </c>
      <c r="Q498" s="19">
        <f t="shared" ca="1" si="92"/>
        <v>23.761116626856527</v>
      </c>
      <c r="R498" s="12">
        <f t="shared" ca="1" si="92"/>
        <v>31.681488835808707</v>
      </c>
      <c r="S498" s="12">
        <f t="shared" ca="1" si="87"/>
        <v>2.7927727448812973</v>
      </c>
      <c r="T498" s="83">
        <f t="shared" ca="1" si="88"/>
        <v>58.235378207546532</v>
      </c>
    </row>
    <row r="499" spans="1:20" x14ac:dyDescent="0.3">
      <c r="A499" s="11">
        <v>47484</v>
      </c>
      <c r="B499" s="15">
        <f t="shared" ca="1" si="89"/>
        <v>65937.545128480328</v>
      </c>
      <c r="C499" s="98">
        <f t="shared" si="90"/>
        <v>59961.485210196683</v>
      </c>
      <c r="D499" s="12">
        <f t="shared" ca="1" si="91"/>
        <v>5976.0599182836486</v>
      </c>
      <c r="E499" s="99">
        <v>1196.8960137408087</v>
      </c>
      <c r="F499" s="16">
        <f t="shared" ca="1" si="79"/>
        <v>965.70769757928633</v>
      </c>
      <c r="G499" s="12">
        <f t="shared" ca="1" si="80"/>
        <v>49.633058531241282</v>
      </c>
      <c r="H499" s="12">
        <f t="shared" si="81"/>
        <v>996.0099863806081</v>
      </c>
      <c r="I499" s="17" cm="1">
        <f t="array" ref="I499">IF(MONTH(A499) = LOOKUP(YEAR(A499), YEAR('CNY Dates'!A$2:A$34), 'CNY Dates'!B$2:B$34), LOOKUP(YEAR(A499), YEAR('Hongbao demand'!B$4:B$35), 'Hongbao demand'!F$4:F$35)  - O498, 0)</f>
        <v>0</v>
      </c>
      <c r="J499" s="18">
        <f t="shared" si="82"/>
        <v>-79.935347332562984</v>
      </c>
      <c r="K499" s="40">
        <f t="shared" si="77"/>
        <v>51361.347785807171</v>
      </c>
      <c r="L499" s="41">
        <f t="shared" si="77"/>
        <v>1.1514584662403768</v>
      </c>
      <c r="M499" s="14">
        <v>1E-4</v>
      </c>
      <c r="N499" s="19">
        <f t="shared" ca="1" si="83"/>
        <v>231.18831616152238</v>
      </c>
      <c r="O499" s="12">
        <f t="shared" ca="1" si="85"/>
        <v>27.694996386739533</v>
      </c>
      <c r="P499" s="18">
        <f t="shared" ca="1" si="84"/>
        <v>211.09971342550216</v>
      </c>
      <c r="Q499" s="19">
        <f t="shared" ca="1" si="92"/>
        <v>31.664957013825322</v>
      </c>
      <c r="R499" s="12">
        <f t="shared" ca="1" si="92"/>
        <v>42.219942685100435</v>
      </c>
      <c r="S499" s="12">
        <f t="shared" ca="1" si="87"/>
        <v>2.7694996386739534</v>
      </c>
      <c r="T499" s="83">
        <f t="shared" ca="1" si="88"/>
        <v>76.654399337599699</v>
      </c>
    </row>
    <row r="500" spans="1:20" x14ac:dyDescent="0.3">
      <c r="A500" s="11">
        <v>47515</v>
      </c>
      <c r="B500" s="15">
        <f t="shared" ca="1" si="89"/>
        <v>66158.477555889578</v>
      </c>
      <c r="C500" s="98">
        <f t="shared" si="90"/>
        <v>60162.329034869916</v>
      </c>
      <c r="D500" s="12">
        <f t="shared" ca="1" si="91"/>
        <v>5996.1485210196688</v>
      </c>
      <c r="E500" s="99">
        <v>1200.2019115098435</v>
      </c>
      <c r="F500" s="16">
        <f t="shared" ca="1" si="79"/>
        <v>1051.3216363626241</v>
      </c>
      <c r="G500" s="12">
        <f t="shared" ca="1" si="80"/>
        <v>49.800499319030408</v>
      </c>
      <c r="H500" s="12">
        <f t="shared" si="81"/>
        <v>999.35808683661139</v>
      </c>
      <c r="I500" s="17" cm="1">
        <f t="array" aca="1" ref="I500" ca="1">IF(MONTH(A500) = LOOKUP(YEAR(A500), YEAR('CNY Dates'!A$2:A$34), 'CNY Dates'!B$2:B$34), LOOKUP(YEAR(A500), YEAR('Hongbao demand'!B$4:B$35), 'Hongbao demand'!F$4:F$35)  - O499, 0)</f>
        <v>-17.182689245699144</v>
      </c>
      <c r="J500" s="18">
        <f t="shared" si="82"/>
        <v>19.345739452681372</v>
      </c>
      <c r="K500" s="40">
        <f t="shared" si="77"/>
        <v>51526.212674127732</v>
      </c>
      <c r="L500" s="41">
        <f t="shared" si="77"/>
        <v>1.1525622648614118</v>
      </c>
      <c r="M500" s="14">
        <v>1E-4</v>
      </c>
      <c r="N500" s="19">
        <f t="shared" ca="1" si="83"/>
        <v>148.88027514721944</v>
      </c>
      <c r="O500" s="12">
        <f t="shared" ca="1" si="85"/>
        <v>29.776055029443889</v>
      </c>
      <c r="P500" s="18">
        <f t="shared" ca="1" si="84"/>
        <v>128.7958926798965</v>
      </c>
      <c r="Q500" s="19">
        <f t="shared" ca="1" si="92"/>
        <v>19.319383901984473</v>
      </c>
      <c r="R500" s="12">
        <f t="shared" ca="1" si="92"/>
        <v>25.759178535979302</v>
      </c>
      <c r="S500" s="12">
        <f t="shared" ca="1" si="87"/>
        <v>2.9776055029443889</v>
      </c>
      <c r="T500" s="83">
        <f t="shared" ca="1" si="88"/>
        <v>48.056167940908168</v>
      </c>
    </row>
    <row r="501" spans="1:20" x14ac:dyDescent="0.3">
      <c r="A501" s="11">
        <v>47543</v>
      </c>
      <c r="B501" s="15">
        <f t="shared" ca="1" si="89"/>
        <v>66379.364263721291</v>
      </c>
      <c r="C501" s="98">
        <f t="shared" si="90"/>
        <v>60363.131360234293</v>
      </c>
      <c r="D501" s="12">
        <f t="shared" ca="1" si="91"/>
        <v>6016.2329034869917</v>
      </c>
      <c r="E501" s="99">
        <v>1203.5078092788783</v>
      </c>
      <c r="F501" s="16">
        <f t="shared" ca="1" si="79"/>
        <v>1065.3472096770795</v>
      </c>
      <c r="G501" s="12">
        <f t="shared" ca="1" si="80"/>
        <v>49.967904341830575</v>
      </c>
      <c r="H501" s="12">
        <f t="shared" si="81"/>
        <v>1002.7054839144986</v>
      </c>
      <c r="I501" s="17" cm="1">
        <f t="array" ref="I501">IF(MONTH(A501) = LOOKUP(YEAR(A501), YEAR('CNY Dates'!A$2:A$34), 'CNY Dates'!B$2:B$34), LOOKUP(YEAR(A501), YEAR('Hongbao demand'!B$4:B$35), 'Hongbao demand'!F$4:F$35)  - O500, 0)</f>
        <v>0</v>
      </c>
      <c r="J501" s="18">
        <f t="shared" si="82"/>
        <v>12.673821420750397</v>
      </c>
      <c r="K501" s="40">
        <f t="shared" si="77"/>
        <v>51651.380656498346</v>
      </c>
      <c r="L501" s="41">
        <f t="shared" si="77"/>
        <v>1.1536660634824465</v>
      </c>
      <c r="M501" s="14">
        <v>1E-4</v>
      </c>
      <c r="N501" s="19">
        <f t="shared" ca="1" si="83"/>
        <v>138.16059960179882</v>
      </c>
      <c r="O501" s="12">
        <f t="shared" ca="1" si="85"/>
        <v>29.527921237531856</v>
      </c>
      <c r="P501" s="18">
        <f t="shared" ca="1" si="84"/>
        <v>118.08036706536132</v>
      </c>
      <c r="Q501" s="19">
        <f t="shared" ca="1" si="92"/>
        <v>17.712055059804197</v>
      </c>
      <c r="R501" s="12">
        <f t="shared" ca="1" si="92"/>
        <v>23.616073413072264</v>
      </c>
      <c r="S501" s="12">
        <f t="shared" ca="1" si="87"/>
        <v>2.952792123753186</v>
      </c>
      <c r="T501" s="83">
        <f t="shared" ca="1" si="88"/>
        <v>44.280920596629642</v>
      </c>
    </row>
    <row r="502" spans="1:20" x14ac:dyDescent="0.3">
      <c r="A502" s="11">
        <v>47574</v>
      </c>
      <c r="B502" s="15">
        <f t="shared" ca="1" si="89"/>
        <v>66600.206013968404</v>
      </c>
      <c r="C502" s="98">
        <f t="shared" si="90"/>
        <v>60563.892877944971</v>
      </c>
      <c r="D502" s="12">
        <f t="shared" ca="1" si="91"/>
        <v>6036.3131360234293</v>
      </c>
      <c r="E502" s="99">
        <v>1206.8137070479129</v>
      </c>
      <c r="F502" s="16">
        <f t="shared" ca="1" si="79"/>
        <v>1095.834806733691</v>
      </c>
      <c r="G502" s="12">
        <f t="shared" ca="1" si="80"/>
        <v>50.135274195724932</v>
      </c>
      <c r="H502" s="12">
        <f t="shared" si="81"/>
        <v>1006.0521893372382</v>
      </c>
      <c r="I502" s="17" cm="1">
        <f t="array" ref="I502">IF(MONTH(A502) = LOOKUP(YEAR(A502), YEAR('CNY Dates'!A$2:A$34), 'CNY Dates'!B$2:B$34), LOOKUP(YEAR(A502), YEAR('Hongbao demand'!B$4:B$35), 'Hongbao demand'!F$4:F$35)  - O501, 0)</f>
        <v>0</v>
      </c>
      <c r="J502" s="18">
        <f t="shared" si="82"/>
        <v>39.647343200727768</v>
      </c>
      <c r="K502" s="40">
        <f t="shared" si="77"/>
        <v>51938.351019276939</v>
      </c>
      <c r="L502" s="41">
        <f t="shared" si="77"/>
        <v>1.1547698621034814</v>
      </c>
      <c r="M502" s="14">
        <v>1E-4</v>
      </c>
      <c r="N502" s="19">
        <f t="shared" ca="1" si="83"/>
        <v>110.97890031422185</v>
      </c>
      <c r="O502" s="12">
        <f t="shared" ca="1" si="85"/>
        <v>29.28185522721909</v>
      </c>
      <c r="P502" s="18">
        <f t="shared" ca="1" si="84"/>
        <v>90.902748543153393</v>
      </c>
      <c r="Q502" s="19">
        <f t="shared" ca="1" si="92"/>
        <v>13.635412281473009</v>
      </c>
      <c r="R502" s="12">
        <f t="shared" ca="1" si="92"/>
        <v>18.180549708630679</v>
      </c>
      <c r="S502" s="12">
        <f t="shared" ca="1" si="87"/>
        <v>2.9281855227219094</v>
      </c>
      <c r="T502" s="83">
        <f t="shared" ca="1" si="88"/>
        <v>34.744147512825599</v>
      </c>
    </row>
    <row r="503" spans="1:20" x14ac:dyDescent="0.3">
      <c r="A503" s="11">
        <v>47604</v>
      </c>
      <c r="B503" s="15">
        <f t="shared" ca="1" si="89"/>
        <v>66821.003555923991</v>
      </c>
      <c r="C503" s="98">
        <f t="shared" si="90"/>
        <v>60764.614268129495</v>
      </c>
      <c r="D503" s="12">
        <f t="shared" ca="1" si="91"/>
        <v>6056.3892877944972</v>
      </c>
      <c r="E503" s="99">
        <v>1210.1196048169477</v>
      </c>
      <c r="F503" s="16">
        <f t="shared" ca="1" si="79"/>
        <v>1109.0611948917783</v>
      </c>
      <c r="G503" s="12">
        <f t="shared" ca="1" si="80"/>
        <v>50.302609466861909</v>
      </c>
      <c r="H503" s="12">
        <f t="shared" si="81"/>
        <v>1009.3982146324162</v>
      </c>
      <c r="I503" s="17" cm="1">
        <f t="array" ref="I503">IF(MONTH(A503) = LOOKUP(YEAR(A503), YEAR('CNY Dates'!A$2:A$34), 'CNY Dates'!B$2:B$34), LOOKUP(YEAR(A503), YEAR('Hongbao demand'!B$4:B$35), 'Hongbao demand'!F$4:F$35)  - O502, 0)</f>
        <v>0</v>
      </c>
      <c r="J503" s="18">
        <f t="shared" si="82"/>
        <v>49.360370792500177</v>
      </c>
      <c r="K503" s="40">
        <f t="shared" si="77"/>
        <v>52284.505691598461</v>
      </c>
      <c r="L503" s="41">
        <f t="shared" si="77"/>
        <v>1.1558736607245161</v>
      </c>
      <c r="M503" s="14">
        <v>1E-4</v>
      </c>
      <c r="N503" s="19">
        <f t="shared" ca="1" si="83"/>
        <v>101.05840992516937</v>
      </c>
      <c r="O503" s="12">
        <f t="shared" ca="1" si="85"/>
        <v>29.037839766992263</v>
      </c>
      <c r="P503" s="18">
        <f t="shared" ca="1" si="84"/>
        <v>80.986270906716527</v>
      </c>
      <c r="Q503" s="19">
        <f t="shared" ca="1" si="92"/>
        <v>12.147940636007478</v>
      </c>
      <c r="R503" s="12">
        <f t="shared" ca="1" si="92"/>
        <v>16.197254181343308</v>
      </c>
      <c r="S503" s="12">
        <f t="shared" ca="1" si="87"/>
        <v>2.9037839766992266</v>
      </c>
      <c r="T503" s="83">
        <f t="shared" ca="1" si="88"/>
        <v>31.248978794050014</v>
      </c>
    </row>
    <row r="504" spans="1:20" x14ac:dyDescent="0.3">
      <c r="A504" s="11">
        <v>47635</v>
      </c>
      <c r="B504" s="15">
        <f t="shared" ca="1" si="89"/>
        <v>67041.757626392937</v>
      </c>
      <c r="C504" s="98">
        <f t="shared" si="90"/>
        <v>60965.296199579985</v>
      </c>
      <c r="D504" s="12">
        <f t="shared" ca="1" si="91"/>
        <v>6076.4614268129499</v>
      </c>
      <c r="E504" s="99">
        <v>1213.4255025859825</v>
      </c>
      <c r="F504" s="16">
        <f t="shared" ca="1" si="79"/>
        <v>1050.1164134033922</v>
      </c>
      <c r="G504" s="12">
        <f t="shared" ca="1" si="80"/>
        <v>50.469910731620807</v>
      </c>
      <c r="H504" s="12">
        <f t="shared" si="81"/>
        <v>1012.7435711354916</v>
      </c>
      <c r="I504" s="17" cm="1">
        <f t="array" ref="I504">IF(MONTH(A504) = LOOKUP(YEAR(A504), YEAR('CNY Dates'!A$2:A$34), 'CNY Dates'!B$2:B$34), LOOKUP(YEAR(A504), YEAR('Hongbao demand'!B$4:B$35), 'Hongbao demand'!F$4:F$35)  - O503, 0)</f>
        <v>0</v>
      </c>
      <c r="J504" s="18">
        <f t="shared" si="82"/>
        <v>-13.097068463720316</v>
      </c>
      <c r="K504" s="40">
        <f t="shared" si="77"/>
        <v>52255.678053120762</v>
      </c>
      <c r="L504" s="41">
        <f t="shared" si="77"/>
        <v>1.1569774593455511</v>
      </c>
      <c r="M504" s="14">
        <v>1E-4</v>
      </c>
      <c r="N504" s="19">
        <f t="shared" ca="1" si="83"/>
        <v>163.30908918259024</v>
      </c>
      <c r="O504" s="12">
        <f t="shared" ca="1" si="85"/>
        <v>28.795857768933995</v>
      </c>
      <c r="P504" s="18">
        <f t="shared" ca="1" si="84"/>
        <v>143.24089603754146</v>
      </c>
      <c r="Q504" s="19">
        <f t="shared" ca="1" si="92"/>
        <v>21.486134405631219</v>
      </c>
      <c r="R504" s="12">
        <f t="shared" ca="1" si="92"/>
        <v>28.648179207508292</v>
      </c>
      <c r="S504" s="12">
        <f t="shared" ca="1" si="87"/>
        <v>2.8795857768933999</v>
      </c>
      <c r="T504" s="83">
        <f t="shared" ca="1" si="88"/>
        <v>53.013899390032911</v>
      </c>
    </row>
    <row r="505" spans="1:20" x14ac:dyDescent="0.3">
      <c r="A505" s="11">
        <v>47665</v>
      </c>
      <c r="B505" s="15">
        <f t="shared" ca="1" si="89"/>
        <v>67262.468949900009</v>
      </c>
      <c r="C505" s="98">
        <f t="shared" si="90"/>
        <v>61165.939329942004</v>
      </c>
      <c r="D505" s="12">
        <f t="shared" ca="1" si="91"/>
        <v>6096.5296199579989</v>
      </c>
      <c r="E505" s="99">
        <v>1216.7314003550173</v>
      </c>
      <c r="F505" s="16">
        <f t="shared" ca="1" si="79"/>
        <v>1160.1221262779766</v>
      </c>
      <c r="G505" s="12">
        <f t="shared" ca="1" si="80"/>
        <v>50.637178556774579</v>
      </c>
      <c r="H505" s="12">
        <f t="shared" si="81"/>
        <v>1016.0882699929997</v>
      </c>
      <c r="I505" s="17" cm="1">
        <f t="array" ref="I505">IF(MONTH(A505) = LOOKUP(YEAR(A505), YEAR('CNY Dates'!A$2:A$34), 'CNY Dates'!B$2:B$34), LOOKUP(YEAR(A505), YEAR('Hongbao demand'!B$4:B$35), 'Hongbao demand'!F$4:F$35)  - O504, 0)</f>
        <v>0</v>
      </c>
      <c r="J505" s="18">
        <f t="shared" si="82"/>
        <v>93.396677728202391</v>
      </c>
      <c r="K505" s="40">
        <f t="shared" si="77"/>
        <v>52868.44905887427</v>
      </c>
      <c r="L505" s="41">
        <f t="shared" si="77"/>
        <v>1.1580812579665858</v>
      </c>
      <c r="M505" s="14">
        <v>1E-4</v>
      </c>
      <c r="N505" s="19">
        <f t="shared" ca="1" si="83"/>
        <v>56.609274077040709</v>
      </c>
      <c r="O505" s="12">
        <f t="shared" ca="1" si="85"/>
        <v>28.555892287526213</v>
      </c>
      <c r="P505" s="18">
        <f t="shared" ca="1" si="84"/>
        <v>36.544961040838643</v>
      </c>
      <c r="Q505" s="19">
        <f t="shared" ca="1" si="92"/>
        <v>5.4817441561257967</v>
      </c>
      <c r="R505" s="12">
        <f t="shared" ca="1" si="92"/>
        <v>7.3089922081677292</v>
      </c>
      <c r="S505" s="12">
        <f t="shared" ca="1" si="87"/>
        <v>2.8555892287526214</v>
      </c>
      <c r="T505" s="83">
        <f t="shared" ca="1" si="88"/>
        <v>15.646325593046146</v>
      </c>
    </row>
    <row r="506" spans="1:20" x14ac:dyDescent="0.3">
      <c r="A506" s="11">
        <v>47696</v>
      </c>
      <c r="B506" s="15">
        <f t="shared" ca="1" si="89"/>
        <v>67483.138238894549</v>
      </c>
      <c r="C506" s="98">
        <f t="shared" si="90"/>
        <v>61366.544305900352</v>
      </c>
      <c r="D506" s="12">
        <f t="shared" ca="1" si="91"/>
        <v>6116.5939329942012</v>
      </c>
      <c r="E506" s="99">
        <v>1220.0372981240521</v>
      </c>
      <c r="F506" s="16">
        <f t="shared" ca="1" si="79"/>
        <v>1026.3873118371218</v>
      </c>
      <c r="G506" s="12">
        <f t="shared" ca="1" si="80"/>
        <v>50.804413499649989</v>
      </c>
      <c r="H506" s="12">
        <f t="shared" si="81"/>
        <v>1019.4323221657</v>
      </c>
      <c r="I506" s="17" cm="1">
        <f t="array" ref="I506">IF(MONTH(A506) = LOOKUP(YEAR(A506), YEAR('CNY Dates'!A$2:A$34), 'CNY Dates'!B$2:B$34), LOOKUP(YEAR(A506), YEAR('Hongbao demand'!B$4:B$35), 'Hongbao demand'!F$4:F$35)  - O505, 0)</f>
        <v>0</v>
      </c>
      <c r="J506" s="18">
        <f t="shared" si="82"/>
        <v>-43.849423828228367</v>
      </c>
      <c r="K506" s="40">
        <f t="shared" si="77"/>
        <v>52654.176171544706</v>
      </c>
      <c r="L506" s="41">
        <f t="shared" si="77"/>
        <v>1.1591850565876207</v>
      </c>
      <c r="M506" s="14">
        <v>1E-4</v>
      </c>
      <c r="N506" s="19">
        <f t="shared" ca="1" si="83"/>
        <v>193.64998628693024</v>
      </c>
      <c r="O506" s="12">
        <f t="shared" ca="1" si="85"/>
        <v>28.317926518463494</v>
      </c>
      <c r="P506" s="18">
        <f t="shared" ca="1" si="84"/>
        <v>173.58948869109645</v>
      </c>
      <c r="Q506" s="19">
        <f t="shared" ca="1" si="92"/>
        <v>26.038423303664466</v>
      </c>
      <c r="R506" s="12">
        <f t="shared" ca="1" si="92"/>
        <v>34.717897738219293</v>
      </c>
      <c r="S506" s="12">
        <f t="shared" ca="1" si="87"/>
        <v>2.8317926518463494</v>
      </c>
      <c r="T506" s="83">
        <f t="shared" ca="1" si="88"/>
        <v>63.588113693730108</v>
      </c>
    </row>
    <row r="507" spans="1:20" x14ac:dyDescent="0.3">
      <c r="A507" s="11">
        <v>47727</v>
      </c>
      <c r="B507" s="15">
        <f t="shared" ca="1" si="89"/>
        <v>67703.7661939518</v>
      </c>
      <c r="C507" s="98">
        <f t="shared" si="90"/>
        <v>61567.111763361769</v>
      </c>
      <c r="D507" s="12">
        <f t="shared" ca="1" si="91"/>
        <v>6136.6544305900352</v>
      </c>
      <c r="E507" s="99">
        <v>1223.3431958930867</v>
      </c>
      <c r="F507" s="16">
        <f t="shared" ca="1" si="79"/>
        <v>1060.2222433821337</v>
      </c>
      <c r="G507" s="12">
        <f t="shared" ca="1" si="80"/>
        <v>50.971616108285012</v>
      </c>
      <c r="H507" s="12">
        <f t="shared" si="81"/>
        <v>1022.7757384316725</v>
      </c>
      <c r="I507" s="17" cm="1">
        <f t="array" ref="I507">IF(MONTH(A507) = LOOKUP(YEAR(A507), YEAR('CNY Dates'!A$2:A$34), 'CNY Dates'!B$2:B$34), LOOKUP(YEAR(A507), YEAR('Hongbao demand'!B$4:B$35), 'Hongbao demand'!F$4:F$35)  - O506, 0)</f>
        <v>0</v>
      </c>
      <c r="J507" s="18">
        <f t="shared" si="82"/>
        <v>-13.525111157823817</v>
      </c>
      <c r="K507" s="40">
        <f t="shared" si="77"/>
        <v>52622.814456290551</v>
      </c>
      <c r="L507" s="41">
        <f t="shared" si="77"/>
        <v>1.1602888552086554</v>
      </c>
      <c r="M507" s="14">
        <v>1E-4</v>
      </c>
      <c r="N507" s="19">
        <f t="shared" ca="1" si="83"/>
        <v>163.12095251095297</v>
      </c>
      <c r="O507" s="12">
        <f t="shared" ca="1" si="85"/>
        <v>28.081943797476299</v>
      </c>
      <c r="P507" s="18">
        <f t="shared" ca="1" si="84"/>
        <v>143.06420676481139</v>
      </c>
      <c r="Q507" s="19">
        <f t="shared" ca="1" si="92"/>
        <v>21.459631014721708</v>
      </c>
      <c r="R507" s="12">
        <f t="shared" ca="1" si="92"/>
        <v>28.612841352962278</v>
      </c>
      <c r="S507" s="12">
        <f t="shared" ca="1" si="87"/>
        <v>2.8081943797476301</v>
      </c>
      <c r="T507" s="83">
        <f t="shared" ca="1" si="88"/>
        <v>52.880666747431619</v>
      </c>
    </row>
    <row r="508" spans="1:20" x14ac:dyDescent="0.3">
      <c r="A508" s="11">
        <v>47757</v>
      </c>
      <c r="B508" s="15">
        <f t="shared" ca="1" si="89"/>
        <v>67924.353503970706</v>
      </c>
      <c r="C508" s="98">
        <f t="shared" si="90"/>
        <v>61767.642327634523</v>
      </c>
      <c r="D508" s="12">
        <f t="shared" ca="1" si="91"/>
        <v>6156.7111763361772</v>
      </c>
      <c r="E508" s="99">
        <v>1226.6490936621215</v>
      </c>
      <c r="F508" s="16">
        <f t="shared" ca="1" si="79"/>
        <v>1186.4931634681388</v>
      </c>
      <c r="G508" s="12">
        <f t="shared" ca="1" si="80"/>
        <v>51.138786921583623</v>
      </c>
      <c r="H508" s="12">
        <f t="shared" si="81"/>
        <v>1026.1185293893627</v>
      </c>
      <c r="I508" s="17" cm="1">
        <f t="array" ref="I508">IF(MONTH(A508) = LOOKUP(YEAR(A508), YEAR('CNY Dates'!A$2:A$34), 'CNY Dates'!B$2:B$34), LOOKUP(YEAR(A508), YEAR('Hongbao demand'!B$4:B$35), 'Hongbao demand'!F$4:F$35)  - O507, 0)</f>
        <v>0</v>
      </c>
      <c r="J508" s="18">
        <f t="shared" si="82"/>
        <v>109.2358471571925</v>
      </c>
      <c r="K508" s="40">
        <f t="shared" si="77"/>
        <v>53332.912321049313</v>
      </c>
      <c r="L508" s="41">
        <f t="shared" si="77"/>
        <v>1.1613926538296901</v>
      </c>
      <c r="M508" s="14">
        <v>1E-4</v>
      </c>
      <c r="N508" s="19">
        <f t="shared" ca="1" si="83"/>
        <v>40.155930193982613</v>
      </c>
      <c r="O508" s="12">
        <f t="shared" ca="1" si="85"/>
        <v>27.847927599163995</v>
      </c>
      <c r="P508" s="18">
        <f t="shared" ca="1" si="84"/>
        <v>20.10287376670658</v>
      </c>
      <c r="Q508" s="19">
        <f t="shared" ca="1" si="92"/>
        <v>3.0154310650059868</v>
      </c>
      <c r="R508" s="12">
        <f t="shared" ca="1" si="92"/>
        <v>4.0205747533413163</v>
      </c>
      <c r="S508" s="12">
        <f t="shared" ca="1" si="87"/>
        <v>2.7847927599163995</v>
      </c>
      <c r="T508" s="83">
        <f t="shared" ca="1" si="88"/>
        <v>9.8207985782637017</v>
      </c>
    </row>
    <row r="509" spans="1:20" x14ac:dyDescent="0.3">
      <c r="A509" s="11">
        <v>47788</v>
      </c>
      <c r="B509" s="15">
        <f t="shared" ca="1" si="89"/>
        <v>68144.90084636856</v>
      </c>
      <c r="C509" s="98">
        <f t="shared" si="90"/>
        <v>61968.136613605107</v>
      </c>
      <c r="D509" s="12">
        <f t="shared" ca="1" si="91"/>
        <v>6176.764232763453</v>
      </c>
      <c r="E509" s="99">
        <v>1229.9549914311563</v>
      </c>
      <c r="F509" s="16">
        <f t="shared" ca="1" si="79"/>
        <v>1021.4891817848576</v>
      </c>
      <c r="G509" s="12">
        <f t="shared" ca="1" si="80"/>
        <v>51.30592646946814</v>
      </c>
      <c r="H509" s="12">
        <f t="shared" si="81"/>
        <v>1029.4607054605754</v>
      </c>
      <c r="I509" s="17" cm="1">
        <f t="array" ref="I509">IF(MONTH(A509) = LOOKUP(YEAR(A509), YEAR('CNY Dates'!A$2:A$34), 'CNY Dates'!B$2:B$34), LOOKUP(YEAR(A509), YEAR('Hongbao demand'!B$4:B$35), 'Hongbao demand'!F$4:F$35)  - O508, 0)</f>
        <v>0</v>
      </c>
      <c r="J509" s="18">
        <f t="shared" si="82"/>
        <v>-59.277450145185981</v>
      </c>
      <c r="K509" s="40">
        <f t="shared" si="77"/>
        <v>53024.917033782192</v>
      </c>
      <c r="L509" s="41">
        <f t="shared" si="77"/>
        <v>1.1624964524507251</v>
      </c>
      <c r="M509" s="14">
        <v>1E-4</v>
      </c>
      <c r="N509" s="19">
        <f t="shared" ca="1" si="83"/>
        <v>208.46580964629868</v>
      </c>
      <c r="O509" s="12">
        <f t="shared" ca="1" si="85"/>
        <v>27.615861535837627</v>
      </c>
      <c r="P509" s="18">
        <f t="shared" ca="1" si="84"/>
        <v>188.41638104924095</v>
      </c>
      <c r="Q509" s="19">
        <f t="shared" ca="1" si="92"/>
        <v>28.262457157386141</v>
      </c>
      <c r="R509" s="12">
        <f t="shared" ca="1" si="92"/>
        <v>37.683276209848195</v>
      </c>
      <c r="S509" s="12">
        <f t="shared" ca="1" si="87"/>
        <v>2.7615861535837629</v>
      </c>
      <c r="T509" s="83">
        <f t="shared" ca="1" si="88"/>
        <v>68.707319520818103</v>
      </c>
    </row>
    <row r="510" spans="1:20" x14ac:dyDescent="0.3">
      <c r="A510" s="11">
        <v>47818</v>
      </c>
      <c r="B510" s="15">
        <f t="shared" ca="1" si="89"/>
        <v>68365.408887272395</v>
      </c>
      <c r="C510" s="98">
        <f t="shared" si="90"/>
        <v>62168.595225911879</v>
      </c>
      <c r="D510" s="12">
        <f t="shared" ca="1" si="91"/>
        <v>6196.8136613605111</v>
      </c>
      <c r="E510" s="99">
        <v>1233.2608892001908</v>
      </c>
      <c r="F510" s="16">
        <f t="shared" ca="1" si="79"/>
        <v>1057.2902066235802</v>
      </c>
      <c r="G510" s="12">
        <f t="shared" ca="1" si="80"/>
        <v>51.473035273028778</v>
      </c>
      <c r="H510" s="12">
        <f t="shared" si="81"/>
        <v>1032.8022768934184</v>
      </c>
      <c r="I510" s="17" cm="1">
        <f t="array" ref="I510">IF(MONTH(A510) = LOOKUP(YEAR(A510), YEAR('CNY Dates'!A$2:A$34), 'CNY Dates'!B$2:B$34), LOOKUP(YEAR(A510), YEAR('Hongbao demand'!B$4:B$35), 'Hongbao demand'!F$4:F$35)  - O509, 0)</f>
        <v>0</v>
      </c>
      <c r="J510" s="18">
        <f t="shared" si="82"/>
        <v>-26.985105542866965</v>
      </c>
      <c r="K510" s="40">
        <f t="shared" si="77"/>
        <v>52912.380088297941</v>
      </c>
      <c r="L510" s="41">
        <f t="shared" si="77"/>
        <v>1.1636002510717598</v>
      </c>
      <c r="M510" s="14">
        <v>1E-4</v>
      </c>
      <c r="N510" s="19">
        <f t="shared" ca="1" si="83"/>
        <v>175.97068257661067</v>
      </c>
      <c r="O510" s="12">
        <f t="shared" ca="1" si="85"/>
        <v>27.385729356372316</v>
      </c>
      <c r="P510" s="18">
        <f t="shared" ca="1" si="84"/>
        <v>155.9248213459332</v>
      </c>
      <c r="Q510" s="19">
        <f t="shared" ca="1" si="92"/>
        <v>23.388723201889977</v>
      </c>
      <c r="R510" s="12">
        <f t="shared" ca="1" si="92"/>
        <v>31.18496426918664</v>
      </c>
      <c r="S510" s="12">
        <f t="shared" ca="1" si="87"/>
        <v>2.7385729356372317</v>
      </c>
      <c r="T510" s="83">
        <f t="shared" ca="1" si="88"/>
        <v>57.312260406713847</v>
      </c>
    </row>
    <row r="511" spans="1:20" x14ac:dyDescent="0.3">
      <c r="A511" s="4"/>
      <c r="L511" s="6"/>
      <c r="S511" s="12"/>
    </row>
    <row r="512" spans="1:20" x14ac:dyDescent="0.3">
      <c r="A512" s="4"/>
      <c r="L512" s="6"/>
      <c r="S512" s="12"/>
    </row>
    <row r="513" spans="1:19" x14ac:dyDescent="0.3">
      <c r="A513" s="4"/>
      <c r="L513" s="6"/>
      <c r="S513" s="12"/>
    </row>
    <row r="514" spans="1:19" x14ac:dyDescent="0.3">
      <c r="A514" s="4"/>
      <c r="L514" s="6"/>
      <c r="S514" s="12"/>
    </row>
    <row r="515" spans="1:19" x14ac:dyDescent="0.3">
      <c r="A515" s="4"/>
      <c r="L515" s="6"/>
      <c r="S515" s="12"/>
    </row>
    <row r="516" spans="1:19" x14ac:dyDescent="0.3">
      <c r="A516" s="4"/>
      <c r="L516" s="6"/>
      <c r="S516" s="12"/>
    </row>
    <row r="517" spans="1:19" x14ac:dyDescent="0.3">
      <c r="A517" s="4"/>
      <c r="L517" s="6"/>
      <c r="S517" s="12"/>
    </row>
    <row r="518" spans="1:19" x14ac:dyDescent="0.3">
      <c r="A518" s="4"/>
      <c r="L518" s="6"/>
      <c r="S518" s="12"/>
    </row>
    <row r="519" spans="1:19" x14ac:dyDescent="0.3">
      <c r="A519" s="4"/>
      <c r="L519" s="6"/>
      <c r="S519" s="12"/>
    </row>
    <row r="520" spans="1:19" x14ac:dyDescent="0.3">
      <c r="A520" s="4"/>
      <c r="L520" s="6"/>
      <c r="S520" s="12"/>
    </row>
    <row r="521" spans="1:19" x14ac:dyDescent="0.3">
      <c r="A521" s="4"/>
      <c r="L521" s="6"/>
      <c r="S521" s="12"/>
    </row>
    <row r="522" spans="1:19" x14ac:dyDescent="0.3">
      <c r="A522" s="4"/>
      <c r="L522" s="6"/>
      <c r="S522" s="12"/>
    </row>
    <row r="523" spans="1:19" x14ac:dyDescent="0.3">
      <c r="S523" s="12"/>
    </row>
    <row r="524" spans="1:19" x14ac:dyDescent="0.3">
      <c r="S524" s="12"/>
    </row>
    <row r="525" spans="1:19" x14ac:dyDescent="0.3">
      <c r="S525" s="12"/>
    </row>
    <row r="526" spans="1:19" x14ac:dyDescent="0.3">
      <c r="S526" s="12"/>
    </row>
    <row r="527" spans="1:19" x14ac:dyDescent="0.3">
      <c r="S527" s="12"/>
    </row>
    <row r="528" spans="1:19" x14ac:dyDescent="0.3">
      <c r="S528" s="12"/>
    </row>
    <row r="529" spans="19:19" x14ac:dyDescent="0.3">
      <c r="S529" s="12"/>
    </row>
    <row r="530" spans="19:19" x14ac:dyDescent="0.3">
      <c r="S530" s="12"/>
    </row>
    <row r="531" spans="19:19" x14ac:dyDescent="0.3">
      <c r="S531" s="12"/>
    </row>
    <row r="532" spans="19:19" x14ac:dyDescent="0.3">
      <c r="S532" s="12"/>
    </row>
    <row r="533" spans="19:19" x14ac:dyDescent="0.3">
      <c r="S533" s="12"/>
    </row>
    <row r="534" spans="19:19" x14ac:dyDescent="0.3">
      <c r="S534" s="12"/>
    </row>
    <row r="535" spans="19:19" x14ac:dyDescent="0.3">
      <c r="S535" s="12"/>
    </row>
    <row r="536" spans="19:19" x14ac:dyDescent="0.3">
      <c r="S536" s="12"/>
    </row>
    <row r="537" spans="19:19" x14ac:dyDescent="0.3">
      <c r="S537" s="12"/>
    </row>
    <row r="538" spans="19:19" x14ac:dyDescent="0.3">
      <c r="S538" s="12"/>
    </row>
    <row r="539" spans="19:19" x14ac:dyDescent="0.3">
      <c r="S539" s="12"/>
    </row>
    <row r="540" spans="19:19" x14ac:dyDescent="0.3">
      <c r="S540" s="12"/>
    </row>
    <row r="541" spans="19:19" x14ac:dyDescent="0.3">
      <c r="S541" s="12"/>
    </row>
    <row r="542" spans="19:19" x14ac:dyDescent="0.3">
      <c r="S542" s="12"/>
    </row>
    <row r="543" spans="19:19" x14ac:dyDescent="0.3">
      <c r="S543" s="12"/>
    </row>
    <row r="544" spans="19:19" x14ac:dyDescent="0.3">
      <c r="S544" s="12"/>
    </row>
    <row r="545" spans="19:19" x14ac:dyDescent="0.3">
      <c r="S545" s="12"/>
    </row>
    <row r="546" spans="19:19" x14ac:dyDescent="0.3">
      <c r="S546" s="12"/>
    </row>
  </sheetData>
  <mergeCells count="7">
    <mergeCell ref="Q4:T4"/>
    <mergeCell ref="K4:M4"/>
    <mergeCell ref="P2:Q2"/>
    <mergeCell ref="P3:Q3"/>
    <mergeCell ref="B4:E4"/>
    <mergeCell ref="F4:J4"/>
    <mergeCell ref="N4:P4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ED99-76B1-4523-A392-71B45DC1F51D}">
  <sheetPr codeName="Sheet6"/>
  <dimension ref="A1:C505"/>
  <sheetViews>
    <sheetView workbookViewId="0">
      <selection activeCell="G53" sqref="G53"/>
    </sheetView>
  </sheetViews>
  <sheetFormatPr defaultColWidth="8.6640625" defaultRowHeight="14.4" x14ac:dyDescent="0.3"/>
  <cols>
    <col min="2" max="2" width="27.109375" bestFit="1" customWidth="1"/>
    <col min="3" max="3" width="11.6640625" bestFit="1" customWidth="1"/>
  </cols>
  <sheetData>
    <row r="1" spans="1:3" ht="23.85" customHeight="1" x14ac:dyDescent="0.3">
      <c r="A1" s="23" t="s">
        <v>3</v>
      </c>
      <c r="B1" s="63" t="s">
        <v>118</v>
      </c>
      <c r="C1" s="63" t="s">
        <v>5</v>
      </c>
    </row>
    <row r="2" spans="1:3" x14ac:dyDescent="0.3">
      <c r="A2" s="11">
        <v>32509</v>
      </c>
      <c r="B2" s="12"/>
      <c r="C2" s="14">
        <v>2.4916666666666668E-3</v>
      </c>
    </row>
    <row r="3" spans="1:3" x14ac:dyDescent="0.3">
      <c r="A3" s="11">
        <v>32540</v>
      </c>
      <c r="B3" s="91">
        <v>0</v>
      </c>
      <c r="C3" s="158">
        <v>2.5249999999999999E-3</v>
      </c>
    </row>
    <row r="4" spans="1:3" x14ac:dyDescent="0.3">
      <c r="A4" s="11">
        <v>32568</v>
      </c>
      <c r="B4" s="91">
        <v>85.88</v>
      </c>
      <c r="C4" s="158">
        <v>2.5416666666666665E-3</v>
      </c>
    </row>
    <row r="5" spans="1:3" x14ac:dyDescent="0.3">
      <c r="A5" s="11">
        <v>32599</v>
      </c>
      <c r="B5" s="91">
        <v>86.07</v>
      </c>
      <c r="C5" s="158">
        <v>2.65E-3</v>
      </c>
    </row>
    <row r="6" spans="1:3" x14ac:dyDescent="0.3">
      <c r="A6" s="11">
        <v>32629</v>
      </c>
      <c r="B6" s="91">
        <v>65.95</v>
      </c>
      <c r="C6" s="158">
        <v>2.7083333333333334E-3</v>
      </c>
    </row>
    <row r="7" spans="1:3" x14ac:dyDescent="0.3">
      <c r="A7" s="11">
        <v>32660</v>
      </c>
      <c r="B7" s="91">
        <v>105.55</v>
      </c>
      <c r="C7" s="158">
        <v>2.7333333333333328E-3</v>
      </c>
    </row>
    <row r="8" spans="1:3" x14ac:dyDescent="0.3">
      <c r="A8" s="11">
        <v>32690</v>
      </c>
      <c r="B8" s="91">
        <v>62.1</v>
      </c>
      <c r="C8" s="158">
        <v>2.7333333333333328E-3</v>
      </c>
    </row>
    <row r="9" spans="1:3" x14ac:dyDescent="0.3">
      <c r="A9" s="11">
        <v>32721</v>
      </c>
      <c r="B9" s="91">
        <v>93.51</v>
      </c>
      <c r="C9" s="158">
        <v>2.7333333333333328E-3</v>
      </c>
    </row>
    <row r="10" spans="1:3" x14ac:dyDescent="0.3">
      <c r="A10" s="11">
        <v>32752</v>
      </c>
      <c r="B10" s="91">
        <v>129.44</v>
      </c>
      <c r="C10" s="158">
        <v>2.7333333333333328E-3</v>
      </c>
    </row>
    <row r="11" spans="1:3" x14ac:dyDescent="0.3">
      <c r="A11" s="11">
        <v>32782</v>
      </c>
      <c r="B11" s="91">
        <v>70.62</v>
      </c>
      <c r="C11" s="158">
        <v>2.7333333333333328E-3</v>
      </c>
    </row>
    <row r="12" spans="1:3" x14ac:dyDescent="0.3">
      <c r="A12" s="11">
        <v>32813</v>
      </c>
      <c r="B12" s="91">
        <v>96.2</v>
      </c>
      <c r="C12" s="158">
        <v>2.7500000000000003E-3</v>
      </c>
    </row>
    <row r="13" spans="1:3" x14ac:dyDescent="0.3">
      <c r="A13" s="11">
        <v>32843</v>
      </c>
      <c r="B13" s="91">
        <v>311.49</v>
      </c>
      <c r="C13" s="158">
        <v>2.7916666666666667E-3</v>
      </c>
    </row>
    <row r="14" spans="1:3" x14ac:dyDescent="0.3">
      <c r="A14" s="11">
        <v>32874</v>
      </c>
      <c r="B14" s="91">
        <v>344.94</v>
      </c>
      <c r="C14" s="158">
        <v>2.9583333333333332E-3</v>
      </c>
    </row>
    <row r="15" spans="1:3" x14ac:dyDescent="0.3">
      <c r="A15" s="11">
        <v>32905</v>
      </c>
      <c r="B15" s="91">
        <v>0</v>
      </c>
      <c r="C15" s="158">
        <v>3.1916666666666669E-3</v>
      </c>
    </row>
    <row r="16" spans="1:3" x14ac:dyDescent="0.3">
      <c r="A16" s="11">
        <v>32933</v>
      </c>
      <c r="B16" s="91">
        <v>77.010000000000005</v>
      </c>
      <c r="C16" s="158">
        <v>3.2750000000000001E-3</v>
      </c>
    </row>
    <row r="17" spans="1:3" x14ac:dyDescent="0.3">
      <c r="A17" s="11">
        <v>32964</v>
      </c>
      <c r="B17" s="91">
        <v>115.44</v>
      </c>
      <c r="C17" s="158">
        <v>3.7083333333333339E-3</v>
      </c>
    </row>
    <row r="18" spans="1:3" x14ac:dyDescent="0.3">
      <c r="A18" s="11">
        <v>32994</v>
      </c>
      <c r="B18" s="91">
        <v>6.66</v>
      </c>
      <c r="C18" s="158">
        <v>3.7499999999999999E-3</v>
      </c>
    </row>
    <row r="19" spans="1:3" x14ac:dyDescent="0.3">
      <c r="A19" s="11">
        <v>33025</v>
      </c>
      <c r="B19" s="91">
        <v>83.1</v>
      </c>
      <c r="C19" s="158">
        <v>4.1250000000000002E-3</v>
      </c>
    </row>
    <row r="20" spans="1:3" x14ac:dyDescent="0.3">
      <c r="A20" s="11">
        <v>33055</v>
      </c>
      <c r="B20" s="91">
        <v>63.75</v>
      </c>
      <c r="C20" s="158">
        <v>4.2333333333333329E-3</v>
      </c>
    </row>
    <row r="21" spans="1:3" x14ac:dyDescent="0.3">
      <c r="A21" s="11">
        <v>33086</v>
      </c>
      <c r="B21" s="91">
        <v>152.99</v>
      </c>
      <c r="C21" s="158">
        <v>4.3166666666666666E-3</v>
      </c>
    </row>
    <row r="22" spans="1:3" x14ac:dyDescent="0.3">
      <c r="A22" s="11">
        <v>33117</v>
      </c>
      <c r="B22" s="91">
        <v>99.59</v>
      </c>
      <c r="C22" s="158">
        <v>4.333333333333334E-3</v>
      </c>
    </row>
    <row r="23" spans="1:3" x14ac:dyDescent="0.3">
      <c r="A23" s="11">
        <v>33147</v>
      </c>
      <c r="B23" s="91">
        <v>73.98</v>
      </c>
      <c r="C23" s="158">
        <v>4.333333333333334E-3</v>
      </c>
    </row>
    <row r="24" spans="1:3" x14ac:dyDescent="0.3">
      <c r="A24" s="11">
        <v>33178</v>
      </c>
      <c r="B24" s="91">
        <v>0</v>
      </c>
      <c r="C24" s="158">
        <v>4.2833333333333326E-3</v>
      </c>
    </row>
    <row r="25" spans="1:3" x14ac:dyDescent="0.3">
      <c r="A25" s="11">
        <v>33208</v>
      </c>
      <c r="B25" s="91">
        <v>510.59</v>
      </c>
      <c r="C25" s="158">
        <v>4.208333333333333E-3</v>
      </c>
    </row>
    <row r="26" spans="1:3" x14ac:dyDescent="0.3">
      <c r="A26" s="11">
        <v>33239</v>
      </c>
      <c r="B26" s="91">
        <v>134.44999999999999</v>
      </c>
      <c r="C26" s="158">
        <v>3.7916666666666667E-3</v>
      </c>
    </row>
    <row r="27" spans="1:3" x14ac:dyDescent="0.3">
      <c r="A27" s="11">
        <v>33270</v>
      </c>
      <c r="B27" s="91">
        <v>146.72</v>
      </c>
      <c r="C27" s="158">
        <v>3.7916666666666667E-3</v>
      </c>
    </row>
    <row r="28" spans="1:3" x14ac:dyDescent="0.3">
      <c r="A28" s="11">
        <v>33298</v>
      </c>
      <c r="B28" s="91">
        <v>21.56</v>
      </c>
      <c r="C28" s="158">
        <v>3.7666666666666664E-3</v>
      </c>
    </row>
    <row r="29" spans="1:3" x14ac:dyDescent="0.3">
      <c r="A29" s="11">
        <v>33329</v>
      </c>
      <c r="B29" s="91">
        <v>47.88</v>
      </c>
      <c r="C29" s="158">
        <v>3.7666666666666664E-3</v>
      </c>
    </row>
    <row r="30" spans="1:3" x14ac:dyDescent="0.3">
      <c r="A30" s="11">
        <v>33359</v>
      </c>
      <c r="B30" s="91">
        <v>91.38</v>
      </c>
      <c r="C30" s="158">
        <v>3.7750000000000001E-3</v>
      </c>
    </row>
    <row r="31" spans="1:3" x14ac:dyDescent="0.3">
      <c r="A31" s="11">
        <v>33390</v>
      </c>
      <c r="B31" s="91">
        <v>65.400000000000006</v>
      </c>
      <c r="C31" s="158">
        <v>4.0749999999999996E-3</v>
      </c>
    </row>
    <row r="32" spans="1:3" x14ac:dyDescent="0.3">
      <c r="A32" s="11">
        <v>33420</v>
      </c>
      <c r="B32" s="91">
        <v>0</v>
      </c>
      <c r="C32" s="158">
        <v>4.1333333333333335E-3</v>
      </c>
    </row>
    <row r="33" spans="1:3" x14ac:dyDescent="0.3">
      <c r="A33" s="11">
        <v>33451</v>
      </c>
      <c r="B33" s="91">
        <v>132.88999999999999</v>
      </c>
      <c r="C33" s="158">
        <v>4.1083333333333328E-3</v>
      </c>
    </row>
    <row r="34" spans="1:3" x14ac:dyDescent="0.3">
      <c r="A34" s="11">
        <v>33482</v>
      </c>
      <c r="B34" s="91">
        <v>55.06</v>
      </c>
      <c r="C34" s="158">
        <v>4.0666666666666663E-3</v>
      </c>
    </row>
    <row r="35" spans="1:3" x14ac:dyDescent="0.3">
      <c r="A35" s="11">
        <v>33512</v>
      </c>
      <c r="B35" s="91">
        <v>95.28</v>
      </c>
      <c r="C35" s="158">
        <v>3.9250000000000005E-3</v>
      </c>
    </row>
    <row r="36" spans="1:3" x14ac:dyDescent="0.3">
      <c r="A36" s="11">
        <v>33543</v>
      </c>
      <c r="B36" s="91">
        <v>167.11</v>
      </c>
      <c r="C36" s="158">
        <v>3.8999999999999994E-3</v>
      </c>
    </row>
    <row r="37" spans="1:3" x14ac:dyDescent="0.3">
      <c r="A37" s="11">
        <v>33573</v>
      </c>
      <c r="B37" s="91">
        <v>314.75</v>
      </c>
      <c r="C37" s="158">
        <v>3.1999999999999997E-3</v>
      </c>
    </row>
    <row r="38" spans="1:3" x14ac:dyDescent="0.3">
      <c r="A38" s="11">
        <v>33604</v>
      </c>
      <c r="B38" s="91">
        <v>509.01</v>
      </c>
      <c r="C38" s="158">
        <v>2.8833333333333332E-3</v>
      </c>
    </row>
    <row r="39" spans="1:3" x14ac:dyDescent="0.3">
      <c r="A39" s="11">
        <v>33635</v>
      </c>
      <c r="B39" s="91">
        <v>0</v>
      </c>
      <c r="C39" s="158">
        <v>2.5833333333333333E-3</v>
      </c>
    </row>
    <row r="40" spans="1:3" x14ac:dyDescent="0.3">
      <c r="A40" s="11">
        <v>33664</v>
      </c>
      <c r="B40" s="91">
        <v>15.83</v>
      </c>
      <c r="C40" s="158">
        <v>2.5833333333333333E-3</v>
      </c>
    </row>
    <row r="41" spans="1:3" x14ac:dyDescent="0.3">
      <c r="A41" s="11">
        <v>33695</v>
      </c>
      <c r="B41" s="91">
        <v>180.08</v>
      </c>
      <c r="C41" s="158">
        <v>2.5833333333333333E-3</v>
      </c>
    </row>
    <row r="42" spans="1:3" x14ac:dyDescent="0.3">
      <c r="A42" s="11">
        <v>33725</v>
      </c>
      <c r="B42" s="91">
        <v>74.849999999999994</v>
      </c>
      <c r="C42" s="158">
        <v>2.5833333333333333E-3</v>
      </c>
    </row>
    <row r="43" spans="1:3" x14ac:dyDescent="0.3">
      <c r="A43" s="11">
        <v>33756</v>
      </c>
      <c r="B43" s="91">
        <v>70.88</v>
      </c>
      <c r="C43" s="158">
        <v>2.5416666666666665E-3</v>
      </c>
    </row>
    <row r="44" spans="1:3" x14ac:dyDescent="0.3">
      <c r="A44" s="11">
        <v>33786</v>
      </c>
      <c r="B44" s="91">
        <v>112.91</v>
      </c>
      <c r="C44" s="158">
        <v>2.3416666666666668E-3</v>
      </c>
    </row>
    <row r="45" spans="1:3" x14ac:dyDescent="0.3">
      <c r="A45" s="11">
        <v>33817</v>
      </c>
      <c r="B45" s="91">
        <v>99.09</v>
      </c>
      <c r="C45" s="158">
        <v>2.3083333333333332E-3</v>
      </c>
    </row>
    <row r="46" spans="1:3" x14ac:dyDescent="0.3">
      <c r="A46" s="11">
        <v>33848</v>
      </c>
      <c r="B46" s="91">
        <v>101.34</v>
      </c>
      <c r="C46" s="158">
        <v>2.1333333333333334E-3</v>
      </c>
    </row>
    <row r="47" spans="1:3" x14ac:dyDescent="0.3">
      <c r="A47" s="11">
        <v>33878</v>
      </c>
      <c r="B47" s="91">
        <v>191.69</v>
      </c>
      <c r="C47" s="158">
        <v>2.0500000000000002E-3</v>
      </c>
    </row>
    <row r="48" spans="1:3" x14ac:dyDescent="0.3">
      <c r="A48" s="11">
        <v>33909</v>
      </c>
      <c r="B48" s="91">
        <v>113.37</v>
      </c>
      <c r="C48" s="158">
        <v>2.0500000000000002E-3</v>
      </c>
    </row>
    <row r="49" spans="1:3" x14ac:dyDescent="0.3">
      <c r="A49" s="11">
        <v>33939</v>
      </c>
      <c r="B49" s="91">
        <v>341.5</v>
      </c>
      <c r="C49" s="158">
        <v>2.0500000000000002E-3</v>
      </c>
    </row>
    <row r="50" spans="1:3" x14ac:dyDescent="0.3">
      <c r="A50" s="11">
        <v>33970</v>
      </c>
      <c r="B50" s="91">
        <v>338.02</v>
      </c>
      <c r="C50" s="158">
        <v>2.0500000000000002E-3</v>
      </c>
    </row>
    <row r="51" spans="1:3" x14ac:dyDescent="0.3">
      <c r="A51" s="11">
        <v>34001</v>
      </c>
      <c r="B51" s="91">
        <v>0</v>
      </c>
      <c r="C51" s="158">
        <v>2.0500000000000002E-3</v>
      </c>
    </row>
    <row r="52" spans="1:3" x14ac:dyDescent="0.3">
      <c r="A52" s="11">
        <v>34029</v>
      </c>
      <c r="B52" s="91">
        <v>105.26</v>
      </c>
      <c r="C52" s="158">
        <v>1.8999999999999998E-3</v>
      </c>
    </row>
    <row r="53" spans="1:3" x14ac:dyDescent="0.3">
      <c r="A53" s="11">
        <v>34060</v>
      </c>
      <c r="B53" s="91">
        <v>163.36000000000001</v>
      </c>
      <c r="C53" s="158">
        <v>1.8916666666666667E-3</v>
      </c>
    </row>
    <row r="54" spans="1:3" x14ac:dyDescent="0.3">
      <c r="A54" s="11">
        <v>34090</v>
      </c>
      <c r="B54" s="91">
        <v>110.57</v>
      </c>
      <c r="C54" s="158">
        <v>1.8916666666666667E-3</v>
      </c>
    </row>
    <row r="55" spans="1:3" x14ac:dyDescent="0.3">
      <c r="A55" s="11">
        <v>34121</v>
      </c>
      <c r="B55" s="91">
        <v>60.59</v>
      </c>
      <c r="C55" s="158">
        <v>1.8916666666666667E-3</v>
      </c>
    </row>
    <row r="56" spans="1:3" x14ac:dyDescent="0.3">
      <c r="A56" s="11">
        <v>34151</v>
      </c>
      <c r="B56" s="91">
        <v>156.69999999999999</v>
      </c>
      <c r="C56" s="158">
        <v>1.8916666666666667E-3</v>
      </c>
    </row>
    <row r="57" spans="1:3" x14ac:dyDescent="0.3">
      <c r="A57" s="11">
        <v>34182</v>
      </c>
      <c r="B57" s="91">
        <v>84.47</v>
      </c>
      <c r="C57" s="158">
        <v>1.8916666666666667E-3</v>
      </c>
    </row>
    <row r="58" spans="1:3" x14ac:dyDescent="0.3">
      <c r="A58" s="11">
        <v>34213</v>
      </c>
      <c r="B58" s="91">
        <v>77.38</v>
      </c>
      <c r="C58" s="158">
        <v>1.8999999999999998E-3</v>
      </c>
    </row>
    <row r="59" spans="1:3" x14ac:dyDescent="0.3">
      <c r="A59" s="11">
        <v>34243</v>
      </c>
      <c r="B59" s="91">
        <v>135.97</v>
      </c>
      <c r="C59" s="158">
        <v>1.8833333333333332E-3</v>
      </c>
    </row>
    <row r="60" spans="1:3" x14ac:dyDescent="0.3">
      <c r="A60" s="11">
        <v>34274</v>
      </c>
      <c r="B60" s="91">
        <v>149.9</v>
      </c>
      <c r="C60" s="158">
        <v>1.8833333333333332E-3</v>
      </c>
    </row>
    <row r="61" spans="1:3" x14ac:dyDescent="0.3">
      <c r="A61" s="11">
        <v>34304</v>
      </c>
      <c r="B61" s="91">
        <v>392.19</v>
      </c>
      <c r="C61" s="158">
        <v>1.8833333333333332E-3</v>
      </c>
    </row>
    <row r="62" spans="1:3" x14ac:dyDescent="0.3">
      <c r="A62" s="11">
        <v>34335</v>
      </c>
      <c r="B62" s="91">
        <v>154.65</v>
      </c>
      <c r="C62" s="158">
        <v>2.0833333333333333E-3</v>
      </c>
    </row>
    <row r="63" spans="1:3" x14ac:dyDescent="0.3">
      <c r="A63" s="11">
        <v>34366</v>
      </c>
      <c r="B63" s="91">
        <v>133.93</v>
      </c>
      <c r="C63" s="158">
        <v>2.225E-3</v>
      </c>
    </row>
    <row r="64" spans="1:3" x14ac:dyDescent="0.3">
      <c r="A64" s="11">
        <v>34394</v>
      </c>
      <c r="B64" s="91">
        <v>70.010000000000005</v>
      </c>
      <c r="C64" s="158">
        <v>2.225E-3</v>
      </c>
    </row>
    <row r="65" spans="1:3" x14ac:dyDescent="0.3">
      <c r="A65" s="11">
        <v>34425</v>
      </c>
      <c r="B65" s="91">
        <v>115.9</v>
      </c>
      <c r="C65" s="158">
        <v>2.3500000000000001E-3</v>
      </c>
    </row>
    <row r="66" spans="1:3" x14ac:dyDescent="0.3">
      <c r="A66" s="11">
        <v>34455</v>
      </c>
      <c r="B66" s="91">
        <v>61.55</v>
      </c>
      <c r="C66" s="158">
        <v>2.4166666666666664E-3</v>
      </c>
    </row>
    <row r="67" spans="1:3" x14ac:dyDescent="0.3">
      <c r="A67" s="11">
        <v>34486</v>
      </c>
      <c r="B67" s="91">
        <v>103.03</v>
      </c>
      <c r="C67" s="158">
        <v>2.4166666666666664E-3</v>
      </c>
    </row>
    <row r="68" spans="1:3" x14ac:dyDescent="0.3">
      <c r="A68" s="11">
        <v>34516</v>
      </c>
      <c r="B68" s="91">
        <v>145.36000000000001</v>
      </c>
      <c r="C68" s="158">
        <v>2.4166666666666664E-3</v>
      </c>
    </row>
    <row r="69" spans="1:3" x14ac:dyDescent="0.3">
      <c r="A69" s="11">
        <v>34547</v>
      </c>
      <c r="B69" s="91">
        <v>75.06</v>
      </c>
      <c r="C69" s="158">
        <v>2.6166666666666669E-3</v>
      </c>
    </row>
    <row r="70" spans="1:3" x14ac:dyDescent="0.3">
      <c r="A70" s="11">
        <v>34578</v>
      </c>
      <c r="B70" s="91">
        <v>170.39</v>
      </c>
      <c r="C70" s="158">
        <v>2.6166666666666669E-3</v>
      </c>
    </row>
    <row r="71" spans="1:3" x14ac:dyDescent="0.3">
      <c r="A71" s="11">
        <v>34608</v>
      </c>
      <c r="B71" s="91">
        <v>135.01</v>
      </c>
      <c r="C71" s="158">
        <v>2.6166666666666669E-3</v>
      </c>
    </row>
    <row r="72" spans="1:3" x14ac:dyDescent="0.3">
      <c r="A72" s="11">
        <v>34639</v>
      </c>
      <c r="B72" s="91">
        <v>67.39</v>
      </c>
      <c r="C72" s="158">
        <v>3.0166666666666671E-3</v>
      </c>
    </row>
    <row r="73" spans="1:3" x14ac:dyDescent="0.3">
      <c r="A73" s="11">
        <v>34669</v>
      </c>
      <c r="B73" s="91">
        <v>364.24</v>
      </c>
      <c r="C73" s="158">
        <v>3.0166666666666671E-3</v>
      </c>
    </row>
    <row r="74" spans="1:3" x14ac:dyDescent="0.3">
      <c r="A74" s="11">
        <v>34700</v>
      </c>
      <c r="B74" s="91">
        <v>734.93</v>
      </c>
      <c r="C74" s="158">
        <v>3.0166666666666671E-3</v>
      </c>
    </row>
    <row r="75" spans="1:3" x14ac:dyDescent="0.3">
      <c r="A75" s="11">
        <v>34731</v>
      </c>
      <c r="B75" s="91">
        <v>0</v>
      </c>
      <c r="C75" s="158">
        <v>3.0166666666666671E-3</v>
      </c>
    </row>
    <row r="76" spans="1:3" x14ac:dyDescent="0.3">
      <c r="A76" s="11">
        <v>34759</v>
      </c>
      <c r="B76" s="91">
        <v>27.72</v>
      </c>
      <c r="C76" s="158">
        <v>3.0166666666666671E-3</v>
      </c>
    </row>
    <row r="77" spans="1:3" x14ac:dyDescent="0.3">
      <c r="A77" s="11">
        <v>34790</v>
      </c>
      <c r="B77" s="91">
        <v>211.26</v>
      </c>
      <c r="C77" s="158">
        <v>3.0166666666666671E-3</v>
      </c>
    </row>
    <row r="78" spans="1:3" x14ac:dyDescent="0.3">
      <c r="A78" s="11">
        <v>34820</v>
      </c>
      <c r="B78" s="91">
        <v>19.68</v>
      </c>
      <c r="C78" s="158">
        <v>3.0166666666666671E-3</v>
      </c>
    </row>
    <row r="79" spans="1:3" x14ac:dyDescent="0.3">
      <c r="A79" s="11">
        <v>34851</v>
      </c>
      <c r="B79" s="91">
        <v>151.41999999999999</v>
      </c>
      <c r="C79" s="158">
        <v>2.8750000000000004E-3</v>
      </c>
    </row>
    <row r="80" spans="1:3" x14ac:dyDescent="0.3">
      <c r="A80" s="11">
        <v>34881</v>
      </c>
      <c r="B80" s="91">
        <v>93.37</v>
      </c>
      <c r="C80" s="158">
        <v>2.8750000000000004E-3</v>
      </c>
    </row>
    <row r="81" spans="1:3" x14ac:dyDescent="0.3">
      <c r="A81" s="11">
        <v>34912</v>
      </c>
      <c r="B81" s="91">
        <v>123.88</v>
      </c>
      <c r="C81" s="158">
        <v>2.8416666666666664E-3</v>
      </c>
    </row>
    <row r="82" spans="1:3" x14ac:dyDescent="0.3">
      <c r="A82" s="11">
        <v>34943</v>
      </c>
      <c r="B82" s="91">
        <v>158.54</v>
      </c>
      <c r="C82" s="158">
        <v>2.8416666666666664E-3</v>
      </c>
    </row>
    <row r="83" spans="1:3" x14ac:dyDescent="0.3">
      <c r="A83" s="11">
        <v>34973</v>
      </c>
      <c r="B83" s="91">
        <v>35.01</v>
      </c>
      <c r="C83" s="158">
        <v>2.8416666666666664E-3</v>
      </c>
    </row>
    <row r="84" spans="1:3" x14ac:dyDescent="0.3">
      <c r="A84" s="11">
        <v>35004</v>
      </c>
      <c r="B84" s="91">
        <v>168.13</v>
      </c>
      <c r="C84" s="158">
        <v>2.8416666666666664E-3</v>
      </c>
    </row>
    <row r="85" spans="1:3" x14ac:dyDescent="0.3">
      <c r="A85" s="11">
        <v>35034</v>
      </c>
      <c r="B85" s="91">
        <v>357.32</v>
      </c>
      <c r="C85" s="158">
        <v>2.8416666666666664E-3</v>
      </c>
    </row>
    <row r="86" spans="1:3" x14ac:dyDescent="0.3">
      <c r="A86" s="11">
        <v>35065</v>
      </c>
      <c r="B86" s="91">
        <v>0</v>
      </c>
      <c r="C86" s="158">
        <v>2.8416666666666664E-3</v>
      </c>
    </row>
    <row r="87" spans="1:3" x14ac:dyDescent="0.3">
      <c r="A87" s="11">
        <v>35096</v>
      </c>
      <c r="B87" s="91">
        <v>486.46</v>
      </c>
      <c r="C87" s="158">
        <v>2.8416666666666664E-3</v>
      </c>
    </row>
    <row r="88" spans="1:3" x14ac:dyDescent="0.3">
      <c r="A88" s="11">
        <v>35125</v>
      </c>
      <c r="B88" s="91">
        <v>0</v>
      </c>
      <c r="C88" s="158">
        <v>2.8416666666666664E-3</v>
      </c>
    </row>
    <row r="89" spans="1:3" x14ac:dyDescent="0.3">
      <c r="A89" s="11">
        <v>35156</v>
      </c>
      <c r="B89" s="91">
        <v>139.74</v>
      </c>
      <c r="C89" s="158">
        <v>2.8416666666666664E-3</v>
      </c>
    </row>
    <row r="90" spans="1:3" x14ac:dyDescent="0.3">
      <c r="A90" s="11">
        <v>35186</v>
      </c>
      <c r="B90" s="91">
        <v>452.99</v>
      </c>
      <c r="C90" s="158">
        <v>2.8416666666666664E-3</v>
      </c>
    </row>
    <row r="91" spans="1:3" x14ac:dyDescent="0.3">
      <c r="A91" s="11">
        <v>35217</v>
      </c>
      <c r="B91" s="91">
        <v>84.61</v>
      </c>
      <c r="C91" s="158">
        <v>2.8416666666666664E-3</v>
      </c>
    </row>
    <row r="92" spans="1:3" x14ac:dyDescent="0.3">
      <c r="A92" s="11">
        <v>35247</v>
      </c>
      <c r="B92" s="91">
        <v>51.17</v>
      </c>
      <c r="C92" s="158">
        <v>2.8416666666666664E-3</v>
      </c>
    </row>
    <row r="93" spans="1:3" x14ac:dyDescent="0.3">
      <c r="A93" s="11">
        <v>35278</v>
      </c>
      <c r="B93" s="91">
        <v>168.81</v>
      </c>
      <c r="C93" s="158">
        <v>2.8416666666666664E-3</v>
      </c>
    </row>
    <row r="94" spans="1:3" x14ac:dyDescent="0.3">
      <c r="A94" s="11">
        <v>35309</v>
      </c>
      <c r="B94" s="91">
        <v>69.81</v>
      </c>
      <c r="C94" s="158">
        <v>2.8416666666666664E-3</v>
      </c>
    </row>
    <row r="95" spans="1:3" x14ac:dyDescent="0.3">
      <c r="A95" s="11">
        <v>35339</v>
      </c>
      <c r="B95" s="91">
        <v>100.89</v>
      </c>
      <c r="C95" s="158">
        <v>2.8416666666666664E-3</v>
      </c>
    </row>
    <row r="96" spans="1:3" x14ac:dyDescent="0.3">
      <c r="A96" s="11">
        <v>35370</v>
      </c>
      <c r="B96" s="91">
        <v>200.12</v>
      </c>
      <c r="C96" s="158">
        <v>2.8416666666666664E-3</v>
      </c>
    </row>
    <row r="97" spans="1:3" x14ac:dyDescent="0.3">
      <c r="A97" s="11">
        <v>35400</v>
      </c>
      <c r="B97" s="91">
        <v>336.22</v>
      </c>
      <c r="C97" s="158">
        <v>2.8416666666666664E-3</v>
      </c>
    </row>
    <row r="98" spans="1:3" x14ac:dyDescent="0.3">
      <c r="A98" s="11">
        <v>35431</v>
      </c>
      <c r="B98" s="91">
        <v>619.82000000000005</v>
      </c>
      <c r="C98" s="158">
        <v>2.8416666666666664E-3</v>
      </c>
    </row>
    <row r="99" spans="1:3" x14ac:dyDescent="0.3">
      <c r="A99" s="11">
        <v>35462</v>
      </c>
      <c r="B99" s="91">
        <v>22.36</v>
      </c>
      <c r="C99" s="158">
        <v>2.8416666666666664E-3</v>
      </c>
    </row>
    <row r="100" spans="1:3" x14ac:dyDescent="0.3">
      <c r="A100" s="11">
        <v>35490</v>
      </c>
      <c r="B100" s="91">
        <v>35.65</v>
      </c>
      <c r="C100" s="158">
        <v>2.8416666666666664E-3</v>
      </c>
    </row>
    <row r="101" spans="1:3" x14ac:dyDescent="0.3">
      <c r="A101" s="11">
        <v>35521</v>
      </c>
      <c r="B101" s="91">
        <v>48.48</v>
      </c>
      <c r="C101" s="158">
        <v>2.8416666666666664E-3</v>
      </c>
    </row>
    <row r="102" spans="1:3" x14ac:dyDescent="0.3">
      <c r="A102" s="11">
        <v>35551</v>
      </c>
      <c r="B102" s="91">
        <v>131.69</v>
      </c>
      <c r="C102" s="158">
        <v>2.8416666666666664E-3</v>
      </c>
    </row>
    <row r="103" spans="1:3" x14ac:dyDescent="0.3">
      <c r="A103" s="11">
        <v>35582</v>
      </c>
      <c r="B103" s="91">
        <v>40.47</v>
      </c>
      <c r="C103" s="158">
        <v>2.8416666666666664E-3</v>
      </c>
    </row>
    <row r="104" spans="1:3" x14ac:dyDescent="0.3">
      <c r="A104" s="11">
        <v>35612</v>
      </c>
      <c r="B104" s="91">
        <v>48.18</v>
      </c>
      <c r="C104" s="158">
        <v>2.8416666666666664E-3</v>
      </c>
    </row>
    <row r="105" spans="1:3" x14ac:dyDescent="0.3">
      <c r="A105" s="11">
        <v>35643</v>
      </c>
      <c r="B105" s="91">
        <v>195.06</v>
      </c>
      <c r="C105" s="158">
        <v>2.8416666666666664E-3</v>
      </c>
    </row>
    <row r="106" spans="1:3" x14ac:dyDescent="0.3">
      <c r="A106" s="11">
        <v>35674</v>
      </c>
      <c r="B106" s="91">
        <v>0</v>
      </c>
      <c r="C106" s="158">
        <v>2.8416666666666664E-3</v>
      </c>
    </row>
    <row r="107" spans="1:3" x14ac:dyDescent="0.3">
      <c r="A107" s="11">
        <v>35704</v>
      </c>
      <c r="B107" s="91">
        <v>211.64</v>
      </c>
      <c r="C107" s="158">
        <v>2.8416666666666664E-3</v>
      </c>
    </row>
    <row r="108" spans="1:3" x14ac:dyDescent="0.3">
      <c r="A108" s="11">
        <v>35735</v>
      </c>
      <c r="B108" s="91">
        <v>122.52</v>
      </c>
      <c r="C108" s="158">
        <v>2.8833333333333332E-3</v>
      </c>
    </row>
    <row r="109" spans="1:3" x14ac:dyDescent="0.3">
      <c r="A109" s="11">
        <v>35765</v>
      </c>
      <c r="B109" s="91">
        <v>304.88</v>
      </c>
      <c r="C109" s="158">
        <v>3.4166666666666664E-3</v>
      </c>
    </row>
    <row r="110" spans="1:3" x14ac:dyDescent="0.3">
      <c r="A110" s="11">
        <v>35796</v>
      </c>
      <c r="B110" s="91">
        <v>847.56</v>
      </c>
      <c r="C110" s="158">
        <v>4.3083333333333333E-3</v>
      </c>
    </row>
    <row r="111" spans="1:3" x14ac:dyDescent="0.3">
      <c r="A111" s="11">
        <v>35827</v>
      </c>
      <c r="B111" s="91">
        <v>0</v>
      </c>
      <c r="C111" s="158">
        <v>4.3499999999999997E-3</v>
      </c>
    </row>
    <row r="112" spans="1:3" x14ac:dyDescent="0.3">
      <c r="A112" s="11">
        <v>35855</v>
      </c>
      <c r="B112" s="91">
        <v>0</v>
      </c>
      <c r="C112" s="158">
        <v>4.3E-3</v>
      </c>
    </row>
    <row r="113" spans="1:3" x14ac:dyDescent="0.3">
      <c r="A113" s="11">
        <v>35886</v>
      </c>
      <c r="B113" s="91">
        <v>102.24</v>
      </c>
      <c r="C113" s="158">
        <v>4.3E-3</v>
      </c>
    </row>
    <row r="114" spans="1:3" x14ac:dyDescent="0.3">
      <c r="A114" s="11">
        <v>35916</v>
      </c>
      <c r="B114" s="91">
        <v>53.26</v>
      </c>
      <c r="C114" s="158">
        <v>4.3499999999999997E-3</v>
      </c>
    </row>
    <row r="115" spans="1:3" x14ac:dyDescent="0.3">
      <c r="A115" s="11">
        <v>35947</v>
      </c>
      <c r="B115" s="91">
        <v>0</v>
      </c>
      <c r="C115" s="158">
        <v>4.3499999999999997E-3</v>
      </c>
    </row>
    <row r="116" spans="1:3" x14ac:dyDescent="0.3">
      <c r="A116" s="11">
        <v>35977</v>
      </c>
      <c r="B116" s="91">
        <v>116.91</v>
      </c>
      <c r="C116" s="158">
        <v>4.3499999999999997E-3</v>
      </c>
    </row>
    <row r="117" spans="1:3" x14ac:dyDescent="0.3">
      <c r="A117" s="11">
        <v>36008</v>
      </c>
      <c r="B117" s="91">
        <v>138.59</v>
      </c>
      <c r="C117" s="158">
        <v>4.3499999999999997E-3</v>
      </c>
    </row>
    <row r="118" spans="1:3" x14ac:dyDescent="0.3">
      <c r="A118" s="11">
        <v>36039</v>
      </c>
      <c r="B118" s="91">
        <v>61.72</v>
      </c>
      <c r="C118" s="158">
        <v>3.9666666666666661E-3</v>
      </c>
    </row>
    <row r="119" spans="1:3" x14ac:dyDescent="0.3">
      <c r="A119" s="11">
        <v>36069</v>
      </c>
      <c r="B119" s="91">
        <v>184.89</v>
      </c>
      <c r="C119" s="158">
        <v>3.5250000000000004E-3</v>
      </c>
    </row>
    <row r="120" spans="1:3" x14ac:dyDescent="0.3">
      <c r="A120" s="11">
        <v>36100</v>
      </c>
      <c r="B120" s="91">
        <v>141.36000000000001</v>
      </c>
      <c r="C120" s="158">
        <v>2.4583333333333336E-3</v>
      </c>
    </row>
    <row r="121" spans="1:3" x14ac:dyDescent="0.3">
      <c r="A121" s="11">
        <v>36130</v>
      </c>
      <c r="B121" s="91">
        <v>57.81</v>
      </c>
      <c r="C121" s="158">
        <v>1.4333333333333333E-3</v>
      </c>
    </row>
    <row r="122" spans="1:3" x14ac:dyDescent="0.3">
      <c r="A122" s="11">
        <v>36161</v>
      </c>
      <c r="B122" s="91">
        <v>143.87</v>
      </c>
      <c r="C122" s="158">
        <v>1.4166666666666668E-3</v>
      </c>
    </row>
    <row r="123" spans="1:3" x14ac:dyDescent="0.3">
      <c r="A123" s="11">
        <v>36192</v>
      </c>
      <c r="B123" s="91">
        <v>173.43</v>
      </c>
      <c r="C123" s="158">
        <v>1.4166666666666668E-3</v>
      </c>
    </row>
    <row r="124" spans="1:3" x14ac:dyDescent="0.3">
      <c r="A124" s="11">
        <v>36220</v>
      </c>
      <c r="B124" s="91">
        <v>191.15</v>
      </c>
      <c r="C124" s="158">
        <v>1.4E-3</v>
      </c>
    </row>
    <row r="125" spans="1:3" x14ac:dyDescent="0.3">
      <c r="A125" s="11">
        <v>36251</v>
      </c>
      <c r="B125" s="91">
        <v>201.93</v>
      </c>
      <c r="C125" s="158">
        <v>1.4E-3</v>
      </c>
    </row>
    <row r="126" spans="1:3" x14ac:dyDescent="0.3">
      <c r="A126" s="11">
        <v>36281</v>
      </c>
      <c r="B126" s="91">
        <v>212.74</v>
      </c>
      <c r="C126" s="158">
        <v>1.4E-3</v>
      </c>
    </row>
    <row r="127" spans="1:3" x14ac:dyDescent="0.3">
      <c r="A127" s="11">
        <v>36312</v>
      </c>
      <c r="B127" s="91">
        <v>120.11</v>
      </c>
      <c r="C127" s="158">
        <v>1.4E-3</v>
      </c>
    </row>
    <row r="128" spans="1:3" x14ac:dyDescent="0.3">
      <c r="A128" s="11">
        <v>36342</v>
      </c>
      <c r="B128" s="91">
        <v>171.16</v>
      </c>
      <c r="C128" s="158">
        <v>1.4E-3</v>
      </c>
    </row>
    <row r="129" spans="1:3" x14ac:dyDescent="0.3">
      <c r="A129" s="11">
        <v>36373</v>
      </c>
      <c r="B129" s="91">
        <v>118.76</v>
      </c>
      <c r="C129" s="158">
        <v>1.4E-3</v>
      </c>
    </row>
    <row r="130" spans="1:3" x14ac:dyDescent="0.3">
      <c r="A130" s="11">
        <v>36404</v>
      </c>
      <c r="B130" s="91">
        <v>181.39</v>
      </c>
      <c r="C130" s="158">
        <v>1.4E-3</v>
      </c>
    </row>
    <row r="131" spans="1:3" x14ac:dyDescent="0.3">
      <c r="A131" s="11">
        <v>36434</v>
      </c>
      <c r="B131" s="91">
        <v>167.65</v>
      </c>
      <c r="C131" s="158">
        <v>1.4E-3</v>
      </c>
    </row>
    <row r="132" spans="1:3" x14ac:dyDescent="0.3">
      <c r="A132" s="11">
        <v>36465</v>
      </c>
      <c r="B132" s="91">
        <v>173.05</v>
      </c>
      <c r="C132" s="158">
        <v>1.4E-3</v>
      </c>
    </row>
    <row r="133" spans="1:3" x14ac:dyDescent="0.3">
      <c r="A133" s="11">
        <v>36495</v>
      </c>
      <c r="B133" s="91">
        <v>409.74</v>
      </c>
      <c r="C133" s="158">
        <v>1.4E-3</v>
      </c>
    </row>
    <row r="134" spans="1:3" x14ac:dyDescent="0.3">
      <c r="A134" s="11">
        <v>36526</v>
      </c>
      <c r="B134" s="91">
        <v>0</v>
      </c>
      <c r="C134" s="158">
        <v>1.4E-3</v>
      </c>
    </row>
    <row r="135" spans="1:3" x14ac:dyDescent="0.3">
      <c r="A135" s="11">
        <v>36557</v>
      </c>
      <c r="B135" s="91">
        <v>106.07</v>
      </c>
      <c r="C135" s="158">
        <v>1.4333333333333333E-3</v>
      </c>
    </row>
    <row r="136" spans="1:3" x14ac:dyDescent="0.3">
      <c r="A136" s="11">
        <v>36586</v>
      </c>
      <c r="B136" s="91">
        <v>108.58</v>
      </c>
      <c r="C136" s="158">
        <v>1.4333333333333333E-3</v>
      </c>
    </row>
    <row r="137" spans="1:3" x14ac:dyDescent="0.3">
      <c r="A137" s="11">
        <v>36617</v>
      </c>
      <c r="B137" s="91">
        <v>123.38</v>
      </c>
      <c r="C137" s="158">
        <v>1.4333333333333333E-3</v>
      </c>
    </row>
    <row r="138" spans="1:3" x14ac:dyDescent="0.3">
      <c r="A138" s="11">
        <v>36647</v>
      </c>
      <c r="B138" s="91">
        <v>120.17</v>
      </c>
      <c r="C138" s="158">
        <v>1.4333333333333333E-3</v>
      </c>
    </row>
    <row r="139" spans="1:3" x14ac:dyDescent="0.3">
      <c r="A139" s="11">
        <v>36678</v>
      </c>
      <c r="B139" s="91">
        <v>191.66</v>
      </c>
      <c r="C139" s="158">
        <v>1.4333333333333333E-3</v>
      </c>
    </row>
    <row r="140" spans="1:3" x14ac:dyDescent="0.3">
      <c r="A140" s="11">
        <v>36708</v>
      </c>
      <c r="B140" s="91">
        <v>199.32</v>
      </c>
      <c r="C140" s="158">
        <v>1.4333333333333333E-3</v>
      </c>
    </row>
    <row r="141" spans="1:3" x14ac:dyDescent="0.3">
      <c r="A141" s="11">
        <v>36739</v>
      </c>
      <c r="B141" s="91">
        <v>104.88</v>
      </c>
      <c r="C141" s="158">
        <v>1.4333333333333333E-3</v>
      </c>
    </row>
    <row r="142" spans="1:3" x14ac:dyDescent="0.3">
      <c r="A142" s="11">
        <v>36770</v>
      </c>
      <c r="B142" s="91">
        <v>183.71</v>
      </c>
      <c r="C142" s="158">
        <v>1.4333333333333333E-3</v>
      </c>
    </row>
    <row r="143" spans="1:3" x14ac:dyDescent="0.3">
      <c r="A143" s="11">
        <v>36800</v>
      </c>
      <c r="B143" s="91">
        <v>129.82</v>
      </c>
      <c r="C143" s="158">
        <v>1.4166666666666668E-3</v>
      </c>
    </row>
    <row r="144" spans="1:3" x14ac:dyDescent="0.3">
      <c r="A144" s="11">
        <v>36831</v>
      </c>
      <c r="B144" s="91">
        <v>99.16</v>
      </c>
      <c r="C144" s="158">
        <v>1.4166666666666668E-3</v>
      </c>
    </row>
    <row r="145" spans="1:3" x14ac:dyDescent="0.3">
      <c r="A145" s="11">
        <v>36861</v>
      </c>
      <c r="B145" s="91">
        <v>198.05</v>
      </c>
      <c r="C145" s="158">
        <v>1.4166666666666668E-3</v>
      </c>
    </row>
    <row r="146" spans="1:3" x14ac:dyDescent="0.3">
      <c r="A146" s="11">
        <v>36892</v>
      </c>
      <c r="B146" s="91">
        <v>150.47</v>
      </c>
      <c r="C146" s="158">
        <v>1.4166666666666668E-3</v>
      </c>
    </row>
    <row r="147" spans="1:3" x14ac:dyDescent="0.3">
      <c r="A147" s="11">
        <v>36923</v>
      </c>
      <c r="B147" s="91">
        <v>53.51</v>
      </c>
      <c r="C147" s="158">
        <v>1.4166666666666668E-3</v>
      </c>
    </row>
    <row r="148" spans="1:3" x14ac:dyDescent="0.3">
      <c r="A148" s="11">
        <v>36951</v>
      </c>
      <c r="B148" s="91">
        <v>268.38</v>
      </c>
      <c r="C148" s="158">
        <v>1.4166666666666668E-3</v>
      </c>
    </row>
    <row r="149" spans="1:3" x14ac:dyDescent="0.3">
      <c r="A149" s="11">
        <v>36982</v>
      </c>
      <c r="B149" s="91">
        <v>158.34</v>
      </c>
      <c r="C149" s="158">
        <v>1.4166666666666668E-3</v>
      </c>
    </row>
    <row r="150" spans="1:3" x14ac:dyDescent="0.3">
      <c r="A150" s="11">
        <v>37012</v>
      </c>
      <c r="B150" s="91">
        <v>117.42</v>
      </c>
      <c r="C150" s="158">
        <v>1.4166666666666668E-3</v>
      </c>
    </row>
    <row r="151" spans="1:3" x14ac:dyDescent="0.3">
      <c r="A151" s="11">
        <v>37043</v>
      </c>
      <c r="B151" s="91">
        <v>198.79</v>
      </c>
      <c r="C151" s="158">
        <v>1.4166666666666668E-3</v>
      </c>
    </row>
    <row r="152" spans="1:3" x14ac:dyDescent="0.3">
      <c r="A152" s="11">
        <v>37073</v>
      </c>
      <c r="B152" s="91">
        <v>123.53</v>
      </c>
      <c r="C152" s="158">
        <v>1.4166666666666668E-3</v>
      </c>
    </row>
    <row r="153" spans="1:3" x14ac:dyDescent="0.3">
      <c r="A153" s="11">
        <v>37104</v>
      </c>
      <c r="B153" s="91">
        <v>112.45</v>
      </c>
      <c r="C153" s="158">
        <v>1.4166666666666668E-3</v>
      </c>
    </row>
    <row r="154" spans="1:3" x14ac:dyDescent="0.3">
      <c r="A154" s="11">
        <v>37135</v>
      </c>
      <c r="B154" s="91">
        <v>190.44</v>
      </c>
      <c r="C154" s="158">
        <v>1.1333333333333334E-3</v>
      </c>
    </row>
    <row r="155" spans="1:3" x14ac:dyDescent="0.3">
      <c r="A155" s="11">
        <v>37165</v>
      </c>
      <c r="B155" s="91">
        <v>186.85</v>
      </c>
      <c r="C155" s="158">
        <v>9.5833333333333328E-4</v>
      </c>
    </row>
    <row r="156" spans="1:3" x14ac:dyDescent="0.3">
      <c r="A156" s="11">
        <v>37196</v>
      </c>
      <c r="B156" s="91">
        <v>221.34</v>
      </c>
      <c r="C156" s="158">
        <v>9.2500000000000004E-4</v>
      </c>
    </row>
    <row r="157" spans="1:3" x14ac:dyDescent="0.3">
      <c r="A157" s="11">
        <v>37226</v>
      </c>
      <c r="B157" s="91">
        <v>214.6</v>
      </c>
      <c r="C157" s="158">
        <v>8.5000000000000006E-4</v>
      </c>
    </row>
    <row r="158" spans="1:3" x14ac:dyDescent="0.3">
      <c r="A158" s="11">
        <v>37257</v>
      </c>
      <c r="B158" s="91">
        <v>61.7</v>
      </c>
      <c r="C158" s="158">
        <v>8.3333333333333339E-4</v>
      </c>
    </row>
    <row r="159" spans="1:3" x14ac:dyDescent="0.3">
      <c r="A159" s="11">
        <v>37288</v>
      </c>
      <c r="B159" s="91">
        <v>110.49</v>
      </c>
      <c r="C159" s="158">
        <v>8.166666666666666E-4</v>
      </c>
    </row>
    <row r="160" spans="1:3" x14ac:dyDescent="0.3">
      <c r="A160" s="11">
        <v>37316</v>
      </c>
      <c r="B160" s="91">
        <v>330.29</v>
      </c>
      <c r="C160" s="158">
        <v>7.9166666666666665E-4</v>
      </c>
    </row>
    <row r="161" spans="1:3" x14ac:dyDescent="0.3">
      <c r="A161" s="11">
        <v>37347</v>
      </c>
      <c r="B161" s="91">
        <v>152.02000000000001</v>
      </c>
      <c r="C161" s="158">
        <v>7.9166666666666665E-4</v>
      </c>
    </row>
    <row r="162" spans="1:3" x14ac:dyDescent="0.3">
      <c r="A162" s="11">
        <v>37377</v>
      </c>
      <c r="B162" s="91">
        <v>175.69</v>
      </c>
      <c r="C162" s="158">
        <v>7.5833333333333341E-4</v>
      </c>
    </row>
    <row r="163" spans="1:3" x14ac:dyDescent="0.3">
      <c r="A163" s="11">
        <v>37408</v>
      </c>
      <c r="B163" s="91">
        <v>201.64</v>
      </c>
      <c r="C163" s="158">
        <v>7.5833333333333341E-4</v>
      </c>
    </row>
    <row r="164" spans="1:3" x14ac:dyDescent="0.3">
      <c r="A164" s="11">
        <v>37438</v>
      </c>
      <c r="B164" s="91">
        <v>119.59</v>
      </c>
      <c r="C164" s="158">
        <v>6.9166666666666671E-4</v>
      </c>
    </row>
    <row r="165" spans="1:3" x14ac:dyDescent="0.3">
      <c r="A165" s="11">
        <v>37469</v>
      </c>
      <c r="B165" s="91">
        <v>235.37</v>
      </c>
      <c r="C165" s="158">
        <v>6.5000000000000008E-4</v>
      </c>
    </row>
    <row r="166" spans="1:3" x14ac:dyDescent="0.3">
      <c r="A166" s="11">
        <v>37500</v>
      </c>
      <c r="B166" s="91">
        <v>173.32</v>
      </c>
      <c r="C166" s="158">
        <v>6.5000000000000008E-4</v>
      </c>
    </row>
    <row r="167" spans="1:3" x14ac:dyDescent="0.3">
      <c r="A167" s="11">
        <v>37530</v>
      </c>
      <c r="B167" s="91">
        <v>155.09</v>
      </c>
      <c r="C167" s="158">
        <v>6.5000000000000008E-4</v>
      </c>
    </row>
    <row r="168" spans="1:3" x14ac:dyDescent="0.3">
      <c r="A168" s="11">
        <v>37561</v>
      </c>
      <c r="B168" s="91">
        <v>240.7</v>
      </c>
      <c r="C168" s="158">
        <v>6.5000000000000008E-4</v>
      </c>
    </row>
    <row r="169" spans="1:3" x14ac:dyDescent="0.3">
      <c r="A169" s="11">
        <v>37591</v>
      </c>
      <c r="B169" s="91">
        <v>100.72</v>
      </c>
      <c r="C169" s="158">
        <v>6.5000000000000008E-4</v>
      </c>
    </row>
    <row r="170" spans="1:3" x14ac:dyDescent="0.3">
      <c r="A170" s="11">
        <v>37622</v>
      </c>
      <c r="B170" s="91">
        <v>271.01</v>
      </c>
      <c r="C170" s="158">
        <v>6.5000000000000008E-4</v>
      </c>
    </row>
    <row r="171" spans="1:3" x14ac:dyDescent="0.3">
      <c r="A171" s="11">
        <v>37653</v>
      </c>
      <c r="B171" s="91">
        <v>241.63</v>
      </c>
      <c r="C171" s="158">
        <v>6.0833333333333334E-4</v>
      </c>
    </row>
    <row r="172" spans="1:3" x14ac:dyDescent="0.3">
      <c r="A172" s="11">
        <v>37681</v>
      </c>
      <c r="B172" s="91">
        <v>69.28</v>
      </c>
      <c r="C172" s="158">
        <v>5.1666666666666668E-4</v>
      </c>
    </row>
    <row r="173" spans="1:3" x14ac:dyDescent="0.3">
      <c r="A173" s="11">
        <v>37712</v>
      </c>
      <c r="B173" s="91">
        <v>158.84</v>
      </c>
      <c r="C173" s="158">
        <v>5.1666666666666668E-4</v>
      </c>
    </row>
    <row r="174" spans="1:3" x14ac:dyDescent="0.3">
      <c r="A174" s="11">
        <v>37742</v>
      </c>
      <c r="B174" s="91">
        <v>187.68</v>
      </c>
      <c r="C174" s="158">
        <v>3.6666666666666667E-4</v>
      </c>
    </row>
    <row r="175" spans="1:3" x14ac:dyDescent="0.3">
      <c r="A175" s="11">
        <v>37773</v>
      </c>
      <c r="B175" s="91">
        <v>171.3</v>
      </c>
      <c r="C175" s="158">
        <v>3.5E-4</v>
      </c>
    </row>
    <row r="176" spans="1:3" x14ac:dyDescent="0.3">
      <c r="A176" s="11">
        <v>37803</v>
      </c>
      <c r="B176" s="91">
        <v>172.61</v>
      </c>
      <c r="C176" s="158">
        <v>3.5E-4</v>
      </c>
    </row>
    <row r="177" spans="1:3" x14ac:dyDescent="0.3">
      <c r="A177" s="11">
        <v>37834</v>
      </c>
      <c r="B177" s="91">
        <v>228.83</v>
      </c>
      <c r="C177" s="158">
        <v>3.3333333333333332E-4</v>
      </c>
    </row>
    <row r="178" spans="1:3" x14ac:dyDescent="0.3">
      <c r="A178" s="11">
        <v>37865</v>
      </c>
      <c r="B178" s="91">
        <v>157.80000000000001</v>
      </c>
      <c r="C178" s="158">
        <v>3.3333333333333332E-4</v>
      </c>
    </row>
    <row r="179" spans="1:3" x14ac:dyDescent="0.3">
      <c r="A179" s="11">
        <v>37895</v>
      </c>
      <c r="B179" s="91">
        <v>152.34</v>
      </c>
      <c r="C179" s="158">
        <v>3.3333333333333332E-4</v>
      </c>
    </row>
    <row r="180" spans="1:3" x14ac:dyDescent="0.3">
      <c r="A180" s="11">
        <v>37926</v>
      </c>
      <c r="B180" s="91">
        <v>175.43</v>
      </c>
      <c r="C180" s="158">
        <v>3.3333333333333332E-4</v>
      </c>
    </row>
    <row r="181" spans="1:3" x14ac:dyDescent="0.3">
      <c r="A181" s="11">
        <v>37956</v>
      </c>
      <c r="B181" s="91">
        <v>143.80000000000001</v>
      </c>
      <c r="C181" s="158">
        <v>3.3333333333333332E-4</v>
      </c>
    </row>
    <row r="182" spans="1:3" x14ac:dyDescent="0.3">
      <c r="A182" s="11">
        <v>37987</v>
      </c>
      <c r="B182" s="91">
        <v>152.31</v>
      </c>
      <c r="C182" s="158">
        <v>3.3333333333333332E-4</v>
      </c>
    </row>
    <row r="183" spans="1:3" x14ac:dyDescent="0.3">
      <c r="A183" s="11">
        <v>38018</v>
      </c>
      <c r="B183" s="91">
        <v>250.08</v>
      </c>
      <c r="C183" s="158">
        <v>3.3333333333333332E-4</v>
      </c>
    </row>
    <row r="184" spans="1:3" x14ac:dyDescent="0.3">
      <c r="A184" s="11">
        <v>38047</v>
      </c>
      <c r="B184" s="91">
        <v>220.81</v>
      </c>
      <c r="C184" s="158">
        <v>3.3333333333333332E-4</v>
      </c>
    </row>
    <row r="185" spans="1:3" x14ac:dyDescent="0.3">
      <c r="A185" s="11">
        <v>38078</v>
      </c>
      <c r="B185" s="91">
        <v>187.11</v>
      </c>
      <c r="C185" s="158">
        <v>3.3333333333333332E-4</v>
      </c>
    </row>
    <row r="186" spans="1:3" x14ac:dyDescent="0.3">
      <c r="A186" s="11">
        <v>38108</v>
      </c>
      <c r="B186" s="91">
        <v>254.33</v>
      </c>
      <c r="C186" s="158">
        <v>3.3333333333333332E-4</v>
      </c>
    </row>
    <row r="187" spans="1:3" x14ac:dyDescent="0.3">
      <c r="A187" s="11">
        <v>38139</v>
      </c>
      <c r="B187" s="91">
        <v>189.87</v>
      </c>
      <c r="C187" s="158">
        <v>3.3333333333333332E-4</v>
      </c>
    </row>
    <row r="188" spans="1:3" x14ac:dyDescent="0.3">
      <c r="A188" s="11">
        <v>38169</v>
      </c>
      <c r="B188" s="91">
        <v>313.51</v>
      </c>
      <c r="C188" s="158">
        <v>3.3333333333333332E-4</v>
      </c>
    </row>
    <row r="189" spans="1:3" x14ac:dyDescent="0.3">
      <c r="A189" s="11">
        <v>38200</v>
      </c>
      <c r="B189" s="91">
        <v>117.63</v>
      </c>
      <c r="C189" s="158">
        <v>3.3333333333333332E-4</v>
      </c>
    </row>
    <row r="190" spans="1:3" x14ac:dyDescent="0.3">
      <c r="A190" s="11">
        <v>38231</v>
      </c>
      <c r="B190" s="91">
        <v>151.26</v>
      </c>
      <c r="C190" s="158">
        <v>3.4166666666666661E-4</v>
      </c>
    </row>
    <row r="191" spans="1:3" x14ac:dyDescent="0.3">
      <c r="A191" s="11">
        <v>38261</v>
      </c>
      <c r="B191" s="91">
        <v>224.45</v>
      </c>
      <c r="C191" s="158">
        <v>3.4166666666666661E-4</v>
      </c>
    </row>
    <row r="192" spans="1:3" x14ac:dyDescent="0.3">
      <c r="A192" s="11">
        <v>38292</v>
      </c>
      <c r="B192" s="91">
        <v>192.04</v>
      </c>
      <c r="C192" s="158">
        <v>3.4166666666666661E-4</v>
      </c>
    </row>
    <row r="193" spans="1:3" x14ac:dyDescent="0.3">
      <c r="A193" s="11">
        <v>38322</v>
      </c>
      <c r="B193" s="91">
        <v>212.9</v>
      </c>
      <c r="C193" s="158">
        <v>3.4166666666666661E-4</v>
      </c>
    </row>
    <row r="194" spans="1:3" x14ac:dyDescent="0.3">
      <c r="A194" s="11">
        <v>38353</v>
      </c>
      <c r="B194" s="91">
        <v>249.85</v>
      </c>
      <c r="C194" s="158">
        <v>3.4166666666666661E-4</v>
      </c>
    </row>
    <row r="195" spans="1:3" x14ac:dyDescent="0.3">
      <c r="A195" s="11">
        <v>38384</v>
      </c>
      <c r="B195" s="91">
        <v>160.07</v>
      </c>
      <c r="C195" s="158">
        <v>3.4166666666666661E-4</v>
      </c>
    </row>
    <row r="196" spans="1:3" x14ac:dyDescent="0.3">
      <c r="A196" s="11">
        <v>38412</v>
      </c>
      <c r="B196" s="91">
        <v>211.29</v>
      </c>
      <c r="C196" s="158">
        <v>3.4166666666666661E-4</v>
      </c>
    </row>
    <row r="197" spans="1:3" x14ac:dyDescent="0.3">
      <c r="A197" s="11">
        <v>38443</v>
      </c>
      <c r="B197" s="91">
        <v>213.95</v>
      </c>
      <c r="C197" s="158">
        <v>3.5E-4</v>
      </c>
    </row>
    <row r="198" spans="1:3" x14ac:dyDescent="0.3">
      <c r="A198" s="11">
        <v>38473</v>
      </c>
      <c r="B198" s="91">
        <v>189.61</v>
      </c>
      <c r="C198" s="158">
        <v>3.5E-4</v>
      </c>
    </row>
    <row r="199" spans="1:3" x14ac:dyDescent="0.3">
      <c r="A199" s="11">
        <v>38504</v>
      </c>
      <c r="B199" s="91">
        <v>199.65</v>
      </c>
      <c r="C199" s="158">
        <v>3.5E-4</v>
      </c>
    </row>
    <row r="200" spans="1:3" x14ac:dyDescent="0.3">
      <c r="A200" s="11">
        <v>38534</v>
      </c>
      <c r="B200" s="91">
        <v>292.58</v>
      </c>
      <c r="C200" s="158">
        <v>3.5E-4</v>
      </c>
    </row>
    <row r="201" spans="1:3" x14ac:dyDescent="0.3">
      <c r="A201" s="11">
        <v>38565</v>
      </c>
      <c r="B201" s="91">
        <v>172.29</v>
      </c>
      <c r="C201" s="158">
        <v>3.5E-4</v>
      </c>
    </row>
    <row r="202" spans="1:3" x14ac:dyDescent="0.3">
      <c r="A202" s="11">
        <v>38596</v>
      </c>
      <c r="B202" s="91">
        <v>268.16000000000003</v>
      </c>
      <c r="C202" s="158">
        <v>3.5E-4</v>
      </c>
    </row>
    <row r="203" spans="1:3" x14ac:dyDescent="0.3">
      <c r="A203" s="11">
        <v>38626</v>
      </c>
      <c r="B203" s="91">
        <v>277</v>
      </c>
      <c r="C203" s="158">
        <v>3.7500000000000006E-4</v>
      </c>
    </row>
    <row r="204" spans="1:3" x14ac:dyDescent="0.3">
      <c r="A204" s="11">
        <v>38657</v>
      </c>
      <c r="B204" s="91">
        <v>150.57</v>
      </c>
      <c r="C204" s="158">
        <v>4.4166666666666665E-4</v>
      </c>
    </row>
    <row r="205" spans="1:3" x14ac:dyDescent="0.3">
      <c r="A205" s="11">
        <v>38687</v>
      </c>
      <c r="B205" s="91">
        <v>222.77</v>
      </c>
      <c r="C205" s="158">
        <v>4.6666666666666672E-4</v>
      </c>
    </row>
    <row r="206" spans="1:3" x14ac:dyDescent="0.3">
      <c r="A206" s="11">
        <v>38718</v>
      </c>
      <c r="B206" s="91">
        <v>304.37</v>
      </c>
      <c r="C206" s="158">
        <v>4.6666666666666672E-4</v>
      </c>
    </row>
    <row r="207" spans="1:3" x14ac:dyDescent="0.3">
      <c r="A207" s="11">
        <v>38749</v>
      </c>
      <c r="B207" s="91">
        <v>137.91</v>
      </c>
      <c r="C207" s="158">
        <v>4.7499999999999994E-4</v>
      </c>
    </row>
    <row r="208" spans="1:3" x14ac:dyDescent="0.3">
      <c r="A208" s="11">
        <v>38777</v>
      </c>
      <c r="B208" s="91">
        <v>160.15</v>
      </c>
      <c r="C208" s="158">
        <v>4.7499999999999994E-4</v>
      </c>
    </row>
    <row r="209" spans="1:3" x14ac:dyDescent="0.3">
      <c r="A209" s="11">
        <v>38808</v>
      </c>
      <c r="B209" s="91">
        <v>260.89</v>
      </c>
      <c r="C209" s="158">
        <v>4.7499999999999994E-4</v>
      </c>
    </row>
    <row r="210" spans="1:3" x14ac:dyDescent="0.3">
      <c r="A210" s="11">
        <v>38838</v>
      </c>
      <c r="B210" s="91">
        <v>159.41</v>
      </c>
      <c r="C210" s="158">
        <v>4.7499999999999994E-4</v>
      </c>
    </row>
    <row r="211" spans="1:3" x14ac:dyDescent="0.3">
      <c r="A211" s="11">
        <v>38869</v>
      </c>
      <c r="B211" s="91">
        <v>203.63</v>
      </c>
      <c r="C211" s="158">
        <v>4.7499999999999994E-4</v>
      </c>
    </row>
    <row r="212" spans="1:3" x14ac:dyDescent="0.3">
      <c r="A212" s="11">
        <v>38899</v>
      </c>
      <c r="B212" s="91">
        <v>207.15</v>
      </c>
      <c r="C212" s="158">
        <v>4.7499999999999994E-4</v>
      </c>
    </row>
    <row r="213" spans="1:3" x14ac:dyDescent="0.3">
      <c r="A213" s="11">
        <v>38930</v>
      </c>
      <c r="B213" s="91">
        <v>165.5</v>
      </c>
      <c r="C213" s="158">
        <v>4.8333333333333328E-4</v>
      </c>
    </row>
    <row r="214" spans="1:3" x14ac:dyDescent="0.3">
      <c r="A214" s="11">
        <v>38961</v>
      </c>
      <c r="B214" s="91">
        <v>369.33</v>
      </c>
      <c r="C214" s="158">
        <v>4.7499999999999994E-4</v>
      </c>
    </row>
    <row r="215" spans="1:3" x14ac:dyDescent="0.3">
      <c r="A215" s="11">
        <v>38991</v>
      </c>
      <c r="B215" s="91">
        <v>60.39</v>
      </c>
      <c r="C215" s="158">
        <v>4.7499999999999994E-4</v>
      </c>
    </row>
    <row r="216" spans="1:3" x14ac:dyDescent="0.3">
      <c r="A216" s="11">
        <v>39022</v>
      </c>
      <c r="B216" s="91">
        <v>252.62</v>
      </c>
      <c r="C216" s="158">
        <v>4.7499999999999994E-4</v>
      </c>
    </row>
    <row r="217" spans="1:3" x14ac:dyDescent="0.3">
      <c r="A217" s="11">
        <v>39052</v>
      </c>
      <c r="B217" s="91">
        <v>303.39999999999998</v>
      </c>
      <c r="C217" s="158">
        <v>4.7499999999999994E-4</v>
      </c>
    </row>
    <row r="218" spans="1:3" x14ac:dyDescent="0.3">
      <c r="A218" s="11">
        <v>39083</v>
      </c>
      <c r="B218" s="91">
        <v>126.1</v>
      </c>
      <c r="C218" s="158">
        <v>4.7499999999999994E-4</v>
      </c>
    </row>
    <row r="219" spans="1:3" x14ac:dyDescent="0.3">
      <c r="A219" s="11">
        <v>39114</v>
      </c>
      <c r="B219" s="91">
        <v>274.47000000000003</v>
      </c>
      <c r="C219" s="158">
        <v>4.7499999999999994E-4</v>
      </c>
    </row>
    <row r="220" spans="1:3" x14ac:dyDescent="0.3">
      <c r="A220" s="11">
        <v>39142</v>
      </c>
      <c r="B220" s="91">
        <v>277.83</v>
      </c>
      <c r="C220" s="158">
        <v>4.6666666666666672E-4</v>
      </c>
    </row>
    <row r="221" spans="1:3" x14ac:dyDescent="0.3">
      <c r="A221" s="11">
        <v>39173</v>
      </c>
      <c r="B221" s="91">
        <v>347.58</v>
      </c>
      <c r="C221" s="158">
        <v>4.4166666666666665E-4</v>
      </c>
    </row>
    <row r="222" spans="1:3" x14ac:dyDescent="0.3">
      <c r="A222" s="11">
        <v>39203</v>
      </c>
      <c r="B222" s="91">
        <v>296.04000000000002</v>
      </c>
      <c r="C222" s="158">
        <v>4.3333333333333331E-4</v>
      </c>
    </row>
    <row r="223" spans="1:3" x14ac:dyDescent="0.3">
      <c r="A223" s="11">
        <v>39234</v>
      </c>
      <c r="B223" s="91">
        <v>367.63</v>
      </c>
      <c r="C223" s="158">
        <v>4.2500000000000003E-4</v>
      </c>
    </row>
    <row r="224" spans="1:3" x14ac:dyDescent="0.3">
      <c r="A224" s="11">
        <v>39264</v>
      </c>
      <c r="B224" s="91">
        <v>188.38</v>
      </c>
      <c r="C224" s="158">
        <v>4.2500000000000003E-4</v>
      </c>
    </row>
    <row r="225" spans="1:3" x14ac:dyDescent="0.3">
      <c r="A225" s="11">
        <v>39295</v>
      </c>
      <c r="B225" s="91">
        <v>233.38</v>
      </c>
      <c r="C225" s="158">
        <v>4.3333333333333331E-4</v>
      </c>
    </row>
    <row r="226" spans="1:3" x14ac:dyDescent="0.3">
      <c r="A226" s="11">
        <v>39326</v>
      </c>
      <c r="B226" s="91">
        <v>345.85</v>
      </c>
      <c r="C226" s="158">
        <v>4.4166666666666665E-4</v>
      </c>
    </row>
    <row r="227" spans="1:3" x14ac:dyDescent="0.3">
      <c r="A227" s="11">
        <v>39356</v>
      </c>
      <c r="B227" s="91">
        <v>58.58</v>
      </c>
      <c r="C227" s="158">
        <v>4.2500000000000003E-4</v>
      </c>
    </row>
    <row r="228" spans="1:3" x14ac:dyDescent="0.3">
      <c r="A228" s="11">
        <v>39387</v>
      </c>
      <c r="B228" s="91">
        <v>327.61</v>
      </c>
      <c r="C228" s="158">
        <v>4.2500000000000003E-4</v>
      </c>
    </row>
    <row r="229" spans="1:3" x14ac:dyDescent="0.3">
      <c r="A229" s="11">
        <v>39417</v>
      </c>
      <c r="B229" s="91">
        <v>363.64</v>
      </c>
      <c r="C229" s="158">
        <v>4.2500000000000003E-4</v>
      </c>
    </row>
    <row r="230" spans="1:3" x14ac:dyDescent="0.3">
      <c r="A230" s="11">
        <v>39448</v>
      </c>
      <c r="B230" s="91">
        <v>265.7</v>
      </c>
      <c r="C230" s="158">
        <v>3.9999999999999996E-4</v>
      </c>
    </row>
    <row r="231" spans="1:3" x14ac:dyDescent="0.3">
      <c r="A231" s="11">
        <v>39479</v>
      </c>
      <c r="B231" s="91">
        <v>355.99</v>
      </c>
      <c r="C231" s="158">
        <v>3.8333333333333334E-4</v>
      </c>
    </row>
    <row r="232" spans="1:3" x14ac:dyDescent="0.3">
      <c r="A232" s="11">
        <v>39508</v>
      </c>
      <c r="B232" s="91">
        <v>398.48</v>
      </c>
      <c r="C232" s="158">
        <v>3.5E-4</v>
      </c>
    </row>
    <row r="233" spans="1:3" x14ac:dyDescent="0.3">
      <c r="A233" s="11">
        <v>39539</v>
      </c>
      <c r="B233" s="91">
        <v>166.54</v>
      </c>
      <c r="C233" s="158">
        <v>3.4166666666666661E-4</v>
      </c>
    </row>
    <row r="234" spans="1:3" x14ac:dyDescent="0.3">
      <c r="A234" s="11">
        <v>39569</v>
      </c>
      <c r="B234" s="91">
        <v>373.99</v>
      </c>
      <c r="C234" s="158">
        <v>3.5E-4</v>
      </c>
    </row>
    <row r="235" spans="1:3" x14ac:dyDescent="0.3">
      <c r="A235" s="11">
        <v>39600</v>
      </c>
      <c r="B235" s="91">
        <v>312.88</v>
      </c>
      <c r="C235" s="158">
        <v>3.4166666666666661E-4</v>
      </c>
    </row>
    <row r="236" spans="1:3" x14ac:dyDescent="0.3">
      <c r="A236" s="11">
        <v>39630</v>
      </c>
      <c r="B236" s="91">
        <v>296.35000000000002</v>
      </c>
      <c r="C236" s="158">
        <v>3.3333333333333332E-4</v>
      </c>
    </row>
    <row r="237" spans="1:3" x14ac:dyDescent="0.3">
      <c r="A237" s="11">
        <v>39661</v>
      </c>
      <c r="B237" s="91">
        <v>475.44</v>
      </c>
      <c r="C237" s="158">
        <v>3.2500000000000004E-4</v>
      </c>
    </row>
    <row r="238" spans="1:3" x14ac:dyDescent="0.3">
      <c r="A238" s="11">
        <v>39692</v>
      </c>
      <c r="B238" s="91">
        <v>378.47</v>
      </c>
      <c r="C238" s="158">
        <v>3.4166666666666661E-4</v>
      </c>
    </row>
    <row r="239" spans="1:3" x14ac:dyDescent="0.3">
      <c r="A239" s="11">
        <v>39722</v>
      </c>
      <c r="B239" s="91">
        <v>467.55</v>
      </c>
      <c r="C239" s="158">
        <v>3.5833333333333333E-4</v>
      </c>
    </row>
    <row r="240" spans="1:3" x14ac:dyDescent="0.3">
      <c r="A240" s="11">
        <v>39753</v>
      </c>
      <c r="B240" s="91">
        <v>396.86</v>
      </c>
      <c r="C240" s="158">
        <v>3.4166666666666661E-4</v>
      </c>
    </row>
    <row r="241" spans="1:3" x14ac:dyDescent="0.3">
      <c r="A241" s="11">
        <v>39783</v>
      </c>
      <c r="B241" s="91">
        <v>235.32</v>
      </c>
      <c r="C241" s="158">
        <v>3.2500000000000004E-4</v>
      </c>
    </row>
    <row r="242" spans="1:3" x14ac:dyDescent="0.3">
      <c r="A242" s="11">
        <v>39814</v>
      </c>
      <c r="B242" s="91">
        <v>337.32</v>
      </c>
      <c r="C242" s="158">
        <v>3.1666666666666665E-4</v>
      </c>
    </row>
    <row r="243" spans="1:3" x14ac:dyDescent="0.3">
      <c r="A243" s="11">
        <v>39845</v>
      </c>
      <c r="B243" s="91">
        <v>335.04</v>
      </c>
      <c r="C243" s="158">
        <v>3.0833333333333337E-4</v>
      </c>
    </row>
    <row r="244" spans="1:3" x14ac:dyDescent="0.3">
      <c r="A244" s="11">
        <v>39873</v>
      </c>
      <c r="B244" s="91">
        <v>266.11</v>
      </c>
      <c r="C244" s="158">
        <v>2.6666666666666668E-4</v>
      </c>
    </row>
    <row r="245" spans="1:3" x14ac:dyDescent="0.3">
      <c r="A245" s="11">
        <v>39904</v>
      </c>
      <c r="B245" s="91">
        <v>213.58</v>
      </c>
      <c r="C245" s="158">
        <v>2.6666666666666668E-4</v>
      </c>
    </row>
    <row r="246" spans="1:3" x14ac:dyDescent="0.3">
      <c r="A246" s="11">
        <v>39934</v>
      </c>
      <c r="B246" s="91">
        <v>301.63</v>
      </c>
      <c r="C246" s="158">
        <v>2.6666666666666668E-4</v>
      </c>
    </row>
    <row r="247" spans="1:3" x14ac:dyDescent="0.3">
      <c r="A247" s="11">
        <v>39965</v>
      </c>
      <c r="B247" s="91">
        <v>262.14</v>
      </c>
      <c r="C247" s="158">
        <v>2.2500000000000002E-4</v>
      </c>
    </row>
    <row r="248" spans="1:3" x14ac:dyDescent="0.3">
      <c r="A248" s="11">
        <v>39995</v>
      </c>
      <c r="B248" s="91">
        <v>310.87</v>
      </c>
      <c r="C248" s="158">
        <v>2.1666666666666666E-4</v>
      </c>
    </row>
    <row r="249" spans="1:3" x14ac:dyDescent="0.3">
      <c r="A249" s="11">
        <v>40026</v>
      </c>
      <c r="B249" s="91">
        <v>378.54</v>
      </c>
      <c r="C249" s="158">
        <v>2.1666666666666666E-4</v>
      </c>
    </row>
    <row r="250" spans="1:3" x14ac:dyDescent="0.3">
      <c r="A250" s="11">
        <v>40057</v>
      </c>
      <c r="B250" s="91">
        <v>242.13</v>
      </c>
      <c r="C250" s="158">
        <v>2.1666666666666666E-4</v>
      </c>
    </row>
    <row r="251" spans="1:3" x14ac:dyDescent="0.3">
      <c r="A251" s="11">
        <v>40087</v>
      </c>
      <c r="B251" s="91">
        <v>381.11</v>
      </c>
      <c r="C251" s="158">
        <v>2.0833333333333335E-4</v>
      </c>
    </row>
    <row r="252" spans="1:3" x14ac:dyDescent="0.3">
      <c r="A252" s="11">
        <v>40118</v>
      </c>
      <c r="B252" s="91">
        <v>320.45</v>
      </c>
      <c r="C252" s="158">
        <v>2.0833333333333335E-4</v>
      </c>
    </row>
    <row r="253" spans="1:3" x14ac:dyDescent="0.3">
      <c r="A253" s="11">
        <v>40148</v>
      </c>
      <c r="B253" s="91">
        <v>265.02999999999997</v>
      </c>
      <c r="C253" s="158">
        <v>2.0833333333333335E-4</v>
      </c>
    </row>
    <row r="254" spans="1:3" x14ac:dyDescent="0.3">
      <c r="A254" s="11">
        <v>40179</v>
      </c>
      <c r="B254" s="91">
        <v>400.26</v>
      </c>
      <c r="C254" s="158">
        <v>1.8333333333333334E-4</v>
      </c>
    </row>
    <row r="255" spans="1:3" x14ac:dyDescent="0.3">
      <c r="A255" s="11">
        <v>40210</v>
      </c>
      <c r="B255" s="91">
        <v>284.27</v>
      </c>
      <c r="C255" s="158">
        <v>1.8333333333333334E-4</v>
      </c>
    </row>
    <row r="256" spans="1:3" x14ac:dyDescent="0.3">
      <c r="A256" s="11">
        <v>40238</v>
      </c>
      <c r="B256" s="91">
        <v>472.05</v>
      </c>
      <c r="C256" s="158">
        <v>1.8333333333333334E-4</v>
      </c>
    </row>
    <row r="257" spans="1:3" x14ac:dyDescent="0.3">
      <c r="A257" s="11">
        <v>40269</v>
      </c>
      <c r="B257" s="91">
        <v>415.85</v>
      </c>
      <c r="C257" s="158">
        <v>1.8333333333333334E-4</v>
      </c>
    </row>
    <row r="258" spans="1:3" x14ac:dyDescent="0.3">
      <c r="A258" s="11">
        <v>40299</v>
      </c>
      <c r="B258" s="91">
        <v>436.99</v>
      </c>
      <c r="C258" s="158">
        <v>1.75E-4</v>
      </c>
    </row>
    <row r="259" spans="1:3" x14ac:dyDescent="0.3">
      <c r="A259" s="11">
        <v>40330</v>
      </c>
      <c r="B259" s="91">
        <v>288.32</v>
      </c>
      <c r="C259" s="158">
        <v>1.75E-4</v>
      </c>
    </row>
    <row r="260" spans="1:3" x14ac:dyDescent="0.3">
      <c r="A260" s="11">
        <v>40360</v>
      </c>
      <c r="B260" s="91">
        <v>432.67</v>
      </c>
      <c r="C260" s="158">
        <v>1.6666666666666666E-4</v>
      </c>
    </row>
    <row r="261" spans="1:3" x14ac:dyDescent="0.3">
      <c r="A261" s="11">
        <v>40391</v>
      </c>
      <c r="B261" s="91">
        <v>271.41000000000003</v>
      </c>
      <c r="C261" s="158">
        <v>1.6666666666666666E-4</v>
      </c>
    </row>
    <row r="262" spans="1:3" x14ac:dyDescent="0.3">
      <c r="A262" s="11">
        <v>40422</v>
      </c>
      <c r="B262" s="91">
        <v>369.21</v>
      </c>
      <c r="C262" s="158">
        <v>1.6666666666666666E-4</v>
      </c>
    </row>
    <row r="263" spans="1:3" x14ac:dyDescent="0.3">
      <c r="A263" s="11">
        <v>40452</v>
      </c>
      <c r="B263" s="91">
        <v>408.09</v>
      </c>
      <c r="C263" s="158">
        <v>1.5833333333333332E-4</v>
      </c>
    </row>
    <row r="264" spans="1:3" x14ac:dyDescent="0.3">
      <c r="A264" s="11">
        <v>40483</v>
      </c>
      <c r="B264" s="91">
        <v>270.69</v>
      </c>
      <c r="C264" s="158">
        <v>1.5833333333333332E-4</v>
      </c>
    </row>
    <row r="265" spans="1:3" x14ac:dyDescent="0.3">
      <c r="A265" s="11">
        <v>40513</v>
      </c>
      <c r="B265" s="91">
        <v>414.89</v>
      </c>
      <c r="C265" s="158">
        <v>1.5833333333333332E-4</v>
      </c>
    </row>
    <row r="266" spans="1:3" x14ac:dyDescent="0.3">
      <c r="A266" s="11">
        <v>40544</v>
      </c>
      <c r="B266" s="91">
        <v>403.7</v>
      </c>
      <c r="C266" s="158">
        <v>1.4999999999999999E-4</v>
      </c>
    </row>
    <row r="267" spans="1:3" x14ac:dyDescent="0.3">
      <c r="A267" s="11">
        <v>40575</v>
      </c>
      <c r="B267" s="91">
        <v>570.99</v>
      </c>
      <c r="C267" s="158">
        <v>1.4999999999999999E-4</v>
      </c>
    </row>
    <row r="268" spans="1:3" x14ac:dyDescent="0.3">
      <c r="A268" s="11">
        <v>40603</v>
      </c>
      <c r="B268" s="91">
        <v>145.47</v>
      </c>
      <c r="C268" s="158">
        <v>1.4999999999999999E-4</v>
      </c>
    </row>
    <row r="269" spans="1:3" x14ac:dyDescent="0.3">
      <c r="A269" s="11">
        <v>40634</v>
      </c>
      <c r="B269" s="91">
        <v>453.58</v>
      </c>
      <c r="C269" s="158">
        <v>1.4999999999999999E-4</v>
      </c>
    </row>
    <row r="270" spans="1:3" x14ac:dyDescent="0.3">
      <c r="A270" s="11">
        <v>40664</v>
      </c>
      <c r="B270" s="91">
        <v>301.37</v>
      </c>
      <c r="C270" s="158">
        <v>1.4999999999999999E-4</v>
      </c>
    </row>
    <row r="271" spans="1:3" x14ac:dyDescent="0.3">
      <c r="A271" s="11">
        <v>40695</v>
      </c>
      <c r="B271" s="91">
        <v>362.16</v>
      </c>
      <c r="C271" s="158">
        <v>1.4999999999999999E-4</v>
      </c>
    </row>
    <row r="272" spans="1:3" x14ac:dyDescent="0.3">
      <c r="A272" s="11">
        <v>40725</v>
      </c>
      <c r="B272" s="91">
        <v>464.28</v>
      </c>
      <c r="C272" s="158">
        <v>1.4999999999999999E-4</v>
      </c>
    </row>
    <row r="273" spans="1:3" x14ac:dyDescent="0.3">
      <c r="A273" s="11">
        <v>40756</v>
      </c>
      <c r="B273" s="91">
        <v>402.38</v>
      </c>
      <c r="C273" s="158">
        <v>1.4166666666666668E-4</v>
      </c>
    </row>
    <row r="274" spans="1:3" x14ac:dyDescent="0.3">
      <c r="A274" s="11">
        <v>40787</v>
      </c>
      <c r="B274" s="91">
        <v>428.65</v>
      </c>
      <c r="C274" s="158">
        <v>1.3333333333333334E-4</v>
      </c>
    </row>
    <row r="275" spans="1:3" x14ac:dyDescent="0.3">
      <c r="A275" s="11">
        <v>40817</v>
      </c>
      <c r="B275" s="91">
        <v>455.95</v>
      </c>
      <c r="C275" s="158">
        <v>1.25E-4</v>
      </c>
    </row>
    <row r="276" spans="1:3" x14ac:dyDescent="0.3">
      <c r="A276" s="11">
        <v>40848</v>
      </c>
      <c r="B276" s="91">
        <v>439.36</v>
      </c>
      <c r="C276" s="158">
        <v>1.1666666666666668E-4</v>
      </c>
    </row>
    <row r="277" spans="1:3" x14ac:dyDescent="0.3">
      <c r="A277" s="11">
        <v>40878</v>
      </c>
      <c r="B277" s="91">
        <v>536.89</v>
      </c>
      <c r="C277" s="158">
        <v>1.1666666666666668E-4</v>
      </c>
    </row>
    <row r="278" spans="1:3" x14ac:dyDescent="0.3">
      <c r="A278" s="11">
        <v>40909</v>
      </c>
      <c r="B278" s="91">
        <v>82.44</v>
      </c>
      <c r="C278" s="158">
        <v>1.0833333333333333E-4</v>
      </c>
    </row>
    <row r="279" spans="1:3" x14ac:dyDescent="0.3">
      <c r="A279" s="11">
        <v>40940</v>
      </c>
      <c r="B279" s="91">
        <v>551.84</v>
      </c>
      <c r="C279" s="158">
        <v>1.0833333333333333E-4</v>
      </c>
    </row>
    <row r="280" spans="1:3" x14ac:dyDescent="0.3">
      <c r="A280" s="11">
        <v>40969</v>
      </c>
      <c r="B280" s="91">
        <v>528.54999999999995</v>
      </c>
      <c r="C280" s="158">
        <v>1.0833333333333333E-4</v>
      </c>
    </row>
    <row r="281" spans="1:3" x14ac:dyDescent="0.3">
      <c r="A281" s="11">
        <v>41000</v>
      </c>
      <c r="B281" s="91">
        <v>228.43</v>
      </c>
      <c r="C281" s="158">
        <v>1.0833333333333333E-4</v>
      </c>
    </row>
    <row r="282" spans="1:3" x14ac:dyDescent="0.3">
      <c r="A282" s="11">
        <v>41030</v>
      </c>
      <c r="B282" s="91">
        <v>262.61</v>
      </c>
      <c r="C282" s="158">
        <v>1.0833333333333333E-4</v>
      </c>
    </row>
    <row r="283" spans="1:3" x14ac:dyDescent="0.3">
      <c r="A283" s="11">
        <v>41061</v>
      </c>
      <c r="B283" s="91">
        <v>618.89</v>
      </c>
      <c r="C283" s="158">
        <v>1.1666666666666668E-4</v>
      </c>
    </row>
    <row r="284" spans="1:3" x14ac:dyDescent="0.3">
      <c r="A284" s="11">
        <v>41091</v>
      </c>
      <c r="B284" s="91">
        <v>270.05</v>
      </c>
      <c r="C284" s="158">
        <v>1.1666666666666668E-4</v>
      </c>
    </row>
    <row r="285" spans="1:3" x14ac:dyDescent="0.3">
      <c r="A285" s="11">
        <v>41122</v>
      </c>
      <c r="B285" s="91">
        <v>354.84</v>
      </c>
      <c r="C285" s="158">
        <v>1.1666666666666668E-4</v>
      </c>
    </row>
    <row r="286" spans="1:3" x14ac:dyDescent="0.3">
      <c r="A286" s="11">
        <v>41153</v>
      </c>
      <c r="B286" s="91">
        <v>599.88</v>
      </c>
      <c r="C286" s="158">
        <v>1.1666666666666668E-4</v>
      </c>
    </row>
    <row r="287" spans="1:3" x14ac:dyDescent="0.3">
      <c r="A287" s="11">
        <v>41183</v>
      </c>
      <c r="B287" s="91">
        <v>278.7</v>
      </c>
      <c r="C287" s="158">
        <v>1.1666666666666668E-4</v>
      </c>
    </row>
    <row r="288" spans="1:3" x14ac:dyDescent="0.3">
      <c r="A288" s="11">
        <v>41214</v>
      </c>
      <c r="B288" s="91">
        <v>433.82</v>
      </c>
      <c r="C288" s="158">
        <v>1.1666666666666668E-4</v>
      </c>
    </row>
    <row r="289" spans="1:3" x14ac:dyDescent="0.3">
      <c r="A289" s="11">
        <v>41244</v>
      </c>
      <c r="B289" s="91">
        <v>517.47</v>
      </c>
      <c r="C289" s="158">
        <v>1.1666666666666668E-4</v>
      </c>
    </row>
    <row r="290" spans="1:3" x14ac:dyDescent="0.3">
      <c r="A290" s="11">
        <v>41275</v>
      </c>
      <c r="B290" s="91">
        <v>555.03</v>
      </c>
      <c r="C290" s="158">
        <v>1.1666666666666668E-4</v>
      </c>
    </row>
    <row r="291" spans="1:3" x14ac:dyDescent="0.3">
      <c r="A291" s="11">
        <v>41306</v>
      </c>
      <c r="B291" s="91">
        <v>372.15</v>
      </c>
      <c r="C291" s="158">
        <v>1.1666666666666668E-4</v>
      </c>
    </row>
    <row r="292" spans="1:3" x14ac:dyDescent="0.3">
      <c r="A292" s="11">
        <v>41334</v>
      </c>
      <c r="B292" s="91">
        <v>847.04</v>
      </c>
      <c r="C292" s="158">
        <v>1.1666666666666668E-4</v>
      </c>
    </row>
    <row r="293" spans="1:3" x14ac:dyDescent="0.3">
      <c r="A293" s="11">
        <v>41365</v>
      </c>
      <c r="B293" s="91">
        <v>245.38</v>
      </c>
      <c r="C293" s="158">
        <v>1.1666666666666668E-4</v>
      </c>
    </row>
    <row r="294" spans="1:3" x14ac:dyDescent="0.3">
      <c r="A294" s="11">
        <v>41395</v>
      </c>
      <c r="B294" s="91">
        <v>569.65</v>
      </c>
      <c r="C294" s="158">
        <v>1.1666666666666668E-4</v>
      </c>
    </row>
    <row r="295" spans="1:3" x14ac:dyDescent="0.3">
      <c r="A295" s="11">
        <v>41426</v>
      </c>
      <c r="B295" s="91">
        <v>588.34</v>
      </c>
      <c r="C295" s="158">
        <v>1.1666666666666668E-4</v>
      </c>
    </row>
    <row r="296" spans="1:3" x14ac:dyDescent="0.3">
      <c r="A296" s="11">
        <v>41456</v>
      </c>
      <c r="B296" s="91">
        <v>310.83</v>
      </c>
      <c r="C296" s="158">
        <v>1.1666666666666668E-4</v>
      </c>
    </row>
    <row r="297" spans="1:3" x14ac:dyDescent="0.3">
      <c r="A297" s="11">
        <v>41487</v>
      </c>
      <c r="B297" s="91">
        <v>486.34</v>
      </c>
      <c r="C297" s="158">
        <v>1.1666666666666668E-4</v>
      </c>
    </row>
    <row r="298" spans="1:3" x14ac:dyDescent="0.3">
      <c r="A298" s="11">
        <v>41518</v>
      </c>
      <c r="B298" s="91">
        <v>334.39</v>
      </c>
      <c r="C298" s="158">
        <v>1.1666666666666668E-4</v>
      </c>
    </row>
    <row r="299" spans="1:3" x14ac:dyDescent="0.3">
      <c r="A299" s="11">
        <v>41548</v>
      </c>
      <c r="B299" s="91">
        <v>396.93</v>
      </c>
      <c r="C299" s="158">
        <v>1.1666666666666668E-4</v>
      </c>
    </row>
    <row r="300" spans="1:3" x14ac:dyDescent="0.3">
      <c r="A300" s="11">
        <v>41579</v>
      </c>
      <c r="B300" s="91">
        <v>499.43</v>
      </c>
      <c r="C300" s="158">
        <v>1.1666666666666668E-4</v>
      </c>
    </row>
    <row r="301" spans="1:3" x14ac:dyDescent="0.3">
      <c r="A301" s="11">
        <v>41609</v>
      </c>
      <c r="B301" s="91">
        <v>441.5</v>
      </c>
      <c r="C301" s="158">
        <v>1.25E-4</v>
      </c>
    </row>
    <row r="302" spans="1:3" x14ac:dyDescent="0.3">
      <c r="A302" s="11">
        <v>41640</v>
      </c>
      <c r="B302" s="91">
        <v>439.27</v>
      </c>
      <c r="C302" s="158">
        <v>1.25E-4</v>
      </c>
    </row>
    <row r="303" spans="1:3" x14ac:dyDescent="0.3">
      <c r="A303" s="11">
        <v>41671</v>
      </c>
      <c r="B303" s="91">
        <v>871.03</v>
      </c>
      <c r="C303" s="158">
        <v>1.25E-4</v>
      </c>
    </row>
    <row r="304" spans="1:3" x14ac:dyDescent="0.3">
      <c r="A304" s="11">
        <v>41699</v>
      </c>
      <c r="B304" s="91">
        <v>299.86</v>
      </c>
      <c r="C304" s="158">
        <v>1.25E-4</v>
      </c>
    </row>
    <row r="305" spans="1:3" x14ac:dyDescent="0.3">
      <c r="A305" s="11">
        <v>41730</v>
      </c>
      <c r="B305" s="91">
        <v>355.47</v>
      </c>
      <c r="C305" s="158">
        <v>1.25E-4</v>
      </c>
    </row>
    <row r="306" spans="1:3" x14ac:dyDescent="0.3">
      <c r="A306" s="11">
        <v>41760</v>
      </c>
      <c r="B306" s="91">
        <v>620.75</v>
      </c>
      <c r="C306" s="158">
        <v>1.1666666666666668E-4</v>
      </c>
    </row>
    <row r="307" spans="1:3" x14ac:dyDescent="0.3">
      <c r="A307" s="11">
        <v>41791</v>
      </c>
      <c r="B307" s="91">
        <v>492.09</v>
      </c>
      <c r="C307" s="158">
        <v>1.1666666666666668E-4</v>
      </c>
    </row>
    <row r="308" spans="1:3" x14ac:dyDescent="0.3">
      <c r="A308" s="11">
        <v>41821</v>
      </c>
      <c r="B308" s="91">
        <v>538.23</v>
      </c>
      <c r="C308" s="158">
        <v>1.1666666666666668E-4</v>
      </c>
    </row>
    <row r="309" spans="1:3" x14ac:dyDescent="0.3">
      <c r="A309" s="11">
        <v>41852</v>
      </c>
      <c r="B309" s="91">
        <v>558.09</v>
      </c>
      <c r="C309" s="158">
        <v>1.1666666666666668E-4</v>
      </c>
    </row>
    <row r="310" spans="1:3" x14ac:dyDescent="0.3">
      <c r="A310" s="11">
        <v>41883</v>
      </c>
      <c r="B310" s="91">
        <v>445.58</v>
      </c>
      <c r="C310" s="158">
        <v>1.1666666666666668E-4</v>
      </c>
    </row>
    <row r="311" spans="1:3" x14ac:dyDescent="0.3">
      <c r="A311" s="11">
        <v>41913</v>
      </c>
      <c r="B311" s="91">
        <v>516.77</v>
      </c>
      <c r="C311" s="158">
        <v>1.1666666666666668E-4</v>
      </c>
    </row>
    <row r="312" spans="1:3" x14ac:dyDescent="0.3">
      <c r="A312" s="11">
        <v>41944</v>
      </c>
      <c r="B312" s="91">
        <v>526.62</v>
      </c>
      <c r="C312" s="158">
        <v>1.1666666666666668E-4</v>
      </c>
    </row>
    <row r="313" spans="1:3" x14ac:dyDescent="0.3">
      <c r="A313" s="11">
        <v>41974</v>
      </c>
      <c r="B313" s="91">
        <v>430.4</v>
      </c>
      <c r="C313" s="158">
        <v>1.25E-4</v>
      </c>
    </row>
    <row r="314" spans="1:3" x14ac:dyDescent="0.3">
      <c r="A314" s="11">
        <v>42005</v>
      </c>
      <c r="B314" s="91">
        <v>628.21</v>
      </c>
      <c r="C314" s="158">
        <v>1.3333333333333334E-4</v>
      </c>
    </row>
    <row r="315" spans="1:3" x14ac:dyDescent="0.3">
      <c r="A315" s="11">
        <v>42036</v>
      </c>
      <c r="B315" s="91">
        <v>628.75</v>
      </c>
      <c r="C315" s="158">
        <v>1.4166666666666668E-4</v>
      </c>
    </row>
    <row r="316" spans="1:3" x14ac:dyDescent="0.3">
      <c r="A316" s="11">
        <v>42064</v>
      </c>
      <c r="B316" s="91">
        <v>456.4</v>
      </c>
      <c r="C316" s="158">
        <v>1.4166666666666668E-4</v>
      </c>
    </row>
    <row r="317" spans="1:3" x14ac:dyDescent="0.3">
      <c r="A317" s="11">
        <v>42095</v>
      </c>
      <c r="B317" s="91">
        <v>561.87</v>
      </c>
      <c r="C317" s="158">
        <v>1.3333333333333334E-4</v>
      </c>
    </row>
    <row r="318" spans="1:3" x14ac:dyDescent="0.3">
      <c r="A318" s="11">
        <v>42125</v>
      </c>
      <c r="B318" s="91">
        <v>544.27</v>
      </c>
      <c r="C318" s="158">
        <v>1.3333333333333334E-4</v>
      </c>
    </row>
    <row r="319" spans="1:3" x14ac:dyDescent="0.3">
      <c r="A319" s="11">
        <v>42156</v>
      </c>
      <c r="B319" s="91">
        <v>355.59</v>
      </c>
      <c r="C319" s="158">
        <v>1.3333333333333334E-4</v>
      </c>
    </row>
    <row r="320" spans="1:3" x14ac:dyDescent="0.3">
      <c r="A320" s="11">
        <v>42186</v>
      </c>
      <c r="B320" s="91">
        <v>319.27</v>
      </c>
      <c r="C320" s="158">
        <v>1.4166666666666668E-4</v>
      </c>
    </row>
    <row r="321" spans="1:3" x14ac:dyDescent="0.3">
      <c r="A321" s="11">
        <v>42217</v>
      </c>
      <c r="B321" s="91">
        <v>874.69</v>
      </c>
      <c r="C321" s="158">
        <v>1.4999999999999999E-4</v>
      </c>
    </row>
    <row r="322" spans="1:3" x14ac:dyDescent="0.3">
      <c r="A322" s="11">
        <v>42248</v>
      </c>
      <c r="B322" s="91">
        <v>485.14</v>
      </c>
      <c r="C322" s="158">
        <v>1.4166666666666668E-4</v>
      </c>
    </row>
    <row r="323" spans="1:3" x14ac:dyDescent="0.3">
      <c r="A323" s="11">
        <v>42278</v>
      </c>
      <c r="B323" s="91">
        <v>396.27</v>
      </c>
      <c r="C323" s="158">
        <v>1.4166666666666668E-4</v>
      </c>
    </row>
    <row r="324" spans="1:3" x14ac:dyDescent="0.3">
      <c r="A324" s="11">
        <v>42309</v>
      </c>
      <c r="B324" s="91">
        <v>549.62</v>
      </c>
      <c r="C324" s="158">
        <v>1.4999999999999999E-4</v>
      </c>
    </row>
    <row r="325" spans="1:3" x14ac:dyDescent="0.3">
      <c r="A325" s="11">
        <v>42339</v>
      </c>
      <c r="B325" s="91">
        <v>571.28</v>
      </c>
      <c r="C325" s="158">
        <v>1.5833333333333332E-4</v>
      </c>
    </row>
    <row r="326" spans="1:3" x14ac:dyDescent="0.3">
      <c r="A326" s="11">
        <v>42370</v>
      </c>
      <c r="B326" s="91">
        <v>385.56</v>
      </c>
      <c r="C326" s="158">
        <v>1.5833333333333332E-4</v>
      </c>
    </row>
    <row r="327" spans="1:3" x14ac:dyDescent="0.3">
      <c r="A327" s="11">
        <v>42401</v>
      </c>
      <c r="B327" s="91">
        <v>657.64</v>
      </c>
      <c r="C327" s="158">
        <v>1.5833333333333332E-4</v>
      </c>
    </row>
    <row r="328" spans="1:3" x14ac:dyDescent="0.3">
      <c r="A328" s="11">
        <v>42430</v>
      </c>
      <c r="B328" s="91">
        <v>467.85</v>
      </c>
      <c r="C328" s="158">
        <v>1.5833333333333332E-4</v>
      </c>
    </row>
    <row r="329" spans="1:3" x14ac:dyDescent="0.3">
      <c r="A329" s="11">
        <v>42461</v>
      </c>
      <c r="B329" s="91">
        <v>696.16</v>
      </c>
      <c r="C329" s="158">
        <v>1.5833333333333332E-4</v>
      </c>
    </row>
    <row r="330" spans="1:3" x14ac:dyDescent="0.3">
      <c r="A330" s="11">
        <v>42491</v>
      </c>
      <c r="B330" s="91">
        <v>390.38</v>
      </c>
      <c r="C330" s="158">
        <v>1.5833333333333332E-4</v>
      </c>
    </row>
    <row r="331" spans="1:3" x14ac:dyDescent="0.3">
      <c r="A331" s="11">
        <v>42522</v>
      </c>
      <c r="B331" s="91">
        <v>428.3</v>
      </c>
      <c r="C331" s="158">
        <v>1.5833333333333332E-4</v>
      </c>
    </row>
    <row r="332" spans="1:3" x14ac:dyDescent="0.3">
      <c r="A332" s="11">
        <v>42552</v>
      </c>
      <c r="B332" s="91">
        <v>863.68</v>
      </c>
      <c r="C332" s="158">
        <v>1.5833333333333332E-4</v>
      </c>
    </row>
    <row r="333" spans="1:3" x14ac:dyDescent="0.3">
      <c r="A333" s="11">
        <v>42583</v>
      </c>
      <c r="B333" s="91">
        <v>693.12</v>
      </c>
      <c r="C333" s="158">
        <v>1.5833333333333332E-4</v>
      </c>
    </row>
    <row r="334" spans="1:3" x14ac:dyDescent="0.3">
      <c r="A334" s="11">
        <v>42614</v>
      </c>
      <c r="B334" s="91">
        <v>808.54</v>
      </c>
      <c r="C334" s="158">
        <v>1.5833333333333332E-4</v>
      </c>
    </row>
    <row r="335" spans="1:3" x14ac:dyDescent="0.3">
      <c r="A335" s="11">
        <v>42644</v>
      </c>
      <c r="B335" s="91">
        <v>1039.1500000000001</v>
      </c>
      <c r="C335" s="158">
        <v>1.5833333333333332E-4</v>
      </c>
    </row>
    <row r="336" spans="1:3" x14ac:dyDescent="0.3">
      <c r="A336" s="11">
        <v>42675</v>
      </c>
      <c r="B336" s="91">
        <v>638.94000000000005</v>
      </c>
      <c r="C336" s="158">
        <v>1.5833333333333332E-4</v>
      </c>
    </row>
    <row r="337" spans="1:3" x14ac:dyDescent="0.3">
      <c r="A337" s="11">
        <v>42705</v>
      </c>
      <c r="B337" s="91">
        <v>1032.96</v>
      </c>
      <c r="C337" s="158">
        <v>1.25E-4</v>
      </c>
    </row>
    <row r="338" spans="1:3" x14ac:dyDescent="0.3">
      <c r="A338" s="11">
        <v>42736</v>
      </c>
      <c r="B338" s="91">
        <v>493.61</v>
      </c>
      <c r="C338" s="158">
        <v>1.25E-4</v>
      </c>
    </row>
    <row r="339" spans="1:3" x14ac:dyDescent="0.3">
      <c r="A339" s="11">
        <v>42767</v>
      </c>
      <c r="B339" s="91">
        <v>414.95</v>
      </c>
      <c r="C339" s="158">
        <v>1.1666666666666668E-4</v>
      </c>
    </row>
    <row r="340" spans="1:3" x14ac:dyDescent="0.3">
      <c r="A340" s="11">
        <v>42795</v>
      </c>
      <c r="B340" s="91">
        <v>706.38</v>
      </c>
      <c r="C340" s="158">
        <v>1.1666666666666668E-4</v>
      </c>
    </row>
    <row r="341" spans="1:3" x14ac:dyDescent="0.3">
      <c r="A341" s="11">
        <v>42826</v>
      </c>
      <c r="B341" s="91">
        <v>692.65</v>
      </c>
      <c r="C341" s="158">
        <v>1.1666666666666668E-4</v>
      </c>
    </row>
    <row r="342" spans="1:3" x14ac:dyDescent="0.3">
      <c r="A342" s="11">
        <v>42856</v>
      </c>
      <c r="B342" s="91">
        <v>805.12</v>
      </c>
      <c r="C342" s="158">
        <v>1.1666666666666668E-4</v>
      </c>
    </row>
    <row r="343" spans="1:3" x14ac:dyDescent="0.3">
      <c r="A343" s="11">
        <v>42887</v>
      </c>
      <c r="B343" s="91">
        <v>810.81</v>
      </c>
      <c r="C343" s="158">
        <v>1.1666666666666668E-4</v>
      </c>
    </row>
    <row r="344" spans="1:3" x14ac:dyDescent="0.3">
      <c r="A344" s="11">
        <v>42917</v>
      </c>
      <c r="B344" s="91">
        <v>802.3</v>
      </c>
      <c r="C344" s="158">
        <v>1.1666666666666668E-4</v>
      </c>
    </row>
    <row r="345" spans="1:3" x14ac:dyDescent="0.3">
      <c r="A345" s="11">
        <v>42948</v>
      </c>
      <c r="B345" s="91">
        <v>687.01</v>
      </c>
      <c r="C345" s="158">
        <v>1.1666666666666668E-4</v>
      </c>
    </row>
    <row r="346" spans="1:3" x14ac:dyDescent="0.3">
      <c r="A346" s="11">
        <v>42979</v>
      </c>
      <c r="B346" s="91">
        <v>739.67</v>
      </c>
      <c r="C346" s="158">
        <v>1.1666666666666668E-4</v>
      </c>
    </row>
    <row r="347" spans="1:3" x14ac:dyDescent="0.3">
      <c r="A347" s="11">
        <v>43009</v>
      </c>
      <c r="B347" s="91">
        <v>754.71</v>
      </c>
      <c r="C347" s="158">
        <v>1.1666666666666668E-4</v>
      </c>
    </row>
    <row r="348" spans="1:3" x14ac:dyDescent="0.3">
      <c r="A348" s="11">
        <v>43040</v>
      </c>
      <c r="B348" s="91">
        <v>700.15</v>
      </c>
      <c r="C348" s="158">
        <v>1.1666666666666668E-4</v>
      </c>
    </row>
    <row r="349" spans="1:3" x14ac:dyDescent="0.3">
      <c r="A349" s="11">
        <v>43070</v>
      </c>
      <c r="B349" s="91">
        <v>698.22</v>
      </c>
      <c r="C349" s="158">
        <v>1.25E-4</v>
      </c>
    </row>
    <row r="350" spans="1:3" x14ac:dyDescent="0.3">
      <c r="A350" s="11">
        <v>43101</v>
      </c>
      <c r="B350" s="91">
        <v>784.05</v>
      </c>
      <c r="C350" s="158">
        <v>1.25E-4</v>
      </c>
    </row>
    <row r="351" spans="1:3" x14ac:dyDescent="0.3">
      <c r="A351" s="11">
        <v>43132</v>
      </c>
      <c r="B351" s="91">
        <v>0</v>
      </c>
      <c r="C351" s="158">
        <v>1.25E-4</v>
      </c>
    </row>
    <row r="352" spans="1:3" x14ac:dyDescent="0.3">
      <c r="A352" s="11">
        <v>43160</v>
      </c>
      <c r="B352" s="91">
        <v>1264.49</v>
      </c>
      <c r="C352" s="158">
        <v>1.25E-4</v>
      </c>
    </row>
    <row r="353" spans="1:3" x14ac:dyDescent="0.3">
      <c r="A353" s="11">
        <v>43191</v>
      </c>
      <c r="B353" s="91">
        <v>859.11</v>
      </c>
      <c r="C353" s="158">
        <v>1.25E-4</v>
      </c>
    </row>
    <row r="354" spans="1:3" x14ac:dyDescent="0.3">
      <c r="A354" s="11">
        <v>43221</v>
      </c>
      <c r="B354" s="91">
        <v>802.93</v>
      </c>
      <c r="C354" s="158">
        <v>1.25E-4</v>
      </c>
    </row>
    <row r="355" spans="1:3" x14ac:dyDescent="0.3">
      <c r="A355" s="11">
        <v>43252</v>
      </c>
      <c r="B355" s="91">
        <v>655.55</v>
      </c>
      <c r="C355" s="158">
        <v>1.3333333333333334E-4</v>
      </c>
    </row>
    <row r="356" spans="1:3" x14ac:dyDescent="0.3">
      <c r="A356" s="11">
        <v>43282</v>
      </c>
      <c r="B356" s="91">
        <v>654.17999999999995</v>
      </c>
      <c r="C356" s="158">
        <v>1.3333333333333334E-4</v>
      </c>
    </row>
    <row r="357" spans="1:3" x14ac:dyDescent="0.3">
      <c r="A357" s="11">
        <v>43313</v>
      </c>
      <c r="B357" s="91">
        <v>534.86</v>
      </c>
      <c r="C357" s="158">
        <v>1.3333333333333334E-4</v>
      </c>
    </row>
    <row r="358" spans="1:3" x14ac:dyDescent="0.3">
      <c r="A358" s="11">
        <v>43344</v>
      </c>
      <c r="B358" s="91">
        <v>705.28</v>
      </c>
      <c r="C358" s="158">
        <v>1.3333333333333334E-4</v>
      </c>
    </row>
    <row r="359" spans="1:3" x14ac:dyDescent="0.3">
      <c r="A359" s="11">
        <v>43374</v>
      </c>
      <c r="B359" s="91">
        <v>659.71</v>
      </c>
      <c r="C359" s="158">
        <v>1.4166666666666668E-4</v>
      </c>
    </row>
    <row r="360" spans="1:3" x14ac:dyDescent="0.3">
      <c r="A360" s="11">
        <v>43405</v>
      </c>
      <c r="B360" s="91">
        <v>592.04999999999995</v>
      </c>
      <c r="C360" s="158">
        <v>1.4166666666666668E-4</v>
      </c>
    </row>
    <row r="361" spans="1:3" x14ac:dyDescent="0.3">
      <c r="A361" s="11">
        <v>43435</v>
      </c>
      <c r="B361" s="91">
        <v>733.02</v>
      </c>
      <c r="C361" s="158">
        <v>1.4999999999999999E-4</v>
      </c>
    </row>
    <row r="362" spans="1:3" x14ac:dyDescent="0.3">
      <c r="A362" s="11">
        <v>43466</v>
      </c>
      <c r="B362" s="91">
        <v>342.49</v>
      </c>
      <c r="C362" s="158">
        <v>1.5833333333333332E-4</v>
      </c>
    </row>
    <row r="363" spans="1:3" x14ac:dyDescent="0.3">
      <c r="A363" s="11">
        <v>43497</v>
      </c>
      <c r="B363" s="91">
        <v>1187.6199999999999</v>
      </c>
      <c r="C363" s="158">
        <v>1.6666666666666666E-4</v>
      </c>
    </row>
    <row r="364" spans="1:3" x14ac:dyDescent="0.3">
      <c r="A364" s="11">
        <v>43525</v>
      </c>
      <c r="B364" s="91">
        <v>911.14</v>
      </c>
      <c r="C364" s="158">
        <v>1.6666666666666666E-4</v>
      </c>
    </row>
    <row r="365" spans="1:3" x14ac:dyDescent="0.3">
      <c r="A365" s="11">
        <v>43556</v>
      </c>
      <c r="B365" s="91">
        <v>487</v>
      </c>
      <c r="C365" s="158">
        <v>1.6666666666666666E-4</v>
      </c>
    </row>
    <row r="366" spans="1:3" x14ac:dyDescent="0.3">
      <c r="A366" s="11">
        <v>43586</v>
      </c>
      <c r="B366" s="91">
        <v>720.05</v>
      </c>
      <c r="C366" s="158">
        <v>1.6666666666666666E-4</v>
      </c>
    </row>
    <row r="367" spans="1:3" x14ac:dyDescent="0.3">
      <c r="A367" s="11">
        <v>43617</v>
      </c>
      <c r="B367" s="91">
        <v>729.02</v>
      </c>
      <c r="C367" s="158">
        <v>1.6666666666666666E-4</v>
      </c>
    </row>
    <row r="368" spans="1:3" x14ac:dyDescent="0.3">
      <c r="A368" s="11">
        <v>43647</v>
      </c>
      <c r="B368" s="91">
        <v>750.89</v>
      </c>
      <c r="C368" s="158">
        <v>1.6666666666666666E-4</v>
      </c>
    </row>
    <row r="369" spans="1:3" x14ac:dyDescent="0.3">
      <c r="A369" s="11">
        <v>43678</v>
      </c>
      <c r="B369" s="91">
        <v>904.82</v>
      </c>
      <c r="C369" s="158">
        <v>1.6666666666666666E-4</v>
      </c>
    </row>
    <row r="370" spans="1:3" x14ac:dyDescent="0.3">
      <c r="A370" s="11">
        <v>43709</v>
      </c>
      <c r="B370" s="91">
        <v>814.93</v>
      </c>
      <c r="C370" s="158">
        <v>1.6666666666666666E-4</v>
      </c>
    </row>
    <row r="371" spans="1:3" x14ac:dyDescent="0.3">
      <c r="A371" s="11">
        <v>43739</v>
      </c>
      <c r="B371" s="91">
        <v>638.04</v>
      </c>
      <c r="C371" s="158">
        <v>1.6666666666666666E-4</v>
      </c>
    </row>
    <row r="372" spans="1:3" x14ac:dyDescent="0.3">
      <c r="A372" s="11">
        <v>43770</v>
      </c>
      <c r="B372" s="91">
        <v>890.46</v>
      </c>
      <c r="C372" s="158">
        <v>1.6666666666666666E-4</v>
      </c>
    </row>
    <row r="373" spans="1:3" x14ac:dyDescent="0.3">
      <c r="A373" s="11">
        <v>43800</v>
      </c>
      <c r="B373" s="91">
        <v>799.65</v>
      </c>
      <c r="C373" s="158">
        <v>2.0833333333333335E-4</v>
      </c>
    </row>
    <row r="374" spans="1:3" x14ac:dyDescent="0.3">
      <c r="A374" s="11">
        <v>43831</v>
      </c>
      <c r="B374" s="91">
        <v>438.99</v>
      </c>
      <c r="C374" s="158">
        <v>2.0833333333333335E-4</v>
      </c>
    </row>
    <row r="375" spans="1:3" x14ac:dyDescent="0.3">
      <c r="A375" s="11">
        <v>43862</v>
      </c>
      <c r="B375" s="91">
        <v>1394.35</v>
      </c>
      <c r="C375" s="158">
        <v>1.9999999999999998E-4</v>
      </c>
    </row>
    <row r="376" spans="1:3" x14ac:dyDescent="0.3">
      <c r="A376" s="11">
        <v>43891</v>
      </c>
      <c r="B376" s="91">
        <v>915.83</v>
      </c>
      <c r="C376" s="158">
        <v>1.8333333333333334E-4</v>
      </c>
    </row>
    <row r="377" spans="1:3" x14ac:dyDescent="0.3">
      <c r="A377" s="11">
        <v>43922</v>
      </c>
      <c r="B377" s="91">
        <v>740.12</v>
      </c>
      <c r="C377" s="158">
        <v>1.6666666666666666E-4</v>
      </c>
    </row>
    <row r="378" spans="1:3" x14ac:dyDescent="0.3">
      <c r="A378" s="11">
        <v>43952</v>
      </c>
      <c r="B378" s="91">
        <v>859.44</v>
      </c>
      <c r="C378" s="158">
        <v>1.4999999999999999E-4</v>
      </c>
    </row>
    <row r="379" spans="1:3" x14ac:dyDescent="0.3">
      <c r="A379" s="11">
        <v>43983</v>
      </c>
      <c r="B379" s="91">
        <v>1052.04</v>
      </c>
      <c r="C379" s="158">
        <v>1.4999999999999999E-4</v>
      </c>
    </row>
    <row r="380" spans="1:3" x14ac:dyDescent="0.3">
      <c r="A380" s="11">
        <v>44013</v>
      </c>
      <c r="B380" s="91">
        <v>850.32</v>
      </c>
      <c r="C380" s="158">
        <v>1.25E-4</v>
      </c>
    </row>
    <row r="381" spans="1:3" x14ac:dyDescent="0.3">
      <c r="A381" s="11">
        <v>44044</v>
      </c>
      <c r="B381" s="91">
        <v>881.78</v>
      </c>
      <c r="C381" s="158">
        <v>1.1666666666666668E-4</v>
      </c>
    </row>
    <row r="382" spans="1:3" x14ac:dyDescent="0.3">
      <c r="A382" s="11">
        <v>44075</v>
      </c>
      <c r="B382" s="91">
        <v>836.14</v>
      </c>
      <c r="C382" s="158">
        <v>1.0833333333333333E-4</v>
      </c>
    </row>
    <row r="383" spans="1:3" x14ac:dyDescent="0.3">
      <c r="A383" s="11">
        <v>44105</v>
      </c>
      <c r="B383" s="91">
        <v>1091.01</v>
      </c>
      <c r="C383" s="158">
        <v>1.0833333333333333E-4</v>
      </c>
    </row>
    <row r="384" spans="1:3" x14ac:dyDescent="0.3">
      <c r="A384" s="11">
        <v>44136</v>
      </c>
      <c r="B384" s="91">
        <v>911.24</v>
      </c>
      <c r="C384" s="158">
        <v>1.0833333333333333E-4</v>
      </c>
    </row>
    <row r="385" spans="1:3" x14ac:dyDescent="0.3">
      <c r="A385" s="11">
        <v>44166</v>
      </c>
      <c r="B385" s="91">
        <v>741.56</v>
      </c>
      <c r="C385" s="158">
        <v>1.0833333333333333E-4</v>
      </c>
    </row>
    <row r="386" spans="1:3" x14ac:dyDescent="0.3">
      <c r="A386" s="11">
        <v>44197</v>
      </c>
      <c r="B386" s="91">
        <v>862.7</v>
      </c>
      <c r="C386" s="158">
        <v>9.9999999999999991E-5</v>
      </c>
    </row>
    <row r="387" spans="1:3" x14ac:dyDescent="0.3">
      <c r="A387" s="11">
        <v>44228</v>
      </c>
      <c r="B387" s="91">
        <v>60.85</v>
      </c>
      <c r="C387" s="158">
        <v>9.9999999999999991E-5</v>
      </c>
    </row>
    <row r="388" spans="1:3" x14ac:dyDescent="0.3">
      <c r="A388" s="11">
        <v>44256</v>
      </c>
      <c r="B388" s="91">
        <v>1465.62</v>
      </c>
      <c r="C388" s="158">
        <v>9.9999999999999991E-5</v>
      </c>
    </row>
    <row r="389" spans="1:3" x14ac:dyDescent="0.3">
      <c r="A389" s="11">
        <v>44287</v>
      </c>
      <c r="B389" s="91">
        <v>862.08</v>
      </c>
      <c r="C389" s="158">
        <v>9.9999999999999991E-5</v>
      </c>
    </row>
    <row r="390" spans="1:3" x14ac:dyDescent="0.3">
      <c r="A390" s="11">
        <v>44317</v>
      </c>
      <c r="B390" s="91">
        <v>814.89</v>
      </c>
      <c r="C390" s="158">
        <v>9.9999999999999991E-5</v>
      </c>
    </row>
    <row r="391" spans="1:3" x14ac:dyDescent="0.3">
      <c r="A391" s="11">
        <v>44348</v>
      </c>
      <c r="B391" s="91">
        <v>936.04</v>
      </c>
      <c r="C391" s="158">
        <v>1E-4</v>
      </c>
    </row>
    <row r="392" spans="1:3" x14ac:dyDescent="0.3">
      <c r="A392" s="11">
        <v>44378</v>
      </c>
      <c r="B392" s="91">
        <v>730.02</v>
      </c>
      <c r="C392" s="158">
        <v>1E-4</v>
      </c>
    </row>
    <row r="393" spans="1:3" x14ac:dyDescent="0.3">
      <c r="A393" s="11">
        <v>44409</v>
      </c>
      <c r="B393" s="91">
        <v>794.05</v>
      </c>
      <c r="C393" s="158">
        <v>1E-4</v>
      </c>
    </row>
    <row r="394" spans="1:3" x14ac:dyDescent="0.3">
      <c r="A394" s="11">
        <v>44440</v>
      </c>
      <c r="B394" s="91">
        <v>779.33</v>
      </c>
      <c r="C394" s="158">
        <v>1E-4</v>
      </c>
    </row>
    <row r="395" spans="1:3" x14ac:dyDescent="0.3">
      <c r="A395" s="11">
        <v>44470</v>
      </c>
      <c r="B395" s="91">
        <v>891.79</v>
      </c>
      <c r="C395" s="158">
        <v>1E-4</v>
      </c>
    </row>
    <row r="396" spans="1:3" x14ac:dyDescent="0.3">
      <c r="A396" s="11">
        <v>44501</v>
      </c>
      <c r="B396" s="91">
        <v>818.14</v>
      </c>
      <c r="C396" s="158">
        <v>1E-4</v>
      </c>
    </row>
    <row r="397" spans="1:3" x14ac:dyDescent="0.3">
      <c r="A397" s="11">
        <v>44531</v>
      </c>
      <c r="B397" s="91">
        <v>950.75</v>
      </c>
      <c r="C397" s="158">
        <v>1E-4</v>
      </c>
    </row>
    <row r="398" spans="1:3" x14ac:dyDescent="0.3">
      <c r="A398" s="11">
        <v>44562</v>
      </c>
      <c r="B398" s="99">
        <f>_xlfn.FORECAST.ETS(A398, B$2:B$397,A$2:A$397, 1)</f>
        <v>879.52982791347301</v>
      </c>
      <c r="C398" s="158">
        <v>1E-4</v>
      </c>
    </row>
    <row r="399" spans="1:3" x14ac:dyDescent="0.3">
      <c r="A399" s="11">
        <v>44593</v>
      </c>
      <c r="B399" s="99">
        <f t="shared" ref="B399:B462" si="0">_xlfn.FORECAST.ETS(A399, B$2:B$397,A$2:A$397, 1)</f>
        <v>882.8357256825077</v>
      </c>
      <c r="C399" s="158">
        <v>1E-4</v>
      </c>
    </row>
    <row r="400" spans="1:3" x14ac:dyDescent="0.3">
      <c r="A400" s="11">
        <v>44621</v>
      </c>
      <c r="B400" s="99">
        <f t="shared" si="0"/>
        <v>886.1416234515425</v>
      </c>
      <c r="C400" s="158">
        <v>1E-4</v>
      </c>
    </row>
    <row r="401" spans="1:3" x14ac:dyDescent="0.3">
      <c r="A401" s="11">
        <v>44652</v>
      </c>
      <c r="B401" s="99">
        <f t="shared" si="0"/>
        <v>889.44752122057719</v>
      </c>
      <c r="C401" s="158">
        <v>1E-4</v>
      </c>
    </row>
    <row r="402" spans="1:3" x14ac:dyDescent="0.3">
      <c r="A402" s="11">
        <v>44682</v>
      </c>
      <c r="B402" s="99">
        <f t="shared" si="0"/>
        <v>892.75341898961199</v>
      </c>
      <c r="C402" s="158">
        <v>1E-4</v>
      </c>
    </row>
    <row r="403" spans="1:3" x14ac:dyDescent="0.3">
      <c r="A403" s="11">
        <v>44713</v>
      </c>
      <c r="B403" s="99">
        <f t="shared" si="0"/>
        <v>896.05931675864667</v>
      </c>
      <c r="C403" s="158">
        <v>1E-4</v>
      </c>
    </row>
    <row r="404" spans="1:3" x14ac:dyDescent="0.3">
      <c r="A404" s="11">
        <v>44743</v>
      </c>
      <c r="B404" s="99">
        <f t="shared" si="0"/>
        <v>899.36521452768147</v>
      </c>
      <c r="C404" s="158">
        <v>1E-4</v>
      </c>
    </row>
    <row r="405" spans="1:3" x14ac:dyDescent="0.3">
      <c r="A405" s="11">
        <v>44774</v>
      </c>
      <c r="B405" s="99">
        <f t="shared" si="0"/>
        <v>902.67111229671616</v>
      </c>
      <c r="C405" s="158">
        <v>1E-4</v>
      </c>
    </row>
    <row r="406" spans="1:3" x14ac:dyDescent="0.3">
      <c r="A406" s="11">
        <v>44805</v>
      </c>
      <c r="B406" s="99">
        <f t="shared" si="0"/>
        <v>905.97701006575096</v>
      </c>
      <c r="C406" s="158">
        <v>1E-4</v>
      </c>
    </row>
    <row r="407" spans="1:3" x14ac:dyDescent="0.3">
      <c r="A407" s="11">
        <v>44835</v>
      </c>
      <c r="B407" s="99">
        <f t="shared" si="0"/>
        <v>909.28290783478565</v>
      </c>
      <c r="C407" s="158">
        <v>1E-4</v>
      </c>
    </row>
    <row r="408" spans="1:3" x14ac:dyDescent="0.3">
      <c r="A408" s="11">
        <v>44866</v>
      </c>
      <c r="B408" s="99">
        <f t="shared" si="0"/>
        <v>912.58880560382045</v>
      </c>
      <c r="C408" s="158">
        <v>1E-4</v>
      </c>
    </row>
    <row r="409" spans="1:3" x14ac:dyDescent="0.3">
      <c r="A409" s="11">
        <v>44896</v>
      </c>
      <c r="B409" s="99">
        <f t="shared" si="0"/>
        <v>915.89470337285525</v>
      </c>
      <c r="C409" s="158">
        <v>1E-4</v>
      </c>
    </row>
    <row r="410" spans="1:3" x14ac:dyDescent="0.3">
      <c r="A410" s="11">
        <v>44927</v>
      </c>
      <c r="B410" s="99">
        <f t="shared" si="0"/>
        <v>919.20060114188993</v>
      </c>
      <c r="C410" s="158">
        <v>1E-4</v>
      </c>
    </row>
    <row r="411" spans="1:3" x14ac:dyDescent="0.3">
      <c r="A411" s="11">
        <v>44958</v>
      </c>
      <c r="B411" s="99">
        <f t="shared" si="0"/>
        <v>922.50649891092473</v>
      </c>
      <c r="C411" s="158">
        <v>1E-4</v>
      </c>
    </row>
    <row r="412" spans="1:3" x14ac:dyDescent="0.3">
      <c r="A412" s="11">
        <v>44986</v>
      </c>
      <c r="B412" s="99">
        <f t="shared" si="0"/>
        <v>925.81239667995942</v>
      </c>
      <c r="C412" s="158">
        <v>1E-4</v>
      </c>
    </row>
    <row r="413" spans="1:3" x14ac:dyDescent="0.3">
      <c r="A413" s="11">
        <v>45017</v>
      </c>
      <c r="B413" s="99">
        <f t="shared" si="0"/>
        <v>929.11829444899422</v>
      </c>
      <c r="C413" s="158">
        <v>1E-4</v>
      </c>
    </row>
    <row r="414" spans="1:3" x14ac:dyDescent="0.3">
      <c r="A414" s="11">
        <v>45047</v>
      </c>
      <c r="B414" s="99">
        <f t="shared" si="0"/>
        <v>932.42419221802891</v>
      </c>
      <c r="C414" s="158">
        <v>1E-4</v>
      </c>
    </row>
    <row r="415" spans="1:3" x14ac:dyDescent="0.3">
      <c r="A415" s="11">
        <v>45078</v>
      </c>
      <c r="B415" s="99">
        <f t="shared" si="0"/>
        <v>935.73008998706371</v>
      </c>
      <c r="C415" s="158">
        <v>1E-4</v>
      </c>
    </row>
    <row r="416" spans="1:3" x14ac:dyDescent="0.3">
      <c r="A416" s="11">
        <v>45108</v>
      </c>
      <c r="B416" s="99">
        <f t="shared" si="0"/>
        <v>939.03598775609839</v>
      </c>
      <c r="C416" s="158">
        <v>1E-4</v>
      </c>
    </row>
    <row r="417" spans="1:3" x14ac:dyDescent="0.3">
      <c r="A417" s="11">
        <v>45139</v>
      </c>
      <c r="B417" s="99">
        <f t="shared" si="0"/>
        <v>942.34188552513319</v>
      </c>
      <c r="C417" s="158">
        <v>1E-4</v>
      </c>
    </row>
    <row r="418" spans="1:3" x14ac:dyDescent="0.3">
      <c r="A418" s="11">
        <v>45170</v>
      </c>
      <c r="B418" s="99">
        <f t="shared" si="0"/>
        <v>945.64778329416788</v>
      </c>
      <c r="C418" s="158">
        <v>1E-4</v>
      </c>
    </row>
    <row r="419" spans="1:3" x14ac:dyDescent="0.3">
      <c r="A419" s="11">
        <v>45200</v>
      </c>
      <c r="B419" s="99">
        <f t="shared" si="0"/>
        <v>948.95368106320268</v>
      </c>
      <c r="C419" s="158">
        <v>1E-4</v>
      </c>
    </row>
    <row r="420" spans="1:3" x14ac:dyDescent="0.3">
      <c r="A420" s="11">
        <v>45231</v>
      </c>
      <c r="B420" s="99">
        <f t="shared" si="0"/>
        <v>952.25957883223737</v>
      </c>
      <c r="C420" s="158">
        <v>1E-4</v>
      </c>
    </row>
    <row r="421" spans="1:3" x14ac:dyDescent="0.3">
      <c r="A421" s="11">
        <v>45261</v>
      </c>
      <c r="B421" s="99">
        <f t="shared" si="0"/>
        <v>955.56547660127217</v>
      </c>
      <c r="C421" s="158">
        <v>1E-4</v>
      </c>
    </row>
    <row r="422" spans="1:3" x14ac:dyDescent="0.3">
      <c r="A422" s="11">
        <v>45292</v>
      </c>
      <c r="B422" s="99">
        <f t="shared" si="0"/>
        <v>958.87137437030697</v>
      </c>
      <c r="C422" s="158">
        <v>1E-4</v>
      </c>
    </row>
    <row r="423" spans="1:3" x14ac:dyDescent="0.3">
      <c r="A423" s="11">
        <v>45323</v>
      </c>
      <c r="B423" s="99">
        <f t="shared" si="0"/>
        <v>962.17727213934165</v>
      </c>
      <c r="C423" s="158">
        <v>1E-4</v>
      </c>
    </row>
    <row r="424" spans="1:3" x14ac:dyDescent="0.3">
      <c r="A424" s="11">
        <v>45352</v>
      </c>
      <c r="B424" s="99">
        <f t="shared" si="0"/>
        <v>965.48316990837634</v>
      </c>
      <c r="C424" s="158">
        <v>1E-4</v>
      </c>
    </row>
    <row r="425" spans="1:3" x14ac:dyDescent="0.3">
      <c r="A425" s="11">
        <v>45383</v>
      </c>
      <c r="B425" s="99">
        <f t="shared" si="0"/>
        <v>968.78906767741114</v>
      </c>
      <c r="C425" s="158">
        <v>1E-4</v>
      </c>
    </row>
    <row r="426" spans="1:3" x14ac:dyDescent="0.3">
      <c r="A426" s="11">
        <v>45413</v>
      </c>
      <c r="B426" s="99">
        <f t="shared" si="0"/>
        <v>972.09496544644594</v>
      </c>
      <c r="C426" s="158">
        <v>1E-4</v>
      </c>
    </row>
    <row r="427" spans="1:3" x14ac:dyDescent="0.3">
      <c r="A427" s="11">
        <v>45444</v>
      </c>
      <c r="B427" s="99">
        <f t="shared" si="0"/>
        <v>975.40086321548063</v>
      </c>
      <c r="C427" s="158">
        <v>1E-4</v>
      </c>
    </row>
    <row r="428" spans="1:3" x14ac:dyDescent="0.3">
      <c r="A428" s="11">
        <v>45474</v>
      </c>
      <c r="B428" s="99">
        <f t="shared" si="0"/>
        <v>978.70676098451543</v>
      </c>
      <c r="C428" s="158">
        <v>1E-4</v>
      </c>
    </row>
    <row r="429" spans="1:3" x14ac:dyDescent="0.3">
      <c r="A429" s="11">
        <v>45505</v>
      </c>
      <c r="B429" s="99">
        <f t="shared" si="0"/>
        <v>982.01265875355011</v>
      </c>
      <c r="C429" s="158">
        <v>1E-4</v>
      </c>
    </row>
    <row r="430" spans="1:3" x14ac:dyDescent="0.3">
      <c r="A430" s="11">
        <v>45536</v>
      </c>
      <c r="B430" s="99">
        <f t="shared" si="0"/>
        <v>985.31855652258491</v>
      </c>
      <c r="C430" s="158">
        <v>1E-4</v>
      </c>
    </row>
    <row r="431" spans="1:3" x14ac:dyDescent="0.3">
      <c r="A431" s="11">
        <v>45566</v>
      </c>
      <c r="B431" s="99">
        <f t="shared" si="0"/>
        <v>988.6244542916196</v>
      </c>
      <c r="C431" s="158">
        <v>1E-4</v>
      </c>
    </row>
    <row r="432" spans="1:3" x14ac:dyDescent="0.3">
      <c r="A432" s="11">
        <v>45597</v>
      </c>
      <c r="B432" s="99">
        <f t="shared" si="0"/>
        <v>991.9303520606544</v>
      </c>
      <c r="C432" s="158">
        <v>1E-4</v>
      </c>
    </row>
    <row r="433" spans="1:3" x14ac:dyDescent="0.3">
      <c r="A433" s="11">
        <v>45627</v>
      </c>
      <c r="B433" s="99">
        <f t="shared" si="0"/>
        <v>995.23624982968909</v>
      </c>
      <c r="C433" s="158">
        <v>1E-4</v>
      </c>
    </row>
    <row r="434" spans="1:3" x14ac:dyDescent="0.3">
      <c r="A434" s="11">
        <v>45658</v>
      </c>
      <c r="B434" s="99">
        <f t="shared" si="0"/>
        <v>998.54214759872389</v>
      </c>
      <c r="C434" s="158">
        <v>1E-4</v>
      </c>
    </row>
    <row r="435" spans="1:3" x14ac:dyDescent="0.3">
      <c r="A435" s="11">
        <v>45689</v>
      </c>
      <c r="B435" s="99">
        <f t="shared" si="0"/>
        <v>1001.8480453677587</v>
      </c>
      <c r="C435" s="158">
        <v>1E-4</v>
      </c>
    </row>
    <row r="436" spans="1:3" x14ac:dyDescent="0.3">
      <c r="A436" s="11">
        <v>45717</v>
      </c>
      <c r="B436" s="99">
        <f t="shared" si="0"/>
        <v>1005.1539431367934</v>
      </c>
      <c r="C436" s="158">
        <v>1E-4</v>
      </c>
    </row>
    <row r="437" spans="1:3" x14ac:dyDescent="0.3">
      <c r="A437" s="11">
        <v>45748</v>
      </c>
      <c r="B437" s="99">
        <f t="shared" si="0"/>
        <v>1008.4598409058281</v>
      </c>
      <c r="C437" s="158">
        <v>1E-4</v>
      </c>
    </row>
    <row r="438" spans="1:3" x14ac:dyDescent="0.3">
      <c r="A438" s="11">
        <v>45778</v>
      </c>
      <c r="B438" s="99">
        <f t="shared" si="0"/>
        <v>1011.7657386748629</v>
      </c>
      <c r="C438" s="158">
        <v>1E-4</v>
      </c>
    </row>
    <row r="439" spans="1:3" x14ac:dyDescent="0.3">
      <c r="A439" s="11">
        <v>45809</v>
      </c>
      <c r="B439" s="99">
        <f t="shared" si="0"/>
        <v>1015.0716364438977</v>
      </c>
      <c r="C439" s="158">
        <v>1E-4</v>
      </c>
    </row>
    <row r="440" spans="1:3" x14ac:dyDescent="0.3">
      <c r="A440" s="11">
        <v>45839</v>
      </c>
      <c r="B440" s="99">
        <f t="shared" si="0"/>
        <v>1018.3775342129323</v>
      </c>
      <c r="C440" s="158">
        <v>1E-4</v>
      </c>
    </row>
    <row r="441" spans="1:3" x14ac:dyDescent="0.3">
      <c r="A441" s="11">
        <v>45870</v>
      </c>
      <c r="B441" s="99">
        <f t="shared" si="0"/>
        <v>1021.6834319819671</v>
      </c>
      <c r="C441" s="158">
        <v>1E-4</v>
      </c>
    </row>
    <row r="442" spans="1:3" x14ac:dyDescent="0.3">
      <c r="A442" s="11">
        <v>45901</v>
      </c>
      <c r="B442" s="99">
        <f t="shared" si="0"/>
        <v>1024.9893297510018</v>
      </c>
      <c r="C442" s="158">
        <v>1E-4</v>
      </c>
    </row>
    <row r="443" spans="1:3" x14ac:dyDescent="0.3">
      <c r="A443" s="11">
        <v>45931</v>
      </c>
      <c r="B443" s="99">
        <f t="shared" si="0"/>
        <v>1028.2952275200366</v>
      </c>
      <c r="C443" s="158">
        <v>1E-4</v>
      </c>
    </row>
    <row r="444" spans="1:3" x14ac:dyDescent="0.3">
      <c r="A444" s="11">
        <v>45962</v>
      </c>
      <c r="B444" s="99">
        <f t="shared" si="0"/>
        <v>1031.6011252890714</v>
      </c>
      <c r="C444" s="158">
        <v>1E-4</v>
      </c>
    </row>
    <row r="445" spans="1:3" x14ac:dyDescent="0.3">
      <c r="A445" s="11">
        <v>45992</v>
      </c>
      <c r="B445" s="99">
        <f t="shared" si="0"/>
        <v>1034.907023058106</v>
      </c>
      <c r="C445" s="158">
        <v>1E-4</v>
      </c>
    </row>
    <row r="446" spans="1:3" x14ac:dyDescent="0.3">
      <c r="A446" s="11">
        <v>46023</v>
      </c>
      <c r="B446" s="99">
        <f t="shared" si="0"/>
        <v>1038.2129208271408</v>
      </c>
      <c r="C446" s="158">
        <v>1E-4</v>
      </c>
    </row>
    <row r="447" spans="1:3" x14ac:dyDescent="0.3">
      <c r="A447" s="11">
        <v>46054</v>
      </c>
      <c r="B447" s="99">
        <f t="shared" si="0"/>
        <v>1041.5188185961756</v>
      </c>
      <c r="C447" s="158">
        <v>1E-4</v>
      </c>
    </row>
    <row r="448" spans="1:3" x14ac:dyDescent="0.3">
      <c r="A448" s="11">
        <v>46082</v>
      </c>
      <c r="B448" s="99">
        <f t="shared" si="0"/>
        <v>1044.8247163652104</v>
      </c>
      <c r="C448" s="158">
        <v>1E-4</v>
      </c>
    </row>
    <row r="449" spans="1:3" x14ac:dyDescent="0.3">
      <c r="A449" s="11">
        <v>46113</v>
      </c>
      <c r="B449" s="99">
        <f t="shared" si="0"/>
        <v>1048.1306141342452</v>
      </c>
      <c r="C449" s="158">
        <v>1E-4</v>
      </c>
    </row>
    <row r="450" spans="1:3" x14ac:dyDescent="0.3">
      <c r="A450" s="11">
        <v>46143</v>
      </c>
      <c r="B450" s="99">
        <f t="shared" si="0"/>
        <v>1051.4365119032798</v>
      </c>
      <c r="C450" s="158">
        <v>1E-4</v>
      </c>
    </row>
    <row r="451" spans="1:3" x14ac:dyDescent="0.3">
      <c r="A451" s="11">
        <v>46174</v>
      </c>
      <c r="B451" s="99">
        <f t="shared" si="0"/>
        <v>1054.7424096723146</v>
      </c>
      <c r="C451" s="158">
        <v>1E-4</v>
      </c>
    </row>
    <row r="452" spans="1:3" x14ac:dyDescent="0.3">
      <c r="A452" s="11">
        <v>46204</v>
      </c>
      <c r="B452" s="99">
        <f t="shared" si="0"/>
        <v>1058.0483074413494</v>
      </c>
      <c r="C452" s="158">
        <v>1E-4</v>
      </c>
    </row>
    <row r="453" spans="1:3" x14ac:dyDescent="0.3">
      <c r="A453" s="11">
        <v>46235</v>
      </c>
      <c r="B453" s="99">
        <f t="shared" si="0"/>
        <v>1061.3542052103842</v>
      </c>
      <c r="C453" s="158">
        <v>1E-4</v>
      </c>
    </row>
    <row r="454" spans="1:3" x14ac:dyDescent="0.3">
      <c r="A454" s="11">
        <v>46266</v>
      </c>
      <c r="B454" s="99">
        <f t="shared" si="0"/>
        <v>1064.6601029794188</v>
      </c>
      <c r="C454" s="158">
        <v>1E-4</v>
      </c>
    </row>
    <row r="455" spans="1:3" x14ac:dyDescent="0.3">
      <c r="A455" s="11">
        <v>46296</v>
      </c>
      <c r="B455" s="99">
        <f t="shared" si="0"/>
        <v>1067.9660007484536</v>
      </c>
      <c r="C455" s="158">
        <v>1E-4</v>
      </c>
    </row>
    <row r="456" spans="1:3" x14ac:dyDescent="0.3">
      <c r="A456" s="11">
        <v>46327</v>
      </c>
      <c r="B456" s="99">
        <f t="shared" si="0"/>
        <v>1071.2718985174884</v>
      </c>
      <c r="C456" s="158">
        <v>1E-4</v>
      </c>
    </row>
    <row r="457" spans="1:3" x14ac:dyDescent="0.3">
      <c r="A457" s="11">
        <v>46357</v>
      </c>
      <c r="B457" s="99">
        <f t="shared" si="0"/>
        <v>1074.5777962865232</v>
      </c>
      <c r="C457" s="158">
        <v>1E-4</v>
      </c>
    </row>
    <row r="458" spans="1:3" x14ac:dyDescent="0.3">
      <c r="A458" s="11">
        <v>46388</v>
      </c>
      <c r="B458" s="99">
        <f t="shared" si="0"/>
        <v>1077.883694055558</v>
      </c>
      <c r="C458" s="158">
        <v>1E-4</v>
      </c>
    </row>
    <row r="459" spans="1:3" x14ac:dyDescent="0.3">
      <c r="A459" s="11">
        <v>46419</v>
      </c>
      <c r="B459" s="99">
        <f t="shared" si="0"/>
        <v>1081.1895918245925</v>
      </c>
      <c r="C459" s="158">
        <v>1E-4</v>
      </c>
    </row>
    <row r="460" spans="1:3" x14ac:dyDescent="0.3">
      <c r="A460" s="11">
        <v>46447</v>
      </c>
      <c r="B460" s="99">
        <f t="shared" si="0"/>
        <v>1084.4954895936273</v>
      </c>
      <c r="C460" s="158">
        <v>1E-4</v>
      </c>
    </row>
    <row r="461" spans="1:3" x14ac:dyDescent="0.3">
      <c r="A461" s="11">
        <v>46478</v>
      </c>
      <c r="B461" s="99">
        <f t="shared" si="0"/>
        <v>1087.8013873626621</v>
      </c>
      <c r="C461" s="158">
        <v>1E-4</v>
      </c>
    </row>
    <row r="462" spans="1:3" x14ac:dyDescent="0.3">
      <c r="A462" s="11">
        <v>46508</v>
      </c>
      <c r="B462" s="99">
        <f t="shared" si="0"/>
        <v>1091.1072851316967</v>
      </c>
      <c r="C462" s="158">
        <v>1E-4</v>
      </c>
    </row>
    <row r="463" spans="1:3" x14ac:dyDescent="0.3">
      <c r="A463" s="11">
        <v>46539</v>
      </c>
      <c r="B463" s="99">
        <f t="shared" ref="B463:B505" si="1">_xlfn.FORECAST.ETS(A463, B$2:B$397,A$2:A$397, 1)</f>
        <v>1094.4131829007315</v>
      </c>
      <c r="C463" s="158">
        <v>1E-4</v>
      </c>
    </row>
    <row r="464" spans="1:3" x14ac:dyDescent="0.3">
      <c r="A464" s="11">
        <v>46569</v>
      </c>
      <c r="B464" s="99">
        <f t="shared" si="1"/>
        <v>1097.7190806697663</v>
      </c>
      <c r="C464" s="158">
        <v>1E-4</v>
      </c>
    </row>
    <row r="465" spans="1:3" x14ac:dyDescent="0.3">
      <c r="A465" s="11">
        <v>46600</v>
      </c>
      <c r="B465" s="99">
        <f t="shared" si="1"/>
        <v>1101.0249784388011</v>
      </c>
      <c r="C465" s="158">
        <v>1E-4</v>
      </c>
    </row>
    <row r="466" spans="1:3" x14ac:dyDescent="0.3">
      <c r="A466" s="11">
        <v>46631</v>
      </c>
      <c r="B466" s="99">
        <f t="shared" si="1"/>
        <v>1104.3308762078359</v>
      </c>
      <c r="C466" s="158">
        <v>1E-4</v>
      </c>
    </row>
    <row r="467" spans="1:3" x14ac:dyDescent="0.3">
      <c r="A467" s="11">
        <v>46661</v>
      </c>
      <c r="B467" s="99">
        <f t="shared" si="1"/>
        <v>1107.6367739768705</v>
      </c>
      <c r="C467" s="158">
        <v>1E-4</v>
      </c>
    </row>
    <row r="468" spans="1:3" x14ac:dyDescent="0.3">
      <c r="A468" s="11">
        <v>46692</v>
      </c>
      <c r="B468" s="99">
        <f t="shared" si="1"/>
        <v>1110.9426717459053</v>
      </c>
      <c r="C468" s="158">
        <v>1E-4</v>
      </c>
    </row>
    <row r="469" spans="1:3" x14ac:dyDescent="0.3">
      <c r="A469" s="11">
        <v>46722</v>
      </c>
      <c r="B469" s="99">
        <f t="shared" si="1"/>
        <v>1114.2485695149401</v>
      </c>
      <c r="C469" s="158">
        <v>1E-4</v>
      </c>
    </row>
    <row r="470" spans="1:3" x14ac:dyDescent="0.3">
      <c r="A470" s="11">
        <v>46753</v>
      </c>
      <c r="B470" s="99">
        <f t="shared" si="1"/>
        <v>1117.5544672839749</v>
      </c>
      <c r="C470" s="158">
        <v>1E-4</v>
      </c>
    </row>
    <row r="471" spans="1:3" x14ac:dyDescent="0.3">
      <c r="A471" s="11">
        <v>46784</v>
      </c>
      <c r="B471" s="99">
        <f t="shared" si="1"/>
        <v>1120.8603650530094</v>
      </c>
      <c r="C471" s="158">
        <v>1E-4</v>
      </c>
    </row>
    <row r="472" spans="1:3" x14ac:dyDescent="0.3">
      <c r="A472" s="11">
        <v>46813</v>
      </c>
      <c r="B472" s="99">
        <f t="shared" si="1"/>
        <v>1124.1662628220442</v>
      </c>
      <c r="C472" s="158">
        <v>1E-4</v>
      </c>
    </row>
    <row r="473" spans="1:3" x14ac:dyDescent="0.3">
      <c r="A473" s="11">
        <v>46844</v>
      </c>
      <c r="B473" s="99">
        <f t="shared" si="1"/>
        <v>1127.472160591079</v>
      </c>
      <c r="C473" s="158">
        <v>1E-4</v>
      </c>
    </row>
    <row r="474" spans="1:3" x14ac:dyDescent="0.3">
      <c r="A474" s="11">
        <v>46874</v>
      </c>
      <c r="B474" s="99">
        <f t="shared" si="1"/>
        <v>1130.7780583601138</v>
      </c>
      <c r="C474" s="158">
        <v>1E-4</v>
      </c>
    </row>
    <row r="475" spans="1:3" x14ac:dyDescent="0.3">
      <c r="A475" s="11">
        <v>46905</v>
      </c>
      <c r="B475" s="99">
        <f t="shared" si="1"/>
        <v>1134.0839561291486</v>
      </c>
      <c r="C475" s="158">
        <v>1E-4</v>
      </c>
    </row>
    <row r="476" spans="1:3" x14ac:dyDescent="0.3">
      <c r="A476" s="11">
        <v>46935</v>
      </c>
      <c r="B476" s="99">
        <f t="shared" si="1"/>
        <v>1137.3898538981832</v>
      </c>
      <c r="C476" s="158">
        <v>1E-4</v>
      </c>
    </row>
    <row r="477" spans="1:3" x14ac:dyDescent="0.3">
      <c r="A477" s="11">
        <v>46966</v>
      </c>
      <c r="B477" s="99">
        <f t="shared" si="1"/>
        <v>1140.695751667218</v>
      </c>
      <c r="C477" s="158">
        <v>1E-4</v>
      </c>
    </row>
    <row r="478" spans="1:3" x14ac:dyDescent="0.3">
      <c r="A478" s="11">
        <v>46997</v>
      </c>
      <c r="B478" s="99">
        <f t="shared" si="1"/>
        <v>1144.0016494362528</v>
      </c>
      <c r="C478" s="158">
        <v>1E-4</v>
      </c>
    </row>
    <row r="479" spans="1:3" x14ac:dyDescent="0.3">
      <c r="A479" s="11">
        <v>47027</v>
      </c>
      <c r="B479" s="99">
        <f t="shared" si="1"/>
        <v>1147.3075472052874</v>
      </c>
      <c r="C479" s="158">
        <v>1E-4</v>
      </c>
    </row>
    <row r="480" spans="1:3" x14ac:dyDescent="0.3">
      <c r="A480" s="11">
        <v>47058</v>
      </c>
      <c r="B480" s="99">
        <f t="shared" si="1"/>
        <v>1150.6134449743222</v>
      </c>
      <c r="C480" s="158">
        <v>1E-4</v>
      </c>
    </row>
    <row r="481" spans="1:3" x14ac:dyDescent="0.3">
      <c r="A481" s="11">
        <v>47088</v>
      </c>
      <c r="B481" s="99">
        <f t="shared" si="1"/>
        <v>1153.919342743357</v>
      </c>
      <c r="C481" s="158">
        <v>1E-4</v>
      </c>
    </row>
    <row r="482" spans="1:3" x14ac:dyDescent="0.3">
      <c r="A482" s="11">
        <v>47119</v>
      </c>
      <c r="B482" s="99">
        <f t="shared" si="1"/>
        <v>1157.2252405123918</v>
      </c>
      <c r="C482" s="158">
        <v>1E-4</v>
      </c>
    </row>
    <row r="483" spans="1:3" x14ac:dyDescent="0.3">
      <c r="A483" s="11">
        <v>47150</v>
      </c>
      <c r="B483" s="99">
        <f t="shared" si="1"/>
        <v>1160.5311382814266</v>
      </c>
      <c r="C483" s="158">
        <v>1E-4</v>
      </c>
    </row>
    <row r="484" spans="1:3" x14ac:dyDescent="0.3">
      <c r="A484" s="11">
        <v>47178</v>
      </c>
      <c r="B484" s="99">
        <f t="shared" si="1"/>
        <v>1163.8370360504614</v>
      </c>
      <c r="C484" s="158">
        <v>1E-4</v>
      </c>
    </row>
    <row r="485" spans="1:3" x14ac:dyDescent="0.3">
      <c r="A485" s="11">
        <v>47209</v>
      </c>
      <c r="B485" s="99">
        <f t="shared" si="1"/>
        <v>1167.142933819496</v>
      </c>
      <c r="C485" s="158">
        <v>1E-4</v>
      </c>
    </row>
    <row r="486" spans="1:3" x14ac:dyDescent="0.3">
      <c r="A486" s="11">
        <v>47239</v>
      </c>
      <c r="B486" s="99">
        <f t="shared" si="1"/>
        <v>1170.4488315885308</v>
      </c>
      <c r="C486" s="158">
        <v>1E-4</v>
      </c>
    </row>
    <row r="487" spans="1:3" x14ac:dyDescent="0.3">
      <c r="A487" s="11">
        <v>47270</v>
      </c>
      <c r="B487" s="99">
        <f t="shared" si="1"/>
        <v>1173.7547293575656</v>
      </c>
      <c r="C487" s="158">
        <v>1E-4</v>
      </c>
    </row>
    <row r="488" spans="1:3" x14ac:dyDescent="0.3">
      <c r="A488" s="11">
        <v>47300</v>
      </c>
      <c r="B488" s="99">
        <f t="shared" si="1"/>
        <v>1177.0606271266001</v>
      </c>
      <c r="C488" s="158">
        <v>1E-4</v>
      </c>
    </row>
    <row r="489" spans="1:3" x14ac:dyDescent="0.3">
      <c r="A489" s="11">
        <v>47331</v>
      </c>
      <c r="B489" s="99">
        <f t="shared" si="1"/>
        <v>1180.3665248956349</v>
      </c>
      <c r="C489" s="158">
        <v>1E-4</v>
      </c>
    </row>
    <row r="490" spans="1:3" x14ac:dyDescent="0.3">
      <c r="A490" s="11">
        <v>47362</v>
      </c>
      <c r="B490" s="99">
        <f t="shared" si="1"/>
        <v>1183.6724226646697</v>
      </c>
      <c r="C490" s="158">
        <v>1E-4</v>
      </c>
    </row>
    <row r="491" spans="1:3" x14ac:dyDescent="0.3">
      <c r="A491" s="11">
        <v>47392</v>
      </c>
      <c r="B491" s="99">
        <f t="shared" si="1"/>
        <v>1186.9783204337045</v>
      </c>
      <c r="C491" s="158">
        <v>1E-4</v>
      </c>
    </row>
    <row r="492" spans="1:3" x14ac:dyDescent="0.3">
      <c r="A492" s="11">
        <v>47423</v>
      </c>
      <c r="B492" s="99">
        <f t="shared" si="1"/>
        <v>1190.2842182027393</v>
      </c>
      <c r="C492" s="158">
        <v>1E-4</v>
      </c>
    </row>
    <row r="493" spans="1:3" x14ac:dyDescent="0.3">
      <c r="A493" s="11">
        <v>47453</v>
      </c>
      <c r="B493" s="99">
        <f t="shared" si="1"/>
        <v>1193.5901159717741</v>
      </c>
      <c r="C493" s="158">
        <v>1E-4</v>
      </c>
    </row>
    <row r="494" spans="1:3" x14ac:dyDescent="0.3">
      <c r="A494" s="11">
        <v>47484</v>
      </c>
      <c r="B494" s="99">
        <f t="shared" si="1"/>
        <v>1196.8960137408087</v>
      </c>
      <c r="C494" s="158">
        <v>1E-4</v>
      </c>
    </row>
    <row r="495" spans="1:3" x14ac:dyDescent="0.3">
      <c r="A495" s="11">
        <v>47515</v>
      </c>
      <c r="B495" s="99">
        <f t="shared" si="1"/>
        <v>1200.2019115098435</v>
      </c>
      <c r="C495" s="158">
        <v>1E-4</v>
      </c>
    </row>
    <row r="496" spans="1:3" x14ac:dyDescent="0.3">
      <c r="A496" s="11">
        <v>47543</v>
      </c>
      <c r="B496" s="99">
        <f t="shared" si="1"/>
        <v>1203.5078092788783</v>
      </c>
      <c r="C496" s="158">
        <v>1E-4</v>
      </c>
    </row>
    <row r="497" spans="1:3" x14ac:dyDescent="0.3">
      <c r="A497" s="11">
        <v>47574</v>
      </c>
      <c r="B497" s="99">
        <f t="shared" si="1"/>
        <v>1206.8137070479129</v>
      </c>
      <c r="C497" s="158">
        <v>1E-4</v>
      </c>
    </row>
    <row r="498" spans="1:3" x14ac:dyDescent="0.3">
      <c r="A498" s="11">
        <v>47604</v>
      </c>
      <c r="B498" s="99">
        <f t="shared" si="1"/>
        <v>1210.1196048169477</v>
      </c>
      <c r="C498" s="158">
        <v>1E-4</v>
      </c>
    </row>
    <row r="499" spans="1:3" x14ac:dyDescent="0.3">
      <c r="A499" s="11">
        <v>47635</v>
      </c>
      <c r="B499" s="99">
        <f t="shared" si="1"/>
        <v>1213.4255025859825</v>
      </c>
      <c r="C499" s="158">
        <v>1E-4</v>
      </c>
    </row>
    <row r="500" spans="1:3" x14ac:dyDescent="0.3">
      <c r="A500" s="11">
        <v>47665</v>
      </c>
      <c r="B500" s="99">
        <f t="shared" si="1"/>
        <v>1216.7314003550173</v>
      </c>
      <c r="C500" s="158">
        <v>1E-4</v>
      </c>
    </row>
    <row r="501" spans="1:3" x14ac:dyDescent="0.3">
      <c r="A501" s="11">
        <v>47696</v>
      </c>
      <c r="B501" s="99">
        <f t="shared" si="1"/>
        <v>1220.0372981240521</v>
      </c>
      <c r="C501" s="158">
        <v>1E-4</v>
      </c>
    </row>
    <row r="502" spans="1:3" x14ac:dyDescent="0.3">
      <c r="A502" s="11">
        <v>47727</v>
      </c>
      <c r="B502" s="99">
        <f t="shared" si="1"/>
        <v>1223.3431958930867</v>
      </c>
      <c r="C502" s="158">
        <v>1E-4</v>
      </c>
    </row>
    <row r="503" spans="1:3" x14ac:dyDescent="0.3">
      <c r="A503" s="11">
        <v>47757</v>
      </c>
      <c r="B503" s="99">
        <f t="shared" si="1"/>
        <v>1226.6490936621215</v>
      </c>
      <c r="C503" s="158">
        <v>1E-4</v>
      </c>
    </row>
    <row r="504" spans="1:3" x14ac:dyDescent="0.3">
      <c r="A504" s="11">
        <v>47788</v>
      </c>
      <c r="B504" s="99">
        <f t="shared" si="1"/>
        <v>1229.9549914311563</v>
      </c>
      <c r="C504" s="158">
        <v>1E-4</v>
      </c>
    </row>
    <row r="505" spans="1:3" x14ac:dyDescent="0.3">
      <c r="A505" s="11">
        <v>47818</v>
      </c>
      <c r="B505" s="99">
        <f t="shared" si="1"/>
        <v>1233.2608892001908</v>
      </c>
      <c r="C505" s="158">
        <v>1E-4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3574-EA7D-474E-9590-FC3D46589922}">
  <sheetPr codeName="Sheet7" filterMode="1"/>
  <dimension ref="B2:AH509"/>
  <sheetViews>
    <sheetView zoomScale="85" zoomScaleNormal="85" workbookViewId="0">
      <selection activeCell="D51" sqref="D51"/>
    </sheetView>
  </sheetViews>
  <sheetFormatPr defaultColWidth="8.6640625" defaultRowHeight="14.4" x14ac:dyDescent="0.3"/>
  <cols>
    <col min="1" max="1" width="5.109375" customWidth="1"/>
    <col min="2" max="3" width="15.44140625" style="38" customWidth="1"/>
    <col min="4" max="4" width="22.44140625" style="38" customWidth="1"/>
    <col min="5" max="5" width="15.44140625" style="38" customWidth="1"/>
    <col min="6" max="6" width="21.44140625" style="38" customWidth="1"/>
    <col min="7" max="9" width="15.44140625" style="38" customWidth="1"/>
    <col min="10" max="10" width="17.44140625" style="38" bestFit="1" customWidth="1"/>
    <col min="11" max="11" width="17.44140625" style="38" customWidth="1"/>
    <col min="12" max="12" width="5.109375" style="38" customWidth="1"/>
    <col min="13" max="13" width="25.44140625" bestFit="1" customWidth="1"/>
    <col min="14" max="14" width="24.109375" bestFit="1" customWidth="1"/>
    <col min="15" max="15" width="19.109375" bestFit="1" customWidth="1"/>
    <col min="16" max="16" width="19.109375" customWidth="1"/>
    <col min="17" max="18" width="17.109375" bestFit="1" customWidth="1"/>
    <col min="19" max="19" width="17.109375" customWidth="1"/>
    <col min="21" max="21" width="12.6640625" customWidth="1"/>
    <col min="22" max="22" width="9.6640625" bestFit="1" customWidth="1"/>
    <col min="23" max="23" width="16.44140625" bestFit="1" customWidth="1"/>
    <col min="24" max="24" width="7.109375" bestFit="1" customWidth="1"/>
    <col min="25" max="25" width="12.6640625" bestFit="1" customWidth="1"/>
  </cols>
  <sheetData>
    <row r="2" spans="2:34" ht="18" x14ac:dyDescent="0.35">
      <c r="B2" s="290" t="s">
        <v>129</v>
      </c>
      <c r="C2" s="290"/>
      <c r="D2" s="290"/>
      <c r="E2" s="290"/>
      <c r="F2" s="290"/>
      <c r="G2" s="290"/>
      <c r="H2" s="290"/>
      <c r="I2" s="159"/>
      <c r="J2" s="159"/>
      <c r="K2" s="206"/>
    </row>
    <row r="3" spans="2:34" ht="43.2" x14ac:dyDescent="0.3">
      <c r="B3" s="101" t="s">
        <v>3</v>
      </c>
      <c r="C3" s="101" t="s">
        <v>130</v>
      </c>
      <c r="D3" s="101" t="s">
        <v>131</v>
      </c>
      <c r="E3" s="101" t="s">
        <v>132</v>
      </c>
      <c r="F3" s="101" t="s">
        <v>133</v>
      </c>
      <c r="G3" s="101" t="s">
        <v>134</v>
      </c>
      <c r="H3" s="101" t="s">
        <v>135</v>
      </c>
      <c r="I3" s="101" t="s">
        <v>136</v>
      </c>
      <c r="J3" s="101" t="s">
        <v>137</v>
      </c>
      <c r="K3" s="207" t="s">
        <v>138</v>
      </c>
      <c r="M3" s="102" t="s">
        <v>139</v>
      </c>
      <c r="N3" s="102" t="s">
        <v>140</v>
      </c>
      <c r="O3" s="102" t="s">
        <v>141</v>
      </c>
    </row>
    <row r="4" spans="2:34" hidden="1" x14ac:dyDescent="0.3">
      <c r="B4" s="69">
        <v>32509</v>
      </c>
      <c r="C4" s="70">
        <f t="shared" ref="C4:C35" si="0">S22</f>
        <v>481720.36005646526</v>
      </c>
      <c r="D4" s="71">
        <f t="shared" ref="D4:D35" ca="1" si="1">C4*Q$77/M$4</f>
        <v>5.7806443206775828</v>
      </c>
      <c r="E4" s="71">
        <f t="shared" ref="E4:E35" si="2">C4/M$4*$Z$5</f>
        <v>14.614432283393043</v>
      </c>
      <c r="F4" s="92">
        <f t="shared" ref="F4:F35" ca="1" si="3">IF(YEAR($B4)&gt;=YEAR($N$4), D4*(1-$O$4)^(YEAR($B4)-YEAR($N$4)), D4)</f>
        <v>5.7806443206775828</v>
      </c>
      <c r="G4" s="92">
        <f t="shared" ref="G4:G35" si="4">IF(YEAR($B4)&gt;=YEAR($N$4), E4*(1-$O$4)^(YEAR($B4)-YEAR($N$4)), E4)</f>
        <v>14.614432283393043</v>
      </c>
      <c r="H4" s="72">
        <f>G4/E4</f>
        <v>1</v>
      </c>
      <c r="I4" s="72">
        <f>1-H4</f>
        <v>0</v>
      </c>
      <c r="J4" s="209"/>
      <c r="K4" s="210">
        <f t="shared" ref="K4:K30" ca="1" si="5">P$77*C4</f>
        <v>613711738.71193671</v>
      </c>
      <c r="M4" s="61">
        <v>1000000</v>
      </c>
      <c r="N4" s="62">
        <f>DATE(2015, 1, 1)</f>
        <v>42005</v>
      </c>
      <c r="O4" s="93">
        <f>'Angbao Trends'!G7</f>
        <v>0.05</v>
      </c>
    </row>
    <row r="5" spans="2:34" hidden="1" x14ac:dyDescent="0.3">
      <c r="B5" s="69">
        <v>32874</v>
      </c>
      <c r="C5" s="70">
        <f t="shared" si="0"/>
        <v>502179.18002542818</v>
      </c>
      <c r="D5" s="71">
        <f t="shared" ca="1" si="1"/>
        <v>6.0261501603051384</v>
      </c>
      <c r="E5" s="71">
        <f t="shared" si="2"/>
        <v>15.235111963611439</v>
      </c>
      <c r="F5" s="92">
        <f t="shared" ca="1" si="3"/>
        <v>6.0261501603051384</v>
      </c>
      <c r="G5" s="92">
        <f t="shared" si="4"/>
        <v>15.235111963611439</v>
      </c>
      <c r="H5" s="72">
        <f t="shared" ref="H5:H35" si="6">G5/E5</f>
        <v>1</v>
      </c>
      <c r="I5" s="72">
        <f t="shared" ref="I5:I65" si="7">1-H5</f>
        <v>0</v>
      </c>
      <c r="J5" s="209"/>
      <c r="K5" s="210">
        <f t="shared" ca="1" si="5"/>
        <v>639776275.35239553</v>
      </c>
      <c r="O5" s="135"/>
      <c r="W5" s="65"/>
      <c r="X5" s="103"/>
      <c r="Y5" s="104" t="s">
        <v>142</v>
      </c>
      <c r="Z5" s="105">
        <f>AVERAGE(Y8:AH57)</f>
        <v>30.338000000000001</v>
      </c>
      <c r="AG5" s="51"/>
    </row>
    <row r="6" spans="2:34" hidden="1" x14ac:dyDescent="0.3">
      <c r="B6" s="69">
        <v>33239</v>
      </c>
      <c r="C6" s="70">
        <f t="shared" si="0"/>
        <v>527480.09335979947</v>
      </c>
      <c r="D6" s="71">
        <f t="shared" ca="1" si="1"/>
        <v>6.3297611203175936</v>
      </c>
      <c r="E6" s="71">
        <f t="shared" si="2"/>
        <v>16.002691072349599</v>
      </c>
      <c r="F6" s="92">
        <f t="shared" ca="1" si="3"/>
        <v>6.3297611203175936</v>
      </c>
      <c r="G6" s="92">
        <f t="shared" si="4"/>
        <v>16.002691072349599</v>
      </c>
      <c r="H6" s="72">
        <f t="shared" si="6"/>
        <v>1</v>
      </c>
      <c r="I6" s="72">
        <f t="shared" si="7"/>
        <v>0</v>
      </c>
      <c r="J6" s="209"/>
      <c r="K6" s="210">
        <f t="shared" ca="1" si="5"/>
        <v>672009638.94038451</v>
      </c>
    </row>
    <row r="7" spans="2:34" ht="38.25" hidden="1" customHeight="1" x14ac:dyDescent="0.3">
      <c r="B7" s="69">
        <v>33604</v>
      </c>
      <c r="C7" s="70">
        <f t="shared" si="0"/>
        <v>545340.20778333477</v>
      </c>
      <c r="D7" s="71">
        <f t="shared" ca="1" si="1"/>
        <v>6.5440824934000172</v>
      </c>
      <c r="E7" s="71">
        <f t="shared" si="2"/>
        <v>16.544531223730811</v>
      </c>
      <c r="F7" s="92">
        <f t="shared" ca="1" si="3"/>
        <v>6.5440824934000172</v>
      </c>
      <c r="G7" s="92">
        <f t="shared" si="4"/>
        <v>16.544531223730811</v>
      </c>
      <c r="H7" s="72">
        <f t="shared" si="6"/>
        <v>1</v>
      </c>
      <c r="I7" s="72">
        <f t="shared" si="7"/>
        <v>0</v>
      </c>
      <c r="J7" s="209"/>
      <c r="K7" s="210">
        <f t="shared" ca="1" si="5"/>
        <v>694763424.71596849</v>
      </c>
      <c r="W7" s="65" t="s">
        <v>143</v>
      </c>
      <c r="X7" s="44">
        <f ca="1">Q77</f>
        <v>12</v>
      </c>
      <c r="Y7" s="8">
        <v>1</v>
      </c>
      <c r="Z7" s="8">
        <v>2</v>
      </c>
      <c r="AA7" s="8">
        <v>3</v>
      </c>
      <c r="AB7" s="8">
        <v>4</v>
      </c>
      <c r="AC7" s="8">
        <v>5</v>
      </c>
      <c r="AD7" s="8">
        <v>6</v>
      </c>
      <c r="AE7" s="8">
        <v>7</v>
      </c>
      <c r="AF7" s="8">
        <v>8</v>
      </c>
      <c r="AG7" s="8">
        <v>9</v>
      </c>
      <c r="AH7" s="8">
        <v>10</v>
      </c>
    </row>
    <row r="8" spans="2:34" hidden="1" x14ac:dyDescent="0.3">
      <c r="B8" s="69">
        <v>33970</v>
      </c>
      <c r="C8" s="70">
        <f t="shared" si="0"/>
        <v>572870.45670292922</v>
      </c>
      <c r="D8" s="71">
        <f t="shared" ca="1" si="1"/>
        <v>6.8744454804351509</v>
      </c>
      <c r="E8" s="71">
        <f t="shared" si="2"/>
        <v>17.379743915453467</v>
      </c>
      <c r="F8" s="92">
        <f t="shared" ca="1" si="3"/>
        <v>6.8744454804351509</v>
      </c>
      <c r="G8" s="92">
        <f t="shared" si="4"/>
        <v>17.379743915453467</v>
      </c>
      <c r="H8" s="72">
        <f t="shared" si="6"/>
        <v>1</v>
      </c>
      <c r="I8" s="72">
        <f t="shared" si="7"/>
        <v>0</v>
      </c>
      <c r="J8" s="209"/>
      <c r="K8" s="210">
        <f t="shared" ca="1" si="5"/>
        <v>729836961.83953178</v>
      </c>
      <c r="X8" s="60">
        <v>1</v>
      </c>
      <c r="Y8" s="8">
        <f t="dataTable" ref="Y8:AH57" dt2D="1" dtr="1" r1="W13" r2="W21" ca="1"/>
        <v>10</v>
      </c>
      <c r="Z8" s="8">
        <v>20</v>
      </c>
      <c r="AA8" s="8">
        <v>26</v>
      </c>
      <c r="AB8" s="8">
        <v>24</v>
      </c>
      <c r="AC8" s="8">
        <v>34</v>
      </c>
      <c r="AD8" s="8">
        <v>11</v>
      </c>
      <c r="AE8" s="8">
        <v>7</v>
      </c>
      <c r="AF8" s="8">
        <v>27</v>
      </c>
      <c r="AG8" s="8">
        <v>34</v>
      </c>
      <c r="AH8" s="8">
        <v>27</v>
      </c>
    </row>
    <row r="9" spans="2:34" hidden="1" x14ac:dyDescent="0.3">
      <c r="B9" s="69">
        <v>34335</v>
      </c>
      <c r="C9" s="70">
        <f t="shared" si="0"/>
        <v>600989.23615252774</v>
      </c>
      <c r="D9" s="71">
        <f t="shared" ca="1" si="1"/>
        <v>7.2118708338303321</v>
      </c>
      <c r="E9" s="71">
        <f t="shared" si="2"/>
        <v>18.232811446395388</v>
      </c>
      <c r="F9" s="92">
        <f t="shared" ca="1" si="3"/>
        <v>7.2118708338303321</v>
      </c>
      <c r="G9" s="92">
        <f t="shared" si="4"/>
        <v>18.232811446395388</v>
      </c>
      <c r="H9" s="72">
        <f t="shared" si="6"/>
        <v>1</v>
      </c>
      <c r="I9" s="72">
        <f t="shared" si="7"/>
        <v>0</v>
      </c>
      <c r="J9" s="209"/>
      <c r="K9" s="210">
        <f t="shared" ca="1" si="5"/>
        <v>765660286.85832036</v>
      </c>
      <c r="X9" s="60">
        <v>2</v>
      </c>
      <c r="Y9" s="8">
        <v>31</v>
      </c>
      <c r="Z9" s="8">
        <v>15</v>
      </c>
      <c r="AA9" s="8">
        <v>30</v>
      </c>
      <c r="AB9" s="8">
        <v>51</v>
      </c>
      <c r="AC9" s="8">
        <v>16</v>
      </c>
      <c r="AD9" s="8">
        <v>14</v>
      </c>
      <c r="AE9" s="8">
        <v>12</v>
      </c>
      <c r="AF9" s="8">
        <v>45</v>
      </c>
      <c r="AG9" s="8">
        <v>28</v>
      </c>
      <c r="AH9" s="8">
        <v>46</v>
      </c>
    </row>
    <row r="10" spans="2:34" hidden="1" x14ac:dyDescent="0.3">
      <c r="B10" s="69">
        <v>34700</v>
      </c>
      <c r="C10" s="70">
        <f t="shared" si="0"/>
        <v>631326.19508352201</v>
      </c>
      <c r="D10" s="71">
        <f t="shared" ca="1" si="1"/>
        <v>7.5759143410022638</v>
      </c>
      <c r="E10" s="71">
        <f t="shared" si="2"/>
        <v>19.153174106443892</v>
      </c>
      <c r="F10" s="92">
        <f t="shared" ca="1" si="3"/>
        <v>7.5759143410022638</v>
      </c>
      <c r="G10" s="92">
        <f t="shared" si="4"/>
        <v>19.153174106443892</v>
      </c>
      <c r="H10" s="72">
        <f t="shared" si="6"/>
        <v>1</v>
      </c>
      <c r="I10" s="72">
        <f t="shared" si="7"/>
        <v>0</v>
      </c>
      <c r="J10" s="209"/>
      <c r="K10" s="210">
        <f t="shared" ca="1" si="5"/>
        <v>804309572.53640699</v>
      </c>
      <c r="X10" s="60">
        <v>3</v>
      </c>
      <c r="Y10" s="8">
        <v>22</v>
      </c>
      <c r="Z10" s="8">
        <v>45</v>
      </c>
      <c r="AA10" s="8">
        <v>16</v>
      </c>
      <c r="AB10" s="8">
        <v>14</v>
      </c>
      <c r="AC10" s="8">
        <v>31</v>
      </c>
      <c r="AD10" s="8">
        <v>25</v>
      </c>
      <c r="AE10" s="8">
        <v>28</v>
      </c>
      <c r="AF10" s="8">
        <v>30</v>
      </c>
      <c r="AG10" s="8">
        <v>44</v>
      </c>
      <c r="AH10" s="8">
        <v>12</v>
      </c>
    </row>
    <row r="11" spans="2:34" hidden="1" x14ac:dyDescent="0.3">
      <c r="B11" s="69">
        <v>35065</v>
      </c>
      <c r="C11" s="70">
        <f t="shared" si="0"/>
        <v>658370.7692455732</v>
      </c>
      <c r="D11" s="71">
        <f t="shared" ca="1" si="1"/>
        <v>7.9004492309468777</v>
      </c>
      <c r="E11" s="71">
        <f t="shared" si="2"/>
        <v>19.973652397372202</v>
      </c>
      <c r="F11" s="92">
        <f t="shared" ca="1" si="3"/>
        <v>7.9004492309468777</v>
      </c>
      <c r="G11" s="92">
        <f t="shared" si="4"/>
        <v>19.973652397372202</v>
      </c>
      <c r="H11" s="72">
        <f t="shared" si="6"/>
        <v>1</v>
      </c>
      <c r="I11" s="72">
        <f t="shared" si="7"/>
        <v>0</v>
      </c>
      <c r="J11" s="209"/>
      <c r="K11" s="210">
        <f t="shared" ca="1" si="5"/>
        <v>838764360.01886022</v>
      </c>
      <c r="X11" s="60">
        <v>4</v>
      </c>
      <c r="Y11" s="8">
        <v>48</v>
      </c>
      <c r="Z11" s="8">
        <v>15</v>
      </c>
      <c r="AA11" s="8">
        <v>31</v>
      </c>
      <c r="AB11" s="8">
        <v>31</v>
      </c>
      <c r="AC11" s="8">
        <v>31</v>
      </c>
      <c r="AD11" s="8">
        <v>23</v>
      </c>
      <c r="AE11" s="8">
        <v>25</v>
      </c>
      <c r="AF11" s="8">
        <v>5</v>
      </c>
      <c r="AG11" s="8">
        <v>30</v>
      </c>
      <c r="AH11" s="8">
        <v>26</v>
      </c>
    </row>
    <row r="12" spans="2:34" hidden="1" x14ac:dyDescent="0.3">
      <c r="B12" s="69">
        <v>35431</v>
      </c>
      <c r="C12" s="70">
        <f t="shared" si="0"/>
        <v>688690.53890397376</v>
      </c>
      <c r="D12" s="71">
        <f t="shared" ca="1" si="1"/>
        <v>8.2642864668476843</v>
      </c>
      <c r="E12" s="71">
        <f t="shared" si="2"/>
        <v>20.89349356926876</v>
      </c>
      <c r="F12" s="92">
        <f t="shared" ca="1" si="3"/>
        <v>8.2642864668476843</v>
      </c>
      <c r="G12" s="92">
        <f t="shared" si="4"/>
        <v>20.89349356926876</v>
      </c>
      <c r="H12" s="72">
        <f t="shared" si="6"/>
        <v>1</v>
      </c>
      <c r="I12" s="72">
        <f t="shared" si="7"/>
        <v>0</v>
      </c>
      <c r="J12" s="209"/>
      <c r="K12" s="210">
        <f t="shared" ca="1" si="5"/>
        <v>877391746.56366253</v>
      </c>
      <c r="X12" s="60">
        <v>5</v>
      </c>
      <c r="Y12" s="8">
        <v>32</v>
      </c>
      <c r="Z12" s="8">
        <v>28</v>
      </c>
      <c r="AA12" s="8">
        <v>60</v>
      </c>
      <c r="AB12" s="8">
        <v>16</v>
      </c>
      <c r="AC12" s="8">
        <v>20</v>
      </c>
      <c r="AD12" s="8">
        <v>47</v>
      </c>
      <c r="AE12" s="8">
        <v>45</v>
      </c>
      <c r="AF12" s="8">
        <v>22</v>
      </c>
      <c r="AG12" s="8">
        <v>11</v>
      </c>
      <c r="AH12" s="8">
        <v>21</v>
      </c>
    </row>
    <row r="13" spans="2:34" hidden="1" x14ac:dyDescent="0.3">
      <c r="B13" s="69">
        <v>35796</v>
      </c>
      <c r="C13" s="70">
        <f t="shared" si="0"/>
        <v>716602.77989447699</v>
      </c>
      <c r="D13" s="71">
        <f t="shared" ca="1" si="1"/>
        <v>8.5992333587337253</v>
      </c>
      <c r="E13" s="71">
        <f t="shared" si="2"/>
        <v>21.740295136438643</v>
      </c>
      <c r="F13" s="92">
        <f t="shared" ca="1" si="3"/>
        <v>8.5992333587337253</v>
      </c>
      <c r="G13" s="92">
        <f t="shared" si="4"/>
        <v>21.740295136438643</v>
      </c>
      <c r="H13" s="72">
        <f t="shared" si="6"/>
        <v>1</v>
      </c>
      <c r="I13" s="72">
        <f t="shared" si="7"/>
        <v>0</v>
      </c>
      <c r="J13" s="209"/>
      <c r="K13" s="210">
        <f t="shared" ca="1" si="5"/>
        <v>912951941.58556366</v>
      </c>
      <c r="X13" s="60">
        <v>6</v>
      </c>
      <c r="Y13" s="8">
        <v>42</v>
      </c>
      <c r="Z13" s="8">
        <v>19</v>
      </c>
      <c r="AA13" s="8">
        <v>38</v>
      </c>
      <c r="AB13" s="8">
        <v>18</v>
      </c>
      <c r="AC13" s="8">
        <v>44</v>
      </c>
      <c r="AD13" s="8">
        <v>54</v>
      </c>
      <c r="AE13" s="8">
        <v>20</v>
      </c>
      <c r="AF13" s="8">
        <v>21</v>
      </c>
      <c r="AG13" s="8">
        <v>8</v>
      </c>
      <c r="AH13" s="8">
        <v>16</v>
      </c>
    </row>
    <row r="14" spans="2:34" hidden="1" x14ac:dyDescent="0.3">
      <c r="B14" s="69">
        <v>36161</v>
      </c>
      <c r="C14" s="70">
        <f t="shared" si="0"/>
        <v>735550.71021902573</v>
      </c>
      <c r="D14" s="71">
        <f t="shared" ca="1" si="1"/>
        <v>8.8266085226283089</v>
      </c>
      <c r="E14" s="71">
        <f t="shared" si="2"/>
        <v>22.315137446624803</v>
      </c>
      <c r="F14" s="92">
        <f t="shared" ca="1" si="3"/>
        <v>8.8266085226283089</v>
      </c>
      <c r="G14" s="92">
        <f t="shared" si="4"/>
        <v>22.315137446624803</v>
      </c>
      <c r="H14" s="72">
        <f t="shared" si="6"/>
        <v>1</v>
      </c>
      <c r="I14" s="72">
        <f t="shared" si="7"/>
        <v>0</v>
      </c>
      <c r="J14" s="209"/>
      <c r="K14" s="210">
        <f t="shared" ca="1" si="5"/>
        <v>937091604.81903875</v>
      </c>
      <c r="X14" s="60">
        <v>7</v>
      </c>
      <c r="Y14" s="8">
        <v>2</v>
      </c>
      <c r="Z14" s="8">
        <v>26</v>
      </c>
      <c r="AA14" s="8">
        <v>44</v>
      </c>
      <c r="AB14" s="8">
        <v>68</v>
      </c>
      <c r="AC14" s="8">
        <v>24</v>
      </c>
      <c r="AD14" s="8">
        <v>15</v>
      </c>
      <c r="AE14" s="8">
        <v>23</v>
      </c>
      <c r="AF14" s="8">
        <v>26</v>
      </c>
      <c r="AG14" s="8">
        <v>38</v>
      </c>
      <c r="AH14" s="8">
        <v>52</v>
      </c>
    </row>
    <row r="15" spans="2:34" hidden="1" x14ac:dyDescent="0.3">
      <c r="B15" s="69">
        <v>36526</v>
      </c>
      <c r="C15" s="70">
        <f t="shared" si="0"/>
        <v>759754.09557256871</v>
      </c>
      <c r="D15" s="71">
        <f t="shared" ca="1" si="1"/>
        <v>9.1170491468708246</v>
      </c>
      <c r="E15" s="71">
        <f t="shared" si="2"/>
        <v>23.049419751480588</v>
      </c>
      <c r="F15" s="92">
        <f t="shared" ca="1" si="3"/>
        <v>9.1170491468708246</v>
      </c>
      <c r="G15" s="92">
        <f t="shared" si="4"/>
        <v>23.049419751480588</v>
      </c>
      <c r="H15" s="72">
        <f t="shared" si="6"/>
        <v>1</v>
      </c>
      <c r="I15" s="72">
        <f t="shared" si="7"/>
        <v>0</v>
      </c>
      <c r="J15" s="209"/>
      <c r="K15" s="210">
        <f t="shared" ca="1" si="5"/>
        <v>967926717.75945258</v>
      </c>
      <c r="X15" s="60">
        <v>8</v>
      </c>
      <c r="Y15" s="8">
        <v>17</v>
      </c>
      <c r="Z15" s="8">
        <v>26</v>
      </c>
      <c r="AA15" s="8">
        <v>12</v>
      </c>
      <c r="AB15" s="8">
        <v>44</v>
      </c>
      <c r="AC15" s="8">
        <v>42</v>
      </c>
      <c r="AD15" s="8">
        <v>29</v>
      </c>
      <c r="AE15" s="8">
        <v>24</v>
      </c>
      <c r="AF15" s="8">
        <v>21</v>
      </c>
      <c r="AG15" s="8">
        <v>7</v>
      </c>
      <c r="AH15" s="8">
        <v>30</v>
      </c>
    </row>
    <row r="16" spans="2:34" hidden="1" x14ac:dyDescent="0.3">
      <c r="B16" s="69">
        <v>36892</v>
      </c>
      <c r="C16" s="70">
        <f t="shared" si="0"/>
        <v>769016.15579997061</v>
      </c>
      <c r="D16" s="71">
        <f t="shared" ca="1" si="1"/>
        <v>9.2281938695996484</v>
      </c>
      <c r="E16" s="71">
        <f t="shared" si="2"/>
        <v>23.330412134659511</v>
      </c>
      <c r="F16" s="92">
        <f t="shared" ca="1" si="3"/>
        <v>9.2281938695996484</v>
      </c>
      <c r="G16" s="92">
        <f t="shared" si="4"/>
        <v>23.330412134659511</v>
      </c>
      <c r="H16" s="72">
        <f t="shared" si="6"/>
        <v>1</v>
      </c>
      <c r="I16" s="72">
        <f t="shared" si="7"/>
        <v>0</v>
      </c>
      <c r="J16" s="209"/>
      <c r="K16" s="210">
        <f t="shared" ca="1" si="5"/>
        <v>979726582.48916256</v>
      </c>
      <c r="L16" s="42"/>
      <c r="X16" s="60">
        <v>9</v>
      </c>
      <c r="Y16" s="8">
        <v>62</v>
      </c>
      <c r="Z16" s="8">
        <v>57</v>
      </c>
      <c r="AA16" s="8">
        <v>47</v>
      </c>
      <c r="AB16" s="8">
        <v>86</v>
      </c>
      <c r="AC16" s="8">
        <v>32</v>
      </c>
      <c r="AD16" s="8">
        <v>27</v>
      </c>
      <c r="AE16" s="8">
        <v>42</v>
      </c>
      <c r="AF16" s="8">
        <v>54</v>
      </c>
      <c r="AG16" s="8">
        <v>11</v>
      </c>
      <c r="AH16" s="8">
        <v>10</v>
      </c>
    </row>
    <row r="17" spans="2:34" ht="14.25" hidden="1" customHeight="1" x14ac:dyDescent="0.3">
      <c r="B17" s="69">
        <v>37257</v>
      </c>
      <c r="C17" s="70">
        <f t="shared" si="0"/>
        <v>778232.9801851213</v>
      </c>
      <c r="D17" s="71">
        <f t="shared" ca="1" si="1"/>
        <v>9.338795762221455</v>
      </c>
      <c r="E17" s="71">
        <f t="shared" si="2"/>
        <v>23.61003215285621</v>
      </c>
      <c r="F17" s="92">
        <f t="shared" ca="1" si="3"/>
        <v>9.338795762221455</v>
      </c>
      <c r="G17" s="92">
        <f t="shared" si="4"/>
        <v>23.61003215285621</v>
      </c>
      <c r="H17" s="72">
        <f t="shared" si="6"/>
        <v>1</v>
      </c>
      <c r="I17" s="72">
        <f t="shared" si="7"/>
        <v>0</v>
      </c>
      <c r="J17" s="209"/>
      <c r="K17" s="210">
        <f t="shared" ca="1" si="5"/>
        <v>991468816.75584459</v>
      </c>
      <c r="L17" s="14"/>
      <c r="X17" s="60">
        <v>10</v>
      </c>
      <c r="Y17" s="8">
        <v>28</v>
      </c>
      <c r="Z17" s="8">
        <v>20</v>
      </c>
      <c r="AA17" s="8">
        <v>32</v>
      </c>
      <c r="AB17" s="8">
        <v>10</v>
      </c>
      <c r="AC17" s="8">
        <v>15</v>
      </c>
      <c r="AD17" s="8">
        <v>46</v>
      </c>
      <c r="AE17" s="8">
        <v>15</v>
      </c>
      <c r="AF17" s="8">
        <v>36</v>
      </c>
      <c r="AG17" s="8">
        <v>17</v>
      </c>
      <c r="AH17" s="8">
        <v>12</v>
      </c>
    </row>
    <row r="18" spans="2:34" hidden="1" x14ac:dyDescent="0.3">
      <c r="B18" s="69">
        <v>37622</v>
      </c>
      <c r="C18" s="70">
        <f t="shared" si="0"/>
        <v>780991.64544704405</v>
      </c>
      <c r="D18" s="71">
        <f t="shared" ca="1" si="1"/>
        <v>9.3718997453645283</v>
      </c>
      <c r="E18" s="71">
        <f t="shared" si="2"/>
        <v>23.693724539572422</v>
      </c>
      <c r="F18" s="92">
        <f t="shared" ca="1" si="3"/>
        <v>9.3718997453645283</v>
      </c>
      <c r="G18" s="92">
        <f t="shared" si="4"/>
        <v>23.693724539572422</v>
      </c>
      <c r="H18" s="72">
        <f t="shared" si="6"/>
        <v>1</v>
      </c>
      <c r="I18" s="72">
        <f t="shared" si="7"/>
        <v>0</v>
      </c>
      <c r="J18" s="209"/>
      <c r="K18" s="210">
        <f t="shared" ca="1" si="5"/>
        <v>994983356.29953408</v>
      </c>
      <c r="L18" s="14"/>
      <c r="N18" s="53"/>
      <c r="P18" s="53"/>
      <c r="Q18" s="54"/>
      <c r="R18" s="54"/>
      <c r="X18" s="60">
        <v>11</v>
      </c>
      <c r="Y18" s="8">
        <v>25</v>
      </c>
      <c r="Z18" s="8">
        <v>27</v>
      </c>
      <c r="AA18" s="8">
        <v>48</v>
      </c>
      <c r="AB18" s="8">
        <v>31</v>
      </c>
      <c r="AC18" s="8">
        <v>41</v>
      </c>
      <c r="AD18" s="8">
        <v>13</v>
      </c>
      <c r="AE18" s="8">
        <v>50</v>
      </c>
      <c r="AF18" s="8">
        <v>19</v>
      </c>
      <c r="AG18" s="8">
        <v>42</v>
      </c>
      <c r="AH18" s="8">
        <v>18</v>
      </c>
    </row>
    <row r="19" spans="2:34" ht="18" hidden="1" x14ac:dyDescent="0.35">
      <c r="B19" s="69">
        <v>37987</v>
      </c>
      <c r="C19" s="70">
        <f t="shared" si="0"/>
        <v>790187.64166685019</v>
      </c>
      <c r="D19" s="71">
        <f t="shared" ca="1" si="1"/>
        <v>9.4822517000022035</v>
      </c>
      <c r="E19" s="71">
        <f t="shared" si="2"/>
        <v>23.972712672888903</v>
      </c>
      <c r="F19" s="92">
        <f t="shared" ca="1" si="3"/>
        <v>9.4822517000022035</v>
      </c>
      <c r="G19" s="92">
        <f t="shared" si="4"/>
        <v>23.972712672888903</v>
      </c>
      <c r="H19" s="72">
        <f t="shared" si="6"/>
        <v>1</v>
      </c>
      <c r="I19" s="72">
        <f t="shared" si="7"/>
        <v>0</v>
      </c>
      <c r="J19" s="209"/>
      <c r="K19" s="210">
        <f t="shared" ca="1" si="5"/>
        <v>1006699055.4835671</v>
      </c>
      <c r="L19" s="14"/>
      <c r="M19" s="290" t="s">
        <v>144</v>
      </c>
      <c r="N19" s="290"/>
      <c r="O19" s="290"/>
      <c r="P19" s="290"/>
      <c r="Q19" s="290"/>
      <c r="R19" s="290"/>
      <c r="S19" s="290"/>
      <c r="U19" s="131" t="s">
        <v>145</v>
      </c>
      <c r="V19" s="8"/>
      <c r="X19" s="60">
        <v>12</v>
      </c>
      <c r="Y19" s="8">
        <v>4</v>
      </c>
      <c r="Z19" s="8">
        <v>52</v>
      </c>
      <c r="AA19" s="8">
        <v>9</v>
      </c>
      <c r="AB19" s="8">
        <v>28</v>
      </c>
      <c r="AC19" s="8">
        <v>60</v>
      </c>
      <c r="AD19" s="8">
        <v>18</v>
      </c>
      <c r="AE19" s="8">
        <v>33</v>
      </c>
      <c r="AF19" s="8">
        <v>47</v>
      </c>
      <c r="AG19" s="8">
        <v>30</v>
      </c>
      <c r="AH19" s="8">
        <v>29</v>
      </c>
    </row>
    <row r="20" spans="2:34" hidden="1" x14ac:dyDescent="0.3">
      <c r="B20" s="69">
        <v>38353</v>
      </c>
      <c r="C20" s="70">
        <f t="shared" si="0"/>
        <v>812723.92097357917</v>
      </c>
      <c r="D20" s="71">
        <f t="shared" ca="1" si="1"/>
        <v>9.7526870516829494</v>
      </c>
      <c r="E20" s="71">
        <f t="shared" si="2"/>
        <v>24.656418314496445</v>
      </c>
      <c r="F20" s="92">
        <f t="shared" ca="1" si="3"/>
        <v>9.7526870516829494</v>
      </c>
      <c r="G20" s="92">
        <f t="shared" si="4"/>
        <v>24.656418314496445</v>
      </c>
      <c r="H20" s="72">
        <f t="shared" si="6"/>
        <v>1</v>
      </c>
      <c r="I20" s="72">
        <f t="shared" si="7"/>
        <v>0</v>
      </c>
      <c r="J20" s="209"/>
      <c r="K20" s="210">
        <f t="shared" ca="1" si="5"/>
        <v>1035410275.3203398</v>
      </c>
      <c r="L20" s="14"/>
      <c r="M20" s="293" t="s">
        <v>146</v>
      </c>
      <c r="N20" s="294" t="s">
        <v>147</v>
      </c>
      <c r="O20" s="295" t="s">
        <v>148</v>
      </c>
      <c r="P20" s="295" t="s">
        <v>149</v>
      </c>
      <c r="Q20" s="296" t="s">
        <v>150</v>
      </c>
      <c r="R20" s="296" t="s">
        <v>151</v>
      </c>
      <c r="S20" s="296" t="s">
        <v>152</v>
      </c>
      <c r="U20" s="8">
        <v>1</v>
      </c>
      <c r="V20" s="133">
        <f>DATE(1920, U20, 1)</f>
        <v>7306</v>
      </c>
      <c r="X20" s="60">
        <v>13</v>
      </c>
      <c r="Y20" s="8">
        <v>20</v>
      </c>
      <c r="Z20" s="8">
        <v>15</v>
      </c>
      <c r="AA20" s="8">
        <v>18</v>
      </c>
      <c r="AB20" s="8">
        <v>47</v>
      </c>
      <c r="AC20" s="8">
        <v>36</v>
      </c>
      <c r="AD20" s="8">
        <v>33</v>
      </c>
      <c r="AE20" s="8">
        <v>14</v>
      </c>
      <c r="AF20" s="8">
        <v>36</v>
      </c>
      <c r="AG20" s="8">
        <v>15</v>
      </c>
      <c r="AH20" s="8">
        <v>26</v>
      </c>
    </row>
    <row r="21" spans="2:34" hidden="1" x14ac:dyDescent="0.3">
      <c r="B21" s="69">
        <v>38718</v>
      </c>
      <c r="C21" s="70">
        <f t="shared" si="0"/>
        <v>835025.69187232095</v>
      </c>
      <c r="D21" s="71">
        <f t="shared" ca="1" si="1"/>
        <v>10.020308302467852</v>
      </c>
      <c r="E21" s="71">
        <f t="shared" si="2"/>
        <v>25.333009440022476</v>
      </c>
      <c r="F21" s="92">
        <f t="shared" ca="1" si="3"/>
        <v>10.020308302467852</v>
      </c>
      <c r="G21" s="92">
        <f t="shared" si="4"/>
        <v>25.333009440022476</v>
      </c>
      <c r="H21" s="72">
        <f t="shared" si="6"/>
        <v>1</v>
      </c>
      <c r="I21" s="72">
        <f t="shared" si="7"/>
        <v>0</v>
      </c>
      <c r="J21" s="209"/>
      <c r="K21" s="210">
        <f t="shared" ca="1" si="5"/>
        <v>1063822731.4453369</v>
      </c>
      <c r="L21" s="14"/>
      <c r="M21" s="293"/>
      <c r="N21" s="294"/>
      <c r="O21" s="295"/>
      <c r="P21" s="295"/>
      <c r="Q21" s="296"/>
      <c r="R21" s="296"/>
      <c r="S21" s="296"/>
      <c r="U21" s="8">
        <v>2</v>
      </c>
      <c r="V21" s="133">
        <f t="shared" ref="V21:V31" si="8">DATE(1920, U21, 1)</f>
        <v>7337</v>
      </c>
      <c r="X21" s="60">
        <v>14</v>
      </c>
      <c r="Y21" s="8">
        <v>9</v>
      </c>
      <c r="Z21" s="8">
        <v>27</v>
      </c>
      <c r="AA21" s="8">
        <v>12</v>
      </c>
      <c r="AB21" s="8">
        <v>17</v>
      </c>
      <c r="AC21" s="8">
        <v>41</v>
      </c>
      <c r="AD21" s="8">
        <v>34</v>
      </c>
      <c r="AE21" s="8">
        <v>9</v>
      </c>
      <c r="AF21" s="8">
        <v>48</v>
      </c>
      <c r="AG21" s="8">
        <v>15</v>
      </c>
      <c r="AH21" s="8">
        <v>35</v>
      </c>
    </row>
    <row r="22" spans="2:34" hidden="1" x14ac:dyDescent="0.3">
      <c r="B22" s="69">
        <v>39083</v>
      </c>
      <c r="C22" s="70">
        <f t="shared" si="0"/>
        <v>873552.13698922179</v>
      </c>
      <c r="D22" s="71">
        <f t="shared" ca="1" si="1"/>
        <v>10.48262564387066</v>
      </c>
      <c r="E22" s="71">
        <f t="shared" si="2"/>
        <v>26.50182473197901</v>
      </c>
      <c r="F22" s="92">
        <f t="shared" ca="1" si="3"/>
        <v>10.48262564387066</v>
      </c>
      <c r="G22" s="92">
        <f t="shared" si="4"/>
        <v>26.50182473197901</v>
      </c>
      <c r="H22" s="72">
        <f t="shared" si="6"/>
        <v>1</v>
      </c>
      <c r="I22" s="72">
        <f t="shared" si="7"/>
        <v>0</v>
      </c>
      <c r="J22" s="209"/>
      <c r="K22" s="210">
        <f t="shared" ca="1" si="5"/>
        <v>1112905422.5242686</v>
      </c>
      <c r="L22" s="14"/>
      <c r="M22" s="85">
        <v>1989</v>
      </c>
      <c r="N22" s="86">
        <v>0.55983074197992522</v>
      </c>
      <c r="O22" s="87">
        <v>2937276</v>
      </c>
      <c r="P22" s="87">
        <f>O22*0.75</f>
        <v>2202957</v>
      </c>
      <c r="Q22" s="87">
        <v>0.78120000000000001</v>
      </c>
      <c r="R22" s="87">
        <f t="shared" ref="R22:R53" si="9">Q22*P22*N22</f>
        <v>963440.72011293052</v>
      </c>
      <c r="S22" s="87">
        <f t="shared" ref="S22:S53" si="10">R22/2</f>
        <v>481720.36005646526</v>
      </c>
      <c r="U22" s="8">
        <v>3</v>
      </c>
      <c r="V22" s="133">
        <f t="shared" si="8"/>
        <v>7366</v>
      </c>
      <c r="X22" s="60">
        <v>15</v>
      </c>
      <c r="Y22" s="8">
        <v>44</v>
      </c>
      <c r="Z22" s="8">
        <v>25</v>
      </c>
      <c r="AA22" s="8">
        <v>25</v>
      </c>
      <c r="AB22" s="8">
        <v>20</v>
      </c>
      <c r="AC22" s="8">
        <v>41</v>
      </c>
      <c r="AD22" s="8">
        <v>31</v>
      </c>
      <c r="AE22" s="8">
        <v>34</v>
      </c>
      <c r="AF22" s="8">
        <v>66</v>
      </c>
      <c r="AG22" s="8">
        <v>36</v>
      </c>
      <c r="AH22" s="8">
        <v>42</v>
      </c>
    </row>
    <row r="23" spans="2:34" hidden="1" x14ac:dyDescent="0.3">
      <c r="B23" s="69">
        <v>39448</v>
      </c>
      <c r="C23" s="70">
        <f t="shared" si="0"/>
        <v>918623.69943924563</v>
      </c>
      <c r="D23" s="71">
        <f t="shared" ca="1" si="1"/>
        <v>11.023484393270946</v>
      </c>
      <c r="E23" s="71">
        <f t="shared" si="2"/>
        <v>27.869205793587835</v>
      </c>
      <c r="F23" s="92">
        <f t="shared" ca="1" si="3"/>
        <v>11.023484393270946</v>
      </c>
      <c r="G23" s="92">
        <f t="shared" si="4"/>
        <v>27.869205793587835</v>
      </c>
      <c r="H23" s="72">
        <f t="shared" si="6"/>
        <v>1</v>
      </c>
      <c r="I23" s="72">
        <f t="shared" si="7"/>
        <v>0</v>
      </c>
      <c r="J23" s="209"/>
      <c r="K23" s="210">
        <f t="shared" ca="1" si="5"/>
        <v>1170326593.0855989</v>
      </c>
      <c r="L23" s="14"/>
      <c r="M23" s="52">
        <v>1990</v>
      </c>
      <c r="N23" s="39">
        <v>0.56590340581104481</v>
      </c>
      <c r="O23" s="36">
        <v>3012966</v>
      </c>
      <c r="P23" s="36">
        <f t="shared" ref="P23:P53" si="11">O23*0.75</f>
        <v>2259724.5</v>
      </c>
      <c r="Q23" s="36">
        <v>0.7854000000000001</v>
      </c>
      <c r="R23" s="36">
        <f t="shared" si="9"/>
        <v>1004358.3600508564</v>
      </c>
      <c r="S23" s="36">
        <f t="shared" si="10"/>
        <v>502179.18002542818</v>
      </c>
      <c r="U23" s="8">
        <v>4</v>
      </c>
      <c r="V23" s="133">
        <f t="shared" si="8"/>
        <v>7397</v>
      </c>
      <c r="X23" s="60">
        <v>16</v>
      </c>
      <c r="Y23" s="8">
        <v>17</v>
      </c>
      <c r="Z23" s="8">
        <v>29</v>
      </c>
      <c r="AA23" s="8">
        <v>14</v>
      </c>
      <c r="AB23" s="8">
        <v>16</v>
      </c>
      <c r="AC23" s="8">
        <v>23</v>
      </c>
      <c r="AD23" s="8">
        <v>45</v>
      </c>
      <c r="AE23" s="8">
        <v>43</v>
      </c>
      <c r="AF23" s="8">
        <v>85</v>
      </c>
      <c r="AG23" s="8">
        <v>38</v>
      </c>
      <c r="AH23" s="8">
        <v>22</v>
      </c>
    </row>
    <row r="24" spans="2:34" hidden="1" x14ac:dyDescent="0.3">
      <c r="B24" s="69">
        <v>39814</v>
      </c>
      <c r="C24" s="70">
        <f t="shared" si="0"/>
        <v>958447.40931209968</v>
      </c>
      <c r="D24" s="71">
        <f t="shared" ca="1" si="1"/>
        <v>11.501368911745196</v>
      </c>
      <c r="E24" s="71">
        <f t="shared" si="2"/>
        <v>29.077377503710483</v>
      </c>
      <c r="F24" s="92">
        <f t="shared" ca="1" si="3"/>
        <v>11.501368911745196</v>
      </c>
      <c r="G24" s="92">
        <f t="shared" si="4"/>
        <v>29.077377503710483</v>
      </c>
      <c r="H24" s="72">
        <f t="shared" si="6"/>
        <v>1</v>
      </c>
      <c r="I24" s="72">
        <f t="shared" si="7"/>
        <v>0</v>
      </c>
      <c r="J24" s="209"/>
      <c r="K24" s="210">
        <f t="shared" ca="1" si="5"/>
        <v>1221061999.4636149</v>
      </c>
      <c r="L24" s="14"/>
      <c r="M24" s="52">
        <v>1991</v>
      </c>
      <c r="N24" s="39">
        <v>0.57575335469192557</v>
      </c>
      <c r="O24" s="36">
        <v>3101147</v>
      </c>
      <c r="P24" s="36">
        <f t="shared" si="11"/>
        <v>2325860.25</v>
      </c>
      <c r="Q24" s="36">
        <v>0.78780000000000006</v>
      </c>
      <c r="R24" s="36">
        <f t="shared" si="9"/>
        <v>1054960.1867195989</v>
      </c>
      <c r="S24" s="36">
        <f t="shared" si="10"/>
        <v>527480.09335979947</v>
      </c>
      <c r="U24" s="8">
        <v>5</v>
      </c>
      <c r="V24" s="133">
        <f t="shared" si="8"/>
        <v>7427</v>
      </c>
      <c r="X24" s="60">
        <v>17</v>
      </c>
      <c r="Y24" s="8">
        <v>40</v>
      </c>
      <c r="Z24" s="8">
        <v>25</v>
      </c>
      <c r="AA24" s="8">
        <v>17</v>
      </c>
      <c r="AB24" s="8">
        <v>31</v>
      </c>
      <c r="AC24" s="8">
        <v>41</v>
      </c>
      <c r="AD24" s="8">
        <v>9</v>
      </c>
      <c r="AE24" s="8">
        <v>49</v>
      </c>
      <c r="AF24" s="8">
        <v>40</v>
      </c>
      <c r="AG24" s="8">
        <v>30</v>
      </c>
      <c r="AH24" s="8">
        <v>12</v>
      </c>
    </row>
    <row r="25" spans="2:34" hidden="1" x14ac:dyDescent="0.3">
      <c r="B25" s="69">
        <v>40179</v>
      </c>
      <c r="C25" s="70">
        <f t="shared" si="0"/>
        <v>982968.25013915391</v>
      </c>
      <c r="D25" s="71">
        <f t="shared" ca="1" si="1"/>
        <v>11.795619001669847</v>
      </c>
      <c r="E25" s="71">
        <f t="shared" si="2"/>
        <v>29.821290772721653</v>
      </c>
      <c r="F25" s="92">
        <f t="shared" ca="1" si="3"/>
        <v>11.795619001669847</v>
      </c>
      <c r="G25" s="92">
        <f t="shared" si="4"/>
        <v>29.821290772721653</v>
      </c>
      <c r="H25" s="72">
        <f t="shared" si="6"/>
        <v>1</v>
      </c>
      <c r="I25" s="72">
        <f t="shared" si="7"/>
        <v>0</v>
      </c>
      <c r="J25" s="209"/>
      <c r="K25" s="210">
        <f t="shared" ca="1" si="5"/>
        <v>1252301550.6772821</v>
      </c>
      <c r="L25" s="14"/>
      <c r="M25" s="52">
        <v>1992</v>
      </c>
      <c r="N25" s="39">
        <v>0.57553630550138324</v>
      </c>
      <c r="O25" s="36">
        <v>3199642</v>
      </c>
      <c r="P25" s="36">
        <f t="shared" si="11"/>
        <v>2399731.5</v>
      </c>
      <c r="Q25" s="36">
        <v>0.78969999999999996</v>
      </c>
      <c r="R25" s="36">
        <f t="shared" si="9"/>
        <v>1090680.4155666695</v>
      </c>
      <c r="S25" s="36">
        <f t="shared" si="10"/>
        <v>545340.20778333477</v>
      </c>
      <c r="U25" s="8">
        <v>6</v>
      </c>
      <c r="V25" s="133">
        <f t="shared" si="8"/>
        <v>7458</v>
      </c>
      <c r="X25" s="60">
        <v>18</v>
      </c>
      <c r="Y25" s="8">
        <v>25</v>
      </c>
      <c r="Z25" s="8">
        <v>22</v>
      </c>
      <c r="AA25" s="8">
        <v>12</v>
      </c>
      <c r="AB25" s="8">
        <v>76</v>
      </c>
      <c r="AC25" s="8">
        <v>54</v>
      </c>
      <c r="AD25" s="8">
        <v>13</v>
      </c>
      <c r="AE25" s="8">
        <v>38</v>
      </c>
      <c r="AF25" s="8">
        <v>61</v>
      </c>
      <c r="AG25" s="8">
        <v>24</v>
      </c>
      <c r="AH25" s="8">
        <v>50</v>
      </c>
    </row>
    <row r="26" spans="2:34" hidden="1" x14ac:dyDescent="0.3">
      <c r="B26" s="69">
        <v>40544</v>
      </c>
      <c r="C26" s="70">
        <f t="shared" si="0"/>
        <v>1014272.4268581081</v>
      </c>
      <c r="D26" s="71">
        <f t="shared" ca="1" si="1"/>
        <v>12.171269122297298</v>
      </c>
      <c r="E26" s="71">
        <f t="shared" si="2"/>
        <v>30.770996886021283</v>
      </c>
      <c r="F26" s="92">
        <f t="shared" ca="1" si="3"/>
        <v>12.171269122297298</v>
      </c>
      <c r="G26" s="92">
        <f t="shared" si="4"/>
        <v>30.770996886021283</v>
      </c>
      <c r="H26" s="72">
        <f t="shared" si="6"/>
        <v>1</v>
      </c>
      <c r="I26" s="72">
        <f t="shared" si="7"/>
        <v>0</v>
      </c>
      <c r="J26" s="209"/>
      <c r="K26" s="210">
        <f t="shared" ca="1" si="5"/>
        <v>1292183071.8172297</v>
      </c>
      <c r="L26" s="14"/>
      <c r="M26" s="52">
        <v>1993</v>
      </c>
      <c r="N26" s="39">
        <v>0.58406527263810248</v>
      </c>
      <c r="O26" s="36">
        <v>3305807</v>
      </c>
      <c r="P26" s="36">
        <f t="shared" si="11"/>
        <v>2479355.25</v>
      </c>
      <c r="Q26" s="36">
        <v>0.79120000000000001</v>
      </c>
      <c r="R26" s="36">
        <f t="shared" si="9"/>
        <v>1145740.9134058584</v>
      </c>
      <c r="S26" s="36">
        <f t="shared" si="10"/>
        <v>572870.45670292922</v>
      </c>
      <c r="U26" s="8">
        <v>7</v>
      </c>
      <c r="V26" s="133">
        <f t="shared" si="8"/>
        <v>7488</v>
      </c>
      <c r="X26" s="60">
        <v>19</v>
      </c>
      <c r="Y26" s="8">
        <v>46</v>
      </c>
      <c r="Z26" s="8">
        <v>21</v>
      </c>
      <c r="AA26" s="8">
        <v>73</v>
      </c>
      <c r="AB26" s="8">
        <v>16</v>
      </c>
      <c r="AC26" s="8">
        <v>31</v>
      </c>
      <c r="AD26" s="8">
        <v>49</v>
      </c>
      <c r="AE26" s="8">
        <v>37</v>
      </c>
      <c r="AF26" s="8">
        <v>14</v>
      </c>
      <c r="AG26" s="8">
        <v>42</v>
      </c>
      <c r="AH26" s="8">
        <v>32</v>
      </c>
    </row>
    <row r="27" spans="2:34" hidden="1" x14ac:dyDescent="0.3">
      <c r="B27" s="69">
        <v>40909</v>
      </c>
      <c r="C27" s="70">
        <f t="shared" si="0"/>
        <v>1038884.2933877474</v>
      </c>
      <c r="D27" s="71">
        <f t="shared" ca="1" si="1"/>
        <v>12.466611520652968</v>
      </c>
      <c r="E27" s="71">
        <f t="shared" si="2"/>
        <v>31.517671692797482</v>
      </c>
      <c r="F27" s="92">
        <f t="shared" ca="1" si="3"/>
        <v>12.466611520652968</v>
      </c>
      <c r="G27" s="92">
        <f t="shared" si="4"/>
        <v>31.517671692797482</v>
      </c>
      <c r="H27" s="72">
        <f t="shared" si="6"/>
        <v>1</v>
      </c>
      <c r="I27" s="72">
        <f t="shared" si="7"/>
        <v>0</v>
      </c>
      <c r="J27" s="209"/>
      <c r="K27" s="210">
        <f t="shared" ca="1" si="5"/>
        <v>1323538589.7759902</v>
      </c>
      <c r="L27" s="14"/>
      <c r="M27" s="52">
        <v>1994</v>
      </c>
      <c r="N27" s="39">
        <v>0.59174814749857496</v>
      </c>
      <c r="O27" s="36">
        <v>3415703</v>
      </c>
      <c r="P27" s="36">
        <f t="shared" si="11"/>
        <v>2561777.25</v>
      </c>
      <c r="Q27" s="36">
        <v>0.79290000000000005</v>
      </c>
      <c r="R27" s="36">
        <f t="shared" si="9"/>
        <v>1201978.4723050555</v>
      </c>
      <c r="S27" s="36">
        <f t="shared" si="10"/>
        <v>600989.23615252774</v>
      </c>
      <c r="U27" s="8">
        <v>8</v>
      </c>
      <c r="V27" s="133">
        <f t="shared" si="8"/>
        <v>7519</v>
      </c>
      <c r="X27" s="60">
        <v>20</v>
      </c>
      <c r="Y27" s="8">
        <v>15</v>
      </c>
      <c r="Z27" s="8">
        <v>32</v>
      </c>
      <c r="AA27" s="8">
        <v>52</v>
      </c>
      <c r="AB27" s="8">
        <v>24</v>
      </c>
      <c r="AC27" s="8">
        <v>55</v>
      </c>
      <c r="AD27" s="8">
        <v>22</v>
      </c>
      <c r="AE27" s="8">
        <v>26</v>
      </c>
      <c r="AF27" s="8">
        <v>77</v>
      </c>
      <c r="AG27" s="8">
        <v>71</v>
      </c>
      <c r="AH27" s="8">
        <v>22</v>
      </c>
    </row>
    <row r="28" spans="2:34" hidden="1" x14ac:dyDescent="0.3">
      <c r="B28" s="69">
        <v>41275</v>
      </c>
      <c r="C28" s="70">
        <f t="shared" si="0"/>
        <v>1058082.1474840937</v>
      </c>
      <c r="D28" s="71">
        <f t="shared" ca="1" si="1"/>
        <v>12.696985769809123</v>
      </c>
      <c r="E28" s="71">
        <f t="shared" si="2"/>
        <v>32.100096190372433</v>
      </c>
      <c r="F28" s="92">
        <f t="shared" ca="1" si="3"/>
        <v>12.696985769809123</v>
      </c>
      <c r="G28" s="92">
        <f t="shared" si="4"/>
        <v>32.100096190372433</v>
      </c>
      <c r="H28" s="72">
        <f t="shared" si="6"/>
        <v>1</v>
      </c>
      <c r="I28" s="72">
        <f t="shared" si="7"/>
        <v>0</v>
      </c>
      <c r="J28" s="209"/>
      <c r="K28" s="210">
        <f t="shared" ca="1" si="5"/>
        <v>1347996655.8947353</v>
      </c>
      <c r="L28" s="14"/>
      <c r="M28" s="52">
        <v>1995</v>
      </c>
      <c r="N28" s="39">
        <v>0.60028634647923984</v>
      </c>
      <c r="O28" s="36">
        <v>3525969</v>
      </c>
      <c r="P28" s="36">
        <f t="shared" si="11"/>
        <v>2644476.75</v>
      </c>
      <c r="Q28" s="36">
        <v>0.7954</v>
      </c>
      <c r="R28" s="36">
        <f t="shared" si="9"/>
        <v>1262652.390167044</v>
      </c>
      <c r="S28" s="36">
        <f t="shared" si="10"/>
        <v>631326.19508352201</v>
      </c>
      <c r="U28" s="8">
        <v>9</v>
      </c>
      <c r="V28" s="133">
        <f t="shared" si="8"/>
        <v>7550</v>
      </c>
      <c r="X28" s="60">
        <v>21</v>
      </c>
      <c r="Y28" s="8">
        <v>25</v>
      </c>
      <c r="Z28" s="8">
        <v>52</v>
      </c>
      <c r="AA28" s="8">
        <v>65</v>
      </c>
      <c r="AB28" s="8">
        <v>2</v>
      </c>
      <c r="AC28" s="8">
        <v>14</v>
      </c>
      <c r="AD28" s="8">
        <v>53</v>
      </c>
      <c r="AE28" s="8">
        <v>32</v>
      </c>
      <c r="AF28" s="8">
        <v>39</v>
      </c>
      <c r="AG28" s="8">
        <v>37</v>
      </c>
      <c r="AH28" s="8">
        <v>34</v>
      </c>
    </row>
    <row r="29" spans="2:34" hidden="1" x14ac:dyDescent="0.3">
      <c r="B29" s="69">
        <v>41640</v>
      </c>
      <c r="C29" s="70">
        <f t="shared" si="0"/>
        <v>1074024.5412944439</v>
      </c>
      <c r="D29" s="71">
        <f t="shared" ca="1" si="1"/>
        <v>12.888294495533327</v>
      </c>
      <c r="E29" s="71">
        <f t="shared" si="2"/>
        <v>32.58375653379084</v>
      </c>
      <c r="F29" s="92">
        <f t="shared" ca="1" si="3"/>
        <v>12.888294495533327</v>
      </c>
      <c r="G29" s="92">
        <f t="shared" si="4"/>
        <v>32.58375653379084</v>
      </c>
      <c r="H29" s="72">
        <f t="shared" si="6"/>
        <v>1</v>
      </c>
      <c r="I29" s="72">
        <f t="shared" si="7"/>
        <v>0</v>
      </c>
      <c r="J29" s="209"/>
      <c r="K29" s="210">
        <f t="shared" ca="1" si="5"/>
        <v>1368307265.6091216</v>
      </c>
      <c r="L29" s="14"/>
      <c r="M29" s="52">
        <v>1996</v>
      </c>
      <c r="N29" s="39">
        <v>0.6059307653147803</v>
      </c>
      <c r="O29" s="36">
        <v>3638187</v>
      </c>
      <c r="P29" s="36">
        <f t="shared" si="11"/>
        <v>2728640.25</v>
      </c>
      <c r="Q29" s="36">
        <v>0.7964</v>
      </c>
      <c r="R29" s="36">
        <f t="shared" si="9"/>
        <v>1316741.5384911464</v>
      </c>
      <c r="S29" s="36">
        <f t="shared" si="10"/>
        <v>658370.7692455732</v>
      </c>
      <c r="U29" s="8">
        <v>10</v>
      </c>
      <c r="V29" s="133">
        <f t="shared" si="8"/>
        <v>7580</v>
      </c>
      <c r="X29" s="60">
        <v>22</v>
      </c>
      <c r="Y29" s="8">
        <v>20</v>
      </c>
      <c r="Z29" s="8">
        <v>50</v>
      </c>
      <c r="AA29" s="8">
        <v>49</v>
      </c>
      <c r="AB29" s="8">
        <v>51</v>
      </c>
      <c r="AC29" s="8">
        <v>31</v>
      </c>
      <c r="AD29" s="8">
        <v>22</v>
      </c>
      <c r="AE29" s="8">
        <v>30</v>
      </c>
      <c r="AF29" s="8">
        <v>31</v>
      </c>
      <c r="AG29" s="8">
        <v>32</v>
      </c>
      <c r="AH29" s="8">
        <v>28</v>
      </c>
    </row>
    <row r="30" spans="2:34" hidden="1" x14ac:dyDescent="0.3">
      <c r="B30" s="69">
        <v>42005</v>
      </c>
      <c r="C30" s="70">
        <f t="shared" si="0"/>
        <v>1088166.8526118135</v>
      </c>
      <c r="D30" s="71">
        <f t="shared" ca="1" si="1"/>
        <v>13.05800223134176</v>
      </c>
      <c r="E30" s="71">
        <f t="shared" si="2"/>
        <v>33.012805974537201</v>
      </c>
      <c r="F30" s="92">
        <f t="shared" ca="1" si="3"/>
        <v>13.05800223134176</v>
      </c>
      <c r="G30" s="92">
        <f t="shared" si="4"/>
        <v>33.012805974537201</v>
      </c>
      <c r="H30" s="72">
        <f t="shared" si="6"/>
        <v>1</v>
      </c>
      <c r="I30" s="72">
        <f t="shared" si="7"/>
        <v>0</v>
      </c>
      <c r="J30" s="209"/>
      <c r="K30" s="210">
        <f t="shared" ca="1" si="5"/>
        <v>1386324570.2274504</v>
      </c>
      <c r="L30" s="14"/>
      <c r="M30" s="52">
        <v>1997</v>
      </c>
      <c r="N30" s="39">
        <v>0.61266263362890527</v>
      </c>
      <c r="O30" s="36">
        <v>3752140</v>
      </c>
      <c r="P30" s="36">
        <f t="shared" si="11"/>
        <v>2814105</v>
      </c>
      <c r="Q30" s="36">
        <v>0.79890000000000005</v>
      </c>
      <c r="R30" s="36">
        <f t="shared" si="9"/>
        <v>1377381.0778079475</v>
      </c>
      <c r="S30" s="36">
        <f t="shared" si="10"/>
        <v>688690.53890397376</v>
      </c>
      <c r="U30" s="8">
        <v>11</v>
      </c>
      <c r="V30" s="133">
        <f t="shared" si="8"/>
        <v>7611</v>
      </c>
      <c r="X30" s="60">
        <v>23</v>
      </c>
      <c r="Y30" s="8">
        <v>35</v>
      </c>
      <c r="Z30" s="8">
        <v>49</v>
      </c>
      <c r="AA30" s="8">
        <v>41</v>
      </c>
      <c r="AB30" s="8">
        <v>26</v>
      </c>
      <c r="AC30" s="8">
        <v>21</v>
      </c>
      <c r="AD30" s="8">
        <v>37</v>
      </c>
      <c r="AE30" s="8">
        <v>44</v>
      </c>
      <c r="AF30" s="8">
        <v>33</v>
      </c>
      <c r="AG30" s="8">
        <v>7</v>
      </c>
      <c r="AH30" s="8">
        <v>17</v>
      </c>
    </row>
    <row r="31" spans="2:34" hidden="1" x14ac:dyDescent="0.3">
      <c r="B31" s="69">
        <v>42370</v>
      </c>
      <c r="C31" s="70">
        <f t="shared" si="0"/>
        <v>1106540.6504313597</v>
      </c>
      <c r="D31" s="71">
        <f t="shared" ca="1" si="1"/>
        <v>13.278487805176315</v>
      </c>
      <c r="E31" s="71">
        <f t="shared" si="2"/>
        <v>33.570230252786594</v>
      </c>
      <c r="F31" s="92">
        <f t="shared" ca="1" si="3"/>
        <v>12.614563414917498</v>
      </c>
      <c r="G31" s="92">
        <f t="shared" si="4"/>
        <v>31.891718740147262</v>
      </c>
      <c r="H31" s="72">
        <f t="shared" si="6"/>
        <v>0.95</v>
      </c>
      <c r="I31" s="72">
        <f t="shared" si="7"/>
        <v>5.0000000000000044E-2</v>
      </c>
      <c r="J31" s="209">
        <f t="shared" ref="J31:J65" ca="1" si="12">C31*P$77*I31</f>
        <v>70486639.432477668</v>
      </c>
      <c r="K31" s="210">
        <f t="shared" ref="K31:K65" ca="1" si="13">P$77*C31-J31</f>
        <v>1339246149.2170744</v>
      </c>
      <c r="L31" s="14"/>
      <c r="M31" s="52">
        <v>1998</v>
      </c>
      <c r="N31" s="39">
        <v>0.61640200840919301</v>
      </c>
      <c r="O31" s="36">
        <v>3860714</v>
      </c>
      <c r="P31" s="36">
        <f t="shared" si="11"/>
        <v>2895535.5</v>
      </c>
      <c r="Q31" s="36">
        <v>0.80300000000000005</v>
      </c>
      <c r="R31" s="36">
        <f t="shared" si="9"/>
        <v>1433205.559788954</v>
      </c>
      <c r="S31" s="36">
        <f t="shared" si="10"/>
        <v>716602.77989447699</v>
      </c>
      <c r="U31" s="8">
        <v>12</v>
      </c>
      <c r="V31" s="133">
        <f t="shared" si="8"/>
        <v>7641</v>
      </c>
      <c r="X31" s="60">
        <v>24</v>
      </c>
      <c r="Y31" s="8">
        <v>45</v>
      </c>
      <c r="Z31" s="8">
        <v>26</v>
      </c>
      <c r="AA31" s="8">
        <v>36</v>
      </c>
      <c r="AB31" s="8">
        <v>35</v>
      </c>
      <c r="AC31" s="8">
        <v>24</v>
      </c>
      <c r="AD31" s="8">
        <v>10</v>
      </c>
      <c r="AE31" s="8">
        <v>32</v>
      </c>
      <c r="AF31" s="8">
        <v>26</v>
      </c>
      <c r="AG31" s="8">
        <v>11</v>
      </c>
      <c r="AH31" s="8">
        <v>27</v>
      </c>
    </row>
    <row r="32" spans="2:34" hidden="1" x14ac:dyDescent="0.3">
      <c r="B32" s="69">
        <v>42736</v>
      </c>
      <c r="C32" s="70">
        <f t="shared" si="0"/>
        <v>1131126.5092636617</v>
      </c>
      <c r="D32" s="71">
        <f t="shared" ca="1" si="1"/>
        <v>13.57351811116394</v>
      </c>
      <c r="E32" s="71">
        <f t="shared" si="2"/>
        <v>34.316116038040974</v>
      </c>
      <c r="F32" s="92">
        <f t="shared" ca="1" si="3"/>
        <v>12.250100095325456</v>
      </c>
      <c r="G32" s="92">
        <f t="shared" si="4"/>
        <v>30.970294724331978</v>
      </c>
      <c r="H32" s="72">
        <f t="shared" si="6"/>
        <v>0.90249999999999997</v>
      </c>
      <c r="I32" s="72">
        <f t="shared" si="7"/>
        <v>9.7500000000000031E-2</v>
      </c>
      <c r="J32" s="209">
        <f t="shared" ca="1" si="12"/>
        <v>140502879.34818578</v>
      </c>
      <c r="K32" s="210">
        <f t="shared" ca="1" si="13"/>
        <v>1300552293.4537191</v>
      </c>
      <c r="L32" s="14"/>
      <c r="M32" s="52">
        <v>1999</v>
      </c>
      <c r="N32" s="39">
        <v>0.6139110879081161</v>
      </c>
      <c r="O32" s="36">
        <v>3954743</v>
      </c>
      <c r="P32" s="36">
        <f t="shared" si="11"/>
        <v>2966057.25</v>
      </c>
      <c r="Q32" s="36">
        <v>0.80789999999999995</v>
      </c>
      <c r="R32" s="36">
        <f t="shared" si="9"/>
        <v>1471101.4204380515</v>
      </c>
      <c r="S32" s="36">
        <f t="shared" si="10"/>
        <v>735550.71021902573</v>
      </c>
      <c r="X32" s="60">
        <v>25</v>
      </c>
      <c r="Y32" s="8">
        <v>33</v>
      </c>
      <c r="Z32" s="8">
        <v>46</v>
      </c>
      <c r="AA32" s="8">
        <v>66</v>
      </c>
      <c r="AB32" s="8">
        <v>67</v>
      </c>
      <c r="AC32" s="8">
        <v>32</v>
      </c>
      <c r="AD32" s="8">
        <v>14</v>
      </c>
      <c r="AE32" s="8">
        <v>52</v>
      </c>
      <c r="AF32" s="8">
        <v>63</v>
      </c>
      <c r="AG32" s="8">
        <v>28</v>
      </c>
      <c r="AH32" s="8">
        <v>26</v>
      </c>
    </row>
    <row r="33" spans="2:34" hidden="1" x14ac:dyDescent="0.3">
      <c r="B33" s="69">
        <v>43101</v>
      </c>
      <c r="C33" s="70">
        <f t="shared" si="0"/>
        <v>1133538.8309810241</v>
      </c>
      <c r="D33" s="71">
        <f t="shared" ca="1" si="1"/>
        <v>13.60246597177229</v>
      </c>
      <c r="E33" s="71">
        <f t="shared" si="2"/>
        <v>34.389301054302315</v>
      </c>
      <c r="F33" s="92">
        <f t="shared" ca="1" si="3"/>
        <v>11.662414262548266</v>
      </c>
      <c r="G33" s="92">
        <f t="shared" si="4"/>
        <v>29.484526991432443</v>
      </c>
      <c r="H33" s="72">
        <f t="shared" si="6"/>
        <v>0.85737499999999989</v>
      </c>
      <c r="I33" s="72">
        <f t="shared" si="7"/>
        <v>0.14262500000000011</v>
      </c>
      <c r="J33" s="209">
        <f t="shared" ca="1" si="12"/>
        <v>205968823.12928391</v>
      </c>
      <c r="K33" s="210">
        <f t="shared" ca="1" si="13"/>
        <v>1238159647.5405407</v>
      </c>
      <c r="L33" s="14"/>
      <c r="M33" s="52">
        <v>2000</v>
      </c>
      <c r="N33" s="39">
        <v>0.61861621101579412</v>
      </c>
      <c r="O33" s="36">
        <v>4028871</v>
      </c>
      <c r="P33" s="36">
        <f t="shared" si="11"/>
        <v>3021653.25</v>
      </c>
      <c r="Q33" s="36">
        <v>0.81289999999999996</v>
      </c>
      <c r="R33" s="36">
        <f t="shared" si="9"/>
        <v>1519508.1911451374</v>
      </c>
      <c r="S33" s="36">
        <f t="shared" si="10"/>
        <v>759754.09557256871</v>
      </c>
      <c r="X33" s="60">
        <v>26</v>
      </c>
      <c r="Y33" s="8">
        <v>16</v>
      </c>
      <c r="Z33" s="8">
        <v>8</v>
      </c>
      <c r="AA33" s="8">
        <v>41</v>
      </c>
      <c r="AB33" s="8">
        <v>46</v>
      </c>
      <c r="AC33" s="8">
        <v>14</v>
      </c>
      <c r="AD33" s="8">
        <v>19</v>
      </c>
      <c r="AE33" s="8">
        <v>31</v>
      </c>
      <c r="AF33" s="8">
        <v>30</v>
      </c>
      <c r="AG33" s="8">
        <v>26</v>
      </c>
      <c r="AH33" s="8">
        <v>6</v>
      </c>
    </row>
    <row r="34" spans="2:34" hidden="1" x14ac:dyDescent="0.3">
      <c r="B34" s="69">
        <v>43466</v>
      </c>
      <c r="C34" s="70">
        <f t="shared" si="0"/>
        <v>1145986.0972682405</v>
      </c>
      <c r="D34" s="71">
        <f t="shared" ca="1" si="1"/>
        <v>13.751833167218887</v>
      </c>
      <c r="E34" s="71">
        <f t="shared" si="2"/>
        <v>34.766926218923885</v>
      </c>
      <c r="F34" s="92">
        <f t="shared" ca="1" si="3"/>
        <v>11.200954063657079</v>
      </c>
      <c r="G34" s="92">
        <f t="shared" si="4"/>
        <v>28.317878698602371</v>
      </c>
      <c r="H34" s="72">
        <f t="shared" si="6"/>
        <v>0.81450624999999999</v>
      </c>
      <c r="I34" s="72">
        <f t="shared" si="7"/>
        <v>0.18549375000000001</v>
      </c>
      <c r="J34" s="209">
        <f t="shared" ca="1" si="12"/>
        <v>270818331.49481201</v>
      </c>
      <c r="K34" s="210">
        <f t="shared" ca="1" si="13"/>
        <v>1189167956.4249265</v>
      </c>
      <c r="L34" s="14"/>
      <c r="M34" s="52">
        <v>2001</v>
      </c>
      <c r="N34" s="39">
        <v>0.61714956930305398</v>
      </c>
      <c r="O34" s="36">
        <v>4077145</v>
      </c>
      <c r="P34" s="36">
        <f t="shared" si="11"/>
        <v>3057858.75</v>
      </c>
      <c r="Q34" s="36">
        <v>0.81500000000000006</v>
      </c>
      <c r="R34" s="36">
        <f t="shared" si="9"/>
        <v>1538032.3115999412</v>
      </c>
      <c r="S34" s="36">
        <f t="shared" si="10"/>
        <v>769016.15579997061</v>
      </c>
      <c r="X34" s="60">
        <v>27</v>
      </c>
      <c r="Y34" s="8">
        <v>32</v>
      </c>
      <c r="Z34" s="8">
        <v>4</v>
      </c>
      <c r="AA34" s="8">
        <v>61</v>
      </c>
      <c r="AB34" s="8">
        <v>4</v>
      </c>
      <c r="AC34" s="8">
        <v>51</v>
      </c>
      <c r="AD34" s="8">
        <v>17</v>
      </c>
      <c r="AE34" s="8">
        <v>22</v>
      </c>
      <c r="AF34" s="8">
        <v>25</v>
      </c>
      <c r="AG34" s="8">
        <v>24</v>
      </c>
      <c r="AH34" s="8">
        <v>21</v>
      </c>
    </row>
    <row r="35" spans="2:34" hidden="1" x14ac:dyDescent="0.3">
      <c r="B35" s="69">
        <v>43831</v>
      </c>
      <c r="C35" s="70">
        <f t="shared" si="0"/>
        <v>1132136.4389216413</v>
      </c>
      <c r="D35" s="71">
        <f t="shared" ca="1" si="1"/>
        <v>13.585637267059695</v>
      </c>
      <c r="E35" s="71">
        <f t="shared" si="2"/>
        <v>34.346755284004757</v>
      </c>
      <c r="F35" s="92">
        <f t="shared" ca="1" si="3"/>
        <v>10.512307141040388</v>
      </c>
      <c r="G35" s="92">
        <f t="shared" si="4"/>
        <v>26.576864503740278</v>
      </c>
      <c r="H35" s="72">
        <f t="shared" si="6"/>
        <v>0.77378093749999999</v>
      </c>
      <c r="I35" s="72">
        <f t="shared" si="7"/>
        <v>0.22621906250000001</v>
      </c>
      <c r="J35" s="209">
        <f t="shared" ca="1" si="12"/>
        <v>326285215.0457164</v>
      </c>
      <c r="K35" s="210">
        <f t="shared" ca="1" si="13"/>
        <v>1116056608.1404548</v>
      </c>
      <c r="L35" s="14"/>
      <c r="M35" s="52">
        <v>2002</v>
      </c>
      <c r="N35" s="39">
        <v>0.61895315122844496</v>
      </c>
      <c r="O35" s="36">
        <v>4104419</v>
      </c>
      <c r="P35" s="36">
        <f t="shared" si="11"/>
        <v>3078314.25</v>
      </c>
      <c r="Q35" s="36">
        <v>0.81690000000000007</v>
      </c>
      <c r="R35" s="36">
        <f t="shared" si="9"/>
        <v>1556465.9603702426</v>
      </c>
      <c r="S35" s="36">
        <f t="shared" si="10"/>
        <v>778232.9801851213</v>
      </c>
      <c r="X35" s="60">
        <v>28</v>
      </c>
      <c r="Y35" s="8">
        <v>18</v>
      </c>
      <c r="Z35" s="8">
        <v>2</v>
      </c>
      <c r="AA35" s="8">
        <v>35</v>
      </c>
      <c r="AB35" s="8">
        <v>30</v>
      </c>
      <c r="AC35" s="8">
        <v>22</v>
      </c>
      <c r="AD35" s="8">
        <v>26</v>
      </c>
      <c r="AE35" s="8">
        <v>29</v>
      </c>
      <c r="AF35" s="8">
        <v>21</v>
      </c>
      <c r="AG35" s="8">
        <v>3</v>
      </c>
      <c r="AH35" s="8">
        <v>42</v>
      </c>
    </row>
    <row r="36" spans="2:34" hidden="1" x14ac:dyDescent="0.3">
      <c r="B36" s="69">
        <v>44197</v>
      </c>
      <c r="C36" s="73">
        <f>_xlfn.FORECAST.ETS(B36, C$4:C$35, B$4:B$35,0,1)</f>
        <v>1158368.6342186362</v>
      </c>
      <c r="D36" s="71">
        <f t="shared" ref="D36:D65" ca="1" si="14">C36*Q$77/M$4</f>
        <v>13.900423610623635</v>
      </c>
      <c r="E36" s="71">
        <f t="shared" ref="E36:E65" si="15">C36/M$4*$Z$5</f>
        <v>35.142587624924985</v>
      </c>
      <c r="F36" s="92">
        <f t="shared" ref="F36:F65" ca="1" si="16">IF(YEAR($B36)&gt;=YEAR($N$4), D36*(1-$O$4)^(YEAR($B36)-YEAR($N$4)), D36)</f>
        <v>10.218088672421716</v>
      </c>
      <c r="G36" s="92">
        <f t="shared" ref="G36:G65" si="17">IF(YEAR($B36)&gt;=YEAR($N$4), E36*(1-$O$4)^(YEAR($B36)-YEAR($N$4)), E36)</f>
        <v>25.833031178660832</v>
      </c>
      <c r="H36" s="72">
        <f t="shared" ref="H36:H65" si="18">G36/E36</f>
        <v>0.73509189062499991</v>
      </c>
      <c r="I36" s="72">
        <f t="shared" si="7"/>
        <v>0.26490810937500009</v>
      </c>
      <c r="J36" s="209">
        <f t="shared" ca="1" si="12"/>
        <v>390941225.93910378</v>
      </c>
      <c r="K36" s="210">
        <f t="shared" ca="1" si="13"/>
        <v>1084820414.0554388</v>
      </c>
      <c r="L36" s="14"/>
      <c r="M36" s="52">
        <v>2003</v>
      </c>
      <c r="N36" s="39">
        <v>0.61538176426982949</v>
      </c>
      <c r="O36" s="36">
        <v>4129225</v>
      </c>
      <c r="P36" s="36">
        <f t="shared" si="11"/>
        <v>3096918.75</v>
      </c>
      <c r="Q36" s="36">
        <v>0.8196</v>
      </c>
      <c r="R36" s="36">
        <f t="shared" si="9"/>
        <v>1561983.2908940881</v>
      </c>
      <c r="S36" s="36">
        <f t="shared" si="10"/>
        <v>780991.64544704405</v>
      </c>
      <c r="X36" s="60">
        <v>29</v>
      </c>
      <c r="Y36" s="8">
        <v>24</v>
      </c>
      <c r="Z36" s="8">
        <v>86</v>
      </c>
      <c r="AA36" s="8">
        <v>46</v>
      </c>
      <c r="AB36" s="8">
        <v>53</v>
      </c>
      <c r="AC36" s="8">
        <v>9</v>
      </c>
      <c r="AD36" s="8">
        <v>19</v>
      </c>
      <c r="AE36" s="8">
        <v>61</v>
      </c>
      <c r="AF36" s="8">
        <v>26</v>
      </c>
      <c r="AG36" s="8">
        <v>14</v>
      </c>
      <c r="AH36" s="8">
        <v>32</v>
      </c>
    </row>
    <row r="37" spans="2:34" x14ac:dyDescent="0.3">
      <c r="B37" s="69">
        <v>44562</v>
      </c>
      <c r="C37" s="73">
        <f t="shared" ref="C37:C65" si="19">_xlfn.FORECAST.ETS(B37, C$4:C$35, B$4:B$35,0,1)</f>
        <v>1180843.8320345248</v>
      </c>
      <c r="D37" s="71">
        <f t="shared" ca="1" si="14"/>
        <v>14.170125984414298</v>
      </c>
      <c r="E37" s="71">
        <f t="shared" si="15"/>
        <v>35.824440176263408</v>
      </c>
      <c r="F37" s="92">
        <f t="shared" ca="1" si="16"/>
        <v>9.8955274652636671</v>
      </c>
      <c r="G37" s="92">
        <f t="shared" si="17"/>
        <v>25.017542686764092</v>
      </c>
      <c r="H37" s="72">
        <f t="shared" si="18"/>
        <v>0.69833729609374995</v>
      </c>
      <c r="I37" s="72">
        <f t="shared" si="7"/>
        <v>0.30166270390625005</v>
      </c>
      <c r="J37" s="209">
        <f t="shared" ca="1" si="12"/>
        <v>453819876.11649191</v>
      </c>
      <c r="K37" s="210">
        <f t="shared" ca="1" si="13"/>
        <v>1050575165.8954927</v>
      </c>
      <c r="L37" s="14"/>
      <c r="M37" s="52">
        <v>2004</v>
      </c>
      <c r="N37" s="39">
        <v>0.61270895685816484</v>
      </c>
      <c r="O37" s="36">
        <v>4177213</v>
      </c>
      <c r="P37" s="36">
        <f t="shared" si="11"/>
        <v>3132909.75</v>
      </c>
      <c r="Q37" s="36">
        <v>0.82329999999999992</v>
      </c>
      <c r="R37" s="36">
        <f t="shared" si="9"/>
        <v>1580375.2833337004</v>
      </c>
      <c r="S37" s="36">
        <f t="shared" si="10"/>
        <v>790187.64166685019</v>
      </c>
      <c r="X37" s="60">
        <v>30</v>
      </c>
      <c r="Y37" s="8">
        <v>20</v>
      </c>
      <c r="Z37" s="8">
        <v>25</v>
      </c>
      <c r="AA37" s="8">
        <v>39</v>
      </c>
      <c r="AB37" s="8">
        <v>60</v>
      </c>
      <c r="AC37" s="8">
        <v>25</v>
      </c>
      <c r="AD37" s="8">
        <v>36</v>
      </c>
      <c r="AE37" s="8">
        <v>38</v>
      </c>
      <c r="AF37" s="8">
        <v>51</v>
      </c>
      <c r="AG37" s="8">
        <v>21</v>
      </c>
      <c r="AH37" s="8">
        <v>15</v>
      </c>
    </row>
    <row r="38" spans="2:34" x14ac:dyDescent="0.3">
      <c r="B38" s="69">
        <v>44927</v>
      </c>
      <c r="C38" s="73">
        <f t="shared" si="19"/>
        <v>1203319.0298504131</v>
      </c>
      <c r="D38" s="71">
        <f t="shared" ca="1" si="14"/>
        <v>14.439828358204958</v>
      </c>
      <c r="E38" s="71">
        <f t="shared" si="15"/>
        <v>36.506292727601831</v>
      </c>
      <c r="F38" s="92">
        <f t="shared" ca="1" si="16"/>
        <v>9.5796771571403685</v>
      </c>
      <c r="G38" s="92">
        <f t="shared" si="17"/>
        <v>24.219020466110372</v>
      </c>
      <c r="H38" s="72">
        <f t="shared" si="18"/>
        <v>0.66342043128906247</v>
      </c>
      <c r="I38" s="72">
        <f t="shared" si="7"/>
        <v>0.33657956871093753</v>
      </c>
      <c r="J38" s="209">
        <f t="shared" ca="1" si="12"/>
        <v>515986052.51302397</v>
      </c>
      <c r="K38" s="210">
        <f t="shared" ca="1" si="13"/>
        <v>1017042391.5164024</v>
      </c>
      <c r="L38" s="14"/>
      <c r="M38" s="52">
        <v>2005</v>
      </c>
      <c r="N38" s="39">
        <v>0.61383243692018918</v>
      </c>
      <c r="O38" s="36">
        <v>4265687</v>
      </c>
      <c r="P38" s="36">
        <f t="shared" si="11"/>
        <v>3199265.25</v>
      </c>
      <c r="Q38" s="36">
        <v>0.82769999999999999</v>
      </c>
      <c r="R38" s="36">
        <f t="shared" si="9"/>
        <v>1625447.8419471583</v>
      </c>
      <c r="S38" s="36">
        <f t="shared" si="10"/>
        <v>812723.92097357917</v>
      </c>
      <c r="X38" s="60">
        <v>31</v>
      </c>
      <c r="Y38" s="8">
        <v>42</v>
      </c>
      <c r="Z38" s="8">
        <v>26</v>
      </c>
      <c r="AA38" s="8">
        <v>32</v>
      </c>
      <c r="AB38" s="8">
        <v>26</v>
      </c>
      <c r="AC38" s="8">
        <v>28</v>
      </c>
      <c r="AD38" s="8">
        <v>15</v>
      </c>
      <c r="AE38" s="8">
        <v>20</v>
      </c>
      <c r="AF38" s="8">
        <v>45</v>
      </c>
      <c r="AG38" s="8">
        <v>8</v>
      </c>
      <c r="AH38" s="8">
        <v>14</v>
      </c>
    </row>
    <row r="39" spans="2:34" x14ac:dyDescent="0.3">
      <c r="B39" s="69">
        <v>45292</v>
      </c>
      <c r="C39" s="73">
        <f t="shared" si="19"/>
        <v>1225794.2276663017</v>
      </c>
      <c r="D39" s="71">
        <f t="shared" ca="1" si="14"/>
        <v>14.709530731995621</v>
      </c>
      <c r="E39" s="71">
        <f t="shared" si="15"/>
        <v>37.188145278940262</v>
      </c>
      <c r="F39" s="92">
        <f t="shared" ca="1" si="16"/>
        <v>9.2706730611662405</v>
      </c>
      <c r="G39" s="92">
        <f t="shared" si="17"/>
        <v>23.437806610805115</v>
      </c>
      <c r="H39" s="72">
        <f t="shared" si="18"/>
        <v>0.6302494097246093</v>
      </c>
      <c r="I39" s="72">
        <f t="shared" si="7"/>
        <v>0.3697505902753907</v>
      </c>
      <c r="J39" s="209">
        <f t="shared" ca="1" si="12"/>
        <v>577425389.38638592</v>
      </c>
      <c r="K39" s="210">
        <f t="shared" ca="1" si="13"/>
        <v>984236456.66048241</v>
      </c>
      <c r="L39" s="14"/>
      <c r="M39" s="52">
        <v>2006</v>
      </c>
      <c r="N39" s="39">
        <v>0.60757743362831862</v>
      </c>
      <c r="O39" s="36">
        <v>4402331</v>
      </c>
      <c r="P39" s="36">
        <f t="shared" si="11"/>
        <v>3301748.25</v>
      </c>
      <c r="Q39" s="36">
        <v>0.83249999999999991</v>
      </c>
      <c r="R39" s="36">
        <f t="shared" si="9"/>
        <v>1670051.3837446419</v>
      </c>
      <c r="S39" s="36">
        <f t="shared" si="10"/>
        <v>835025.69187232095</v>
      </c>
      <c r="X39" s="60">
        <v>32</v>
      </c>
      <c r="Y39" s="8">
        <v>47</v>
      </c>
      <c r="Z39" s="8">
        <v>6</v>
      </c>
      <c r="AA39" s="8">
        <v>18</v>
      </c>
      <c r="AB39" s="8">
        <v>13</v>
      </c>
      <c r="AC39" s="8">
        <v>28</v>
      </c>
      <c r="AD39" s="8">
        <v>26</v>
      </c>
      <c r="AE39" s="8">
        <v>32</v>
      </c>
      <c r="AF39" s="8">
        <v>48</v>
      </c>
      <c r="AG39" s="8">
        <v>14</v>
      </c>
      <c r="AH39" s="8">
        <v>47</v>
      </c>
    </row>
    <row r="40" spans="2:34" x14ac:dyDescent="0.3">
      <c r="B40" s="69">
        <v>45658</v>
      </c>
      <c r="C40" s="73">
        <f t="shared" si="19"/>
        <v>1248269.42548219</v>
      </c>
      <c r="D40" s="71">
        <f t="shared" ca="1" si="14"/>
        <v>14.979233105786278</v>
      </c>
      <c r="E40" s="71">
        <f t="shared" si="15"/>
        <v>37.869997830278685</v>
      </c>
      <c r="F40" s="92">
        <f t="shared" ca="1" si="16"/>
        <v>8.9686201818966733</v>
      </c>
      <c r="G40" s="92">
        <f t="shared" si="17"/>
        <v>22.674166589865109</v>
      </c>
      <c r="H40" s="72">
        <f t="shared" si="18"/>
        <v>0.5987369392383789</v>
      </c>
      <c r="I40" s="72">
        <f t="shared" si="7"/>
        <v>0.4012630607616211</v>
      </c>
      <c r="J40" s="209">
        <f t="shared" ca="1" si="12"/>
        <v>638126738.75294662</v>
      </c>
      <c r="K40" s="210">
        <f t="shared" ca="1" si="13"/>
        <v>952168509.31136346</v>
      </c>
      <c r="L40" s="14"/>
      <c r="M40" s="52">
        <v>2007</v>
      </c>
      <c r="N40" s="39">
        <v>0.60690755960062492</v>
      </c>
      <c r="O40" s="36">
        <v>4578630</v>
      </c>
      <c r="P40" s="36">
        <f t="shared" si="11"/>
        <v>3433972.5</v>
      </c>
      <c r="Q40" s="36">
        <v>0.83829999999999993</v>
      </c>
      <c r="R40" s="36">
        <f t="shared" si="9"/>
        <v>1747104.2739784436</v>
      </c>
      <c r="S40" s="36">
        <f t="shared" si="10"/>
        <v>873552.13698922179</v>
      </c>
      <c r="X40" s="60">
        <v>33</v>
      </c>
      <c r="Y40" s="8">
        <v>36</v>
      </c>
      <c r="Z40" s="8">
        <v>10</v>
      </c>
      <c r="AA40" s="8">
        <v>38</v>
      </c>
      <c r="AB40" s="8">
        <v>32</v>
      </c>
      <c r="AC40" s="8">
        <v>25</v>
      </c>
      <c r="AD40" s="8">
        <v>34</v>
      </c>
      <c r="AE40" s="8">
        <v>26</v>
      </c>
      <c r="AF40" s="8">
        <v>20</v>
      </c>
      <c r="AG40" s="8">
        <v>29</v>
      </c>
      <c r="AH40" s="8">
        <v>25</v>
      </c>
    </row>
    <row r="41" spans="2:34" x14ac:dyDescent="0.3">
      <c r="B41" s="69">
        <v>46023</v>
      </c>
      <c r="C41" s="73">
        <f t="shared" si="19"/>
        <v>1270744.6232980785</v>
      </c>
      <c r="D41" s="71">
        <f t="shared" ca="1" si="14"/>
        <v>15.248935479576941</v>
      </c>
      <c r="E41" s="71">
        <f t="shared" si="15"/>
        <v>38.551850381617108</v>
      </c>
      <c r="F41" s="92">
        <f t="shared" ca="1" si="16"/>
        <v>8.6735959079011469</v>
      </c>
      <c r="G41" s="92">
        <f t="shared" si="17"/>
        <v>21.928296054492087</v>
      </c>
      <c r="H41" s="72">
        <f t="shared" si="18"/>
        <v>0.56880009227645989</v>
      </c>
      <c r="I41" s="72">
        <f t="shared" si="7"/>
        <v>0.43119990772354011</v>
      </c>
      <c r="J41" s="209">
        <f t="shared" ca="1" si="12"/>
        <v>698081884.52624679</v>
      </c>
      <c r="K41" s="210">
        <f t="shared" ca="1" si="13"/>
        <v>920846765.55550528</v>
      </c>
      <c r="L41" s="14"/>
      <c r="M41" s="52">
        <v>2008</v>
      </c>
      <c r="N41" s="39">
        <v>0.60694841431876956</v>
      </c>
      <c r="O41" s="36">
        <v>4775804</v>
      </c>
      <c r="P41" s="36">
        <f t="shared" si="11"/>
        <v>3581853</v>
      </c>
      <c r="Q41" s="36">
        <v>0.84510000000000007</v>
      </c>
      <c r="R41" s="36">
        <f t="shared" si="9"/>
        <v>1837247.3988784913</v>
      </c>
      <c r="S41" s="36">
        <f t="shared" si="10"/>
        <v>918623.69943924563</v>
      </c>
      <c r="X41" s="60">
        <v>34</v>
      </c>
      <c r="Y41" s="8">
        <v>32</v>
      </c>
      <c r="Z41" s="8">
        <v>15</v>
      </c>
      <c r="AA41" s="8">
        <v>39</v>
      </c>
      <c r="AB41" s="8">
        <v>47</v>
      </c>
      <c r="AC41" s="8">
        <v>31</v>
      </c>
      <c r="AD41" s="8">
        <v>28</v>
      </c>
      <c r="AE41" s="8">
        <v>39</v>
      </c>
      <c r="AF41" s="8">
        <v>30</v>
      </c>
      <c r="AG41" s="8">
        <v>25</v>
      </c>
      <c r="AH41" s="8">
        <v>28</v>
      </c>
    </row>
    <row r="42" spans="2:34" x14ac:dyDescent="0.3">
      <c r="B42" s="69">
        <v>46388</v>
      </c>
      <c r="C42" s="73">
        <f t="shared" si="19"/>
        <v>1293219.8211139669</v>
      </c>
      <c r="D42" s="71">
        <f t="shared" ca="1" si="14"/>
        <v>15.518637853367602</v>
      </c>
      <c r="E42" s="71">
        <f t="shared" si="15"/>
        <v>39.233702932955531</v>
      </c>
      <c r="F42" s="92">
        <f t="shared" ca="1" si="16"/>
        <v>8.3856525108504325</v>
      </c>
      <c r="G42" s="92">
        <f t="shared" si="17"/>
        <v>21.200327156181704</v>
      </c>
      <c r="H42" s="72">
        <f t="shared" si="18"/>
        <v>0.54036008766263688</v>
      </c>
      <c r="I42" s="72">
        <f t="shared" si="7"/>
        <v>0.45963991233736312</v>
      </c>
      <c r="J42" s="209">
        <f t="shared" ca="1" si="12"/>
        <v>757285277.19723952</v>
      </c>
      <c r="K42" s="210">
        <f t="shared" ca="1" si="13"/>
        <v>890276774.90195429</v>
      </c>
      <c r="L42" s="14"/>
      <c r="M42" s="52">
        <v>2009</v>
      </c>
      <c r="N42" s="39">
        <v>0.60343350467905632</v>
      </c>
      <c r="O42" s="36">
        <v>4966614</v>
      </c>
      <c r="P42" s="36">
        <f t="shared" si="11"/>
        <v>3724960.5</v>
      </c>
      <c r="Q42" s="36">
        <v>0.8528</v>
      </c>
      <c r="R42" s="36">
        <f t="shared" si="9"/>
        <v>1916894.8186241994</v>
      </c>
      <c r="S42" s="36">
        <f t="shared" si="10"/>
        <v>958447.40931209968</v>
      </c>
      <c r="X42" s="60">
        <v>35</v>
      </c>
      <c r="Y42" s="8">
        <v>26</v>
      </c>
      <c r="Z42" s="8">
        <v>32</v>
      </c>
      <c r="AA42" s="8">
        <v>10</v>
      </c>
      <c r="AB42" s="8">
        <v>54</v>
      </c>
      <c r="AC42" s="8">
        <v>12</v>
      </c>
      <c r="AD42" s="8">
        <v>22</v>
      </c>
      <c r="AE42" s="8">
        <v>34</v>
      </c>
      <c r="AF42" s="8">
        <v>13</v>
      </c>
      <c r="AG42" s="8">
        <v>62</v>
      </c>
      <c r="AH42" s="8">
        <v>15</v>
      </c>
    </row>
    <row r="43" spans="2:34" x14ac:dyDescent="0.3">
      <c r="B43" s="69">
        <v>46753</v>
      </c>
      <c r="C43" s="73">
        <f t="shared" si="19"/>
        <v>1315695.0189298554</v>
      </c>
      <c r="D43" s="71">
        <f t="shared" ca="1" si="14"/>
        <v>15.788340227158265</v>
      </c>
      <c r="E43" s="71">
        <f t="shared" si="15"/>
        <v>39.915555484293961</v>
      </c>
      <c r="F43" s="92">
        <f t="shared" ca="1" si="16"/>
        <v>8.104819463735037</v>
      </c>
      <c r="G43" s="92">
        <f t="shared" si="17"/>
        <v>20.490334407566134</v>
      </c>
      <c r="H43" s="72">
        <f t="shared" si="18"/>
        <v>0.51334208327950503</v>
      </c>
      <c r="I43" s="72">
        <f t="shared" si="7"/>
        <v>0.48665791672049497</v>
      </c>
      <c r="J43" s="209">
        <f t="shared" ca="1" si="12"/>
        <v>815733787.716766</v>
      </c>
      <c r="K43" s="210">
        <f t="shared" ca="1" si="13"/>
        <v>860461666.3998698</v>
      </c>
      <c r="L43" s="14"/>
      <c r="M43" s="52">
        <v>2010</v>
      </c>
      <c r="N43" s="39">
        <v>0.59394017451782211</v>
      </c>
      <c r="O43" s="36">
        <v>5131172</v>
      </c>
      <c r="P43" s="36">
        <f t="shared" si="11"/>
        <v>3848379</v>
      </c>
      <c r="Q43" s="36">
        <v>0.86009999999999998</v>
      </c>
      <c r="R43" s="36">
        <f t="shared" si="9"/>
        <v>1965936.5002783078</v>
      </c>
      <c r="S43" s="36">
        <f t="shared" si="10"/>
        <v>982968.25013915391</v>
      </c>
      <c r="X43" s="60">
        <v>36</v>
      </c>
      <c r="Y43" s="8">
        <v>27</v>
      </c>
      <c r="Z43" s="8">
        <v>38</v>
      </c>
      <c r="AA43" s="8">
        <v>22</v>
      </c>
      <c r="AB43" s="8">
        <v>49</v>
      </c>
      <c r="AC43" s="8">
        <v>49</v>
      </c>
      <c r="AD43" s="8">
        <v>18</v>
      </c>
      <c r="AE43" s="8">
        <v>27</v>
      </c>
      <c r="AF43" s="8">
        <v>26</v>
      </c>
      <c r="AG43" s="8">
        <v>18</v>
      </c>
      <c r="AH43" s="8">
        <v>32</v>
      </c>
    </row>
    <row r="44" spans="2:34" x14ac:dyDescent="0.3">
      <c r="B44" s="69">
        <v>47119</v>
      </c>
      <c r="C44" s="73">
        <f t="shared" si="19"/>
        <v>1338170.2167457438</v>
      </c>
      <c r="D44" s="71">
        <f t="shared" ca="1" si="14"/>
        <v>16.058042600948927</v>
      </c>
      <c r="E44" s="71">
        <f t="shared" si="15"/>
        <v>40.59740803563237</v>
      </c>
      <c r="F44" s="92">
        <f t="shared" ca="1" si="16"/>
        <v>7.8311055900540554</v>
      </c>
      <c r="G44" s="92">
        <f t="shared" si="17"/>
        <v>19.798340115921658</v>
      </c>
      <c r="H44" s="72">
        <f t="shared" si="18"/>
        <v>0.48767497911552982</v>
      </c>
      <c r="I44" s="72">
        <f t="shared" si="7"/>
        <v>0.51232502088447018</v>
      </c>
      <c r="J44" s="209">
        <f t="shared" ca="1" si="12"/>
        <v>873426479.32333875</v>
      </c>
      <c r="K44" s="210">
        <f t="shared" ca="1" si="13"/>
        <v>831402376.8107388</v>
      </c>
      <c r="L44" s="14"/>
      <c r="M44" s="52">
        <v>2011</v>
      </c>
      <c r="N44" s="39">
        <v>0.59576968272620445</v>
      </c>
      <c r="O44" s="36">
        <v>5263636</v>
      </c>
      <c r="P44" s="36">
        <f t="shared" si="11"/>
        <v>3947727</v>
      </c>
      <c r="Q44" s="36">
        <v>0.86250000000000004</v>
      </c>
      <c r="R44" s="36">
        <f t="shared" si="9"/>
        <v>2028544.8537162163</v>
      </c>
      <c r="S44" s="36">
        <f t="shared" si="10"/>
        <v>1014272.4268581081</v>
      </c>
      <c r="X44" s="60">
        <v>37</v>
      </c>
      <c r="Y44" s="8">
        <v>25</v>
      </c>
      <c r="Z44" s="8">
        <v>23</v>
      </c>
      <c r="AA44" s="8">
        <v>50</v>
      </c>
      <c r="AB44" s="8">
        <v>24</v>
      </c>
      <c r="AC44" s="8">
        <v>38</v>
      </c>
      <c r="AD44" s="8">
        <v>73</v>
      </c>
      <c r="AE44" s="8">
        <v>24</v>
      </c>
      <c r="AF44" s="8">
        <v>21</v>
      </c>
      <c r="AG44" s="8">
        <v>12</v>
      </c>
      <c r="AH44" s="8">
        <v>18</v>
      </c>
    </row>
    <row r="45" spans="2:34" x14ac:dyDescent="0.3">
      <c r="B45" s="69">
        <v>47484</v>
      </c>
      <c r="C45" s="73">
        <f t="shared" si="19"/>
        <v>1360645.4145616321</v>
      </c>
      <c r="D45" s="71">
        <f t="shared" ca="1" si="14"/>
        <v>16.327744974739584</v>
      </c>
      <c r="E45" s="71">
        <f t="shared" si="15"/>
        <v>41.279260586970793</v>
      </c>
      <c r="F45" s="92">
        <f t="shared" ca="1" si="16"/>
        <v>7.5645010550818323</v>
      </c>
      <c r="G45" s="92">
        <f t="shared" si="17"/>
        <v>19.124319417422718</v>
      </c>
      <c r="H45" s="72">
        <f t="shared" si="18"/>
        <v>0.46329123015975332</v>
      </c>
      <c r="I45" s="72">
        <f t="shared" si="7"/>
        <v>0.53670876984024662</v>
      </c>
      <c r="J45" s="209">
        <f t="shared" ca="1" si="12"/>
        <v>930364396.13699794</v>
      </c>
      <c r="K45" s="210">
        <f t="shared" ca="1" si="13"/>
        <v>803097862.01452136</v>
      </c>
      <c r="L45" s="14"/>
      <c r="M45" s="52">
        <v>2012</v>
      </c>
      <c r="N45" s="39">
        <v>0.59660697455230915</v>
      </c>
      <c r="O45" s="36">
        <v>5369476</v>
      </c>
      <c r="P45" s="36">
        <f t="shared" si="11"/>
        <v>4027107</v>
      </c>
      <c r="Q45" s="36">
        <v>0.86480000000000001</v>
      </c>
      <c r="R45" s="36">
        <f t="shared" si="9"/>
        <v>2077768.5867754947</v>
      </c>
      <c r="S45" s="36">
        <f t="shared" si="10"/>
        <v>1038884.2933877474</v>
      </c>
      <c r="X45" s="60">
        <v>38</v>
      </c>
      <c r="Y45" s="8">
        <v>30</v>
      </c>
      <c r="Z45" s="8">
        <v>46</v>
      </c>
      <c r="AA45" s="8">
        <v>8</v>
      </c>
      <c r="AB45" s="8">
        <v>34</v>
      </c>
      <c r="AC45" s="8">
        <v>24</v>
      </c>
      <c r="AD45" s="8">
        <v>34</v>
      </c>
      <c r="AE45" s="8">
        <v>20</v>
      </c>
      <c r="AF45" s="8">
        <v>65</v>
      </c>
      <c r="AG45" s="8">
        <v>33</v>
      </c>
      <c r="AH45" s="8">
        <v>34</v>
      </c>
    </row>
    <row r="46" spans="2:34" x14ac:dyDescent="0.3">
      <c r="B46" s="74">
        <v>47849</v>
      </c>
      <c r="C46" s="73">
        <f t="shared" si="19"/>
        <v>1383120.6123775207</v>
      </c>
      <c r="D46" s="71">
        <f t="shared" ca="1" si="14"/>
        <v>16.597447348530249</v>
      </c>
      <c r="E46" s="71">
        <f t="shared" si="15"/>
        <v>41.961113138309223</v>
      </c>
      <c r="F46" s="92">
        <f t="shared" ca="1" si="16"/>
        <v>7.304979209631699</v>
      </c>
      <c r="G46" s="92">
        <f t="shared" si="17"/>
        <v>18.468204938483872</v>
      </c>
      <c r="H46" s="75">
        <f t="shared" si="18"/>
        <v>0.44012666865176564</v>
      </c>
      <c r="I46" s="72">
        <f t="shared" si="7"/>
        <v>0.55987333134823436</v>
      </c>
      <c r="J46" s="209">
        <f t="shared" ca="1" si="12"/>
        <v>986550367.41306269</v>
      </c>
      <c r="K46" s="210">
        <f t="shared" ca="1" si="13"/>
        <v>775545292.75589859</v>
      </c>
      <c r="L46" s="14"/>
      <c r="M46" s="52">
        <v>2013</v>
      </c>
      <c r="N46" s="39">
        <v>0.59624442434261826</v>
      </c>
      <c r="O46" s="36">
        <v>5453737</v>
      </c>
      <c r="P46" s="36">
        <f t="shared" si="11"/>
        <v>4090302.75</v>
      </c>
      <c r="Q46" s="36">
        <v>0.86769999999999992</v>
      </c>
      <c r="R46" s="36">
        <f t="shared" si="9"/>
        <v>2116164.2949681873</v>
      </c>
      <c r="S46" s="36">
        <f t="shared" si="10"/>
        <v>1058082.1474840937</v>
      </c>
      <c r="X46" s="60">
        <v>39</v>
      </c>
      <c r="Y46" s="8">
        <v>11</v>
      </c>
      <c r="Z46" s="8">
        <v>39</v>
      </c>
      <c r="AA46" s="8">
        <v>15</v>
      </c>
      <c r="AB46" s="8">
        <v>12</v>
      </c>
      <c r="AC46" s="8">
        <v>20</v>
      </c>
      <c r="AD46" s="8">
        <v>31</v>
      </c>
      <c r="AE46" s="8">
        <v>46</v>
      </c>
      <c r="AF46" s="8">
        <v>31</v>
      </c>
      <c r="AG46" s="8">
        <v>35</v>
      </c>
      <c r="AH46" s="8">
        <v>33</v>
      </c>
    </row>
    <row r="47" spans="2:34" x14ac:dyDescent="0.3">
      <c r="B47" s="74">
        <v>48214</v>
      </c>
      <c r="C47" s="73">
        <f t="shared" si="19"/>
        <v>1405595.8101934092</v>
      </c>
      <c r="D47" s="71">
        <f t="shared" ca="1" si="14"/>
        <v>16.86714972232091</v>
      </c>
      <c r="E47" s="71">
        <f t="shared" si="15"/>
        <v>42.642965689647646</v>
      </c>
      <c r="F47" s="92">
        <f t="shared" ca="1" si="16"/>
        <v>7.0524982960888734</v>
      </c>
      <c r="G47" s="92">
        <f t="shared" si="17"/>
        <v>17.829891108895353</v>
      </c>
      <c r="H47" s="75">
        <f t="shared" si="18"/>
        <v>0.41812033521917735</v>
      </c>
      <c r="I47" s="72">
        <f t="shared" si="7"/>
        <v>0.58187966478082265</v>
      </c>
      <c r="J47" s="209">
        <f t="shared" ca="1" si="12"/>
        <v>1041988826.4183012</v>
      </c>
      <c r="K47" s="210">
        <f t="shared" ca="1" si="13"/>
        <v>748740235.76810205</v>
      </c>
      <c r="L47" s="14"/>
      <c r="M47" s="52">
        <v>2014</v>
      </c>
      <c r="N47" s="39">
        <v>0.59515921222160872</v>
      </c>
      <c r="O47" s="36">
        <v>5525626</v>
      </c>
      <c r="P47" s="36">
        <f t="shared" si="11"/>
        <v>4144219.5</v>
      </c>
      <c r="Q47" s="36">
        <v>0.87090000000000001</v>
      </c>
      <c r="R47" s="36">
        <f t="shared" si="9"/>
        <v>2148049.0825888878</v>
      </c>
      <c r="S47" s="36">
        <f t="shared" si="10"/>
        <v>1074024.5412944439</v>
      </c>
      <c r="X47" s="60">
        <v>40</v>
      </c>
      <c r="Y47" s="8">
        <v>35</v>
      </c>
      <c r="Z47" s="8">
        <v>25</v>
      </c>
      <c r="AA47" s="8">
        <v>49</v>
      </c>
      <c r="AB47" s="8">
        <v>25</v>
      </c>
      <c r="AC47" s="8">
        <v>38</v>
      </c>
      <c r="AD47" s="8">
        <v>42</v>
      </c>
      <c r="AE47" s="8">
        <v>38</v>
      </c>
      <c r="AF47" s="8">
        <v>79</v>
      </c>
      <c r="AG47" s="8">
        <v>12</v>
      </c>
      <c r="AH47" s="8">
        <v>42</v>
      </c>
    </row>
    <row r="48" spans="2:34" x14ac:dyDescent="0.3">
      <c r="B48" s="74">
        <v>48580</v>
      </c>
      <c r="C48" s="73">
        <f t="shared" si="19"/>
        <v>1428071.0080092975</v>
      </c>
      <c r="D48" s="71">
        <f t="shared" ca="1" si="14"/>
        <v>17.136852096111568</v>
      </c>
      <c r="E48" s="71">
        <f t="shared" si="15"/>
        <v>43.324818240986069</v>
      </c>
      <c r="F48" s="92">
        <f t="shared" ca="1" si="16"/>
        <v>6.8070030258762495</v>
      </c>
      <c r="G48" s="92">
        <f t="shared" si="17"/>
        <v>17.209238149919472</v>
      </c>
      <c r="H48" s="75">
        <f t="shared" si="18"/>
        <v>0.39721431845821842</v>
      </c>
      <c r="I48" s="72">
        <f t="shared" si="7"/>
        <v>0.60278568154178158</v>
      </c>
      <c r="J48" s="209">
        <f t="shared" ca="1" si="12"/>
        <v>1096685642.95665</v>
      </c>
      <c r="K48" s="210">
        <f t="shared" ca="1" si="13"/>
        <v>722676821.24719501</v>
      </c>
      <c r="L48" s="14"/>
      <c r="M48" s="52">
        <v>2015</v>
      </c>
      <c r="N48" s="39">
        <v>0.59391312311120603</v>
      </c>
      <c r="O48" s="36">
        <v>5592152</v>
      </c>
      <c r="P48" s="36">
        <f t="shared" si="11"/>
        <v>4194114</v>
      </c>
      <c r="Q48" s="36">
        <v>0.87370000000000003</v>
      </c>
      <c r="R48" s="36">
        <f t="shared" si="9"/>
        <v>2176333.7052236269</v>
      </c>
      <c r="S48" s="36">
        <f t="shared" si="10"/>
        <v>1088166.8526118135</v>
      </c>
      <c r="X48" s="60">
        <v>41</v>
      </c>
      <c r="Y48" s="8">
        <v>62</v>
      </c>
      <c r="Z48" s="8">
        <v>34</v>
      </c>
      <c r="AA48" s="8">
        <v>46</v>
      </c>
      <c r="AB48" s="8">
        <v>17</v>
      </c>
      <c r="AC48" s="8">
        <v>20</v>
      </c>
      <c r="AD48" s="8">
        <v>43</v>
      </c>
      <c r="AE48" s="8">
        <v>67</v>
      </c>
      <c r="AF48" s="8">
        <v>54</v>
      </c>
      <c r="AG48" s="8">
        <v>9</v>
      </c>
      <c r="AH48" s="8">
        <v>35</v>
      </c>
    </row>
    <row r="49" spans="2:34" x14ac:dyDescent="0.3">
      <c r="B49" s="74">
        <v>48945</v>
      </c>
      <c r="C49" s="73">
        <f t="shared" si="19"/>
        <v>1450546.2058251859</v>
      </c>
      <c r="D49" s="71">
        <f t="shared" ca="1" si="14"/>
        <v>17.406554469902233</v>
      </c>
      <c r="E49" s="71">
        <f t="shared" si="15"/>
        <v>44.006670792324492</v>
      </c>
      <c r="F49" s="92">
        <f t="shared" ca="1" si="16"/>
        <v>6.5684260369446674</v>
      </c>
      <c r="G49" s="92">
        <f t="shared" si="17"/>
        <v>16.606075759068943</v>
      </c>
      <c r="H49" s="75">
        <f t="shared" si="18"/>
        <v>0.37735360253530753</v>
      </c>
      <c r="I49" s="72">
        <f t="shared" si="7"/>
        <v>0.62264639746469252</v>
      </c>
      <c r="J49" s="209">
        <f t="shared" ca="1" si="12"/>
        <v>1150647968.632328</v>
      </c>
      <c r="K49" s="210">
        <f t="shared" ca="1" si="13"/>
        <v>697347897.58895874</v>
      </c>
      <c r="L49" s="14"/>
      <c r="M49" s="52">
        <v>2016</v>
      </c>
      <c r="N49" s="39">
        <v>0.59505800813620613</v>
      </c>
      <c r="O49" s="36">
        <v>5653634</v>
      </c>
      <c r="P49" s="36">
        <f t="shared" si="11"/>
        <v>4240225.5</v>
      </c>
      <c r="Q49" s="36">
        <v>0.87709999999999999</v>
      </c>
      <c r="R49" s="36">
        <f t="shared" si="9"/>
        <v>2213081.3008627193</v>
      </c>
      <c r="S49" s="36">
        <f t="shared" si="10"/>
        <v>1106540.6504313597</v>
      </c>
      <c r="X49" s="60">
        <v>42</v>
      </c>
      <c r="Y49" s="8">
        <v>43</v>
      </c>
      <c r="Z49" s="8">
        <v>23</v>
      </c>
      <c r="AA49" s="8">
        <v>25</v>
      </c>
      <c r="AB49" s="8">
        <v>48</v>
      </c>
      <c r="AC49" s="8">
        <v>38</v>
      </c>
      <c r="AD49" s="8">
        <v>34</v>
      </c>
      <c r="AE49" s="8">
        <v>18</v>
      </c>
      <c r="AF49" s="8">
        <v>33</v>
      </c>
      <c r="AG49" s="8">
        <v>43</v>
      </c>
      <c r="AH49" s="8">
        <v>45</v>
      </c>
    </row>
    <row r="50" spans="2:34" x14ac:dyDescent="0.3">
      <c r="B50" s="74">
        <v>49310</v>
      </c>
      <c r="C50" s="73">
        <f t="shared" si="19"/>
        <v>1473021.4036410744</v>
      </c>
      <c r="D50" s="71">
        <f t="shared" ca="1" si="14"/>
        <v>17.67625684369289</v>
      </c>
      <c r="E50" s="71">
        <f t="shared" si="15"/>
        <v>44.688523343662922</v>
      </c>
      <c r="F50" s="92">
        <f t="shared" ca="1" si="16"/>
        <v>6.3366892393415517</v>
      </c>
      <c r="G50" s="92">
        <f t="shared" si="17"/>
        <v>16.02020651192867</v>
      </c>
      <c r="H50" s="75">
        <f t="shared" si="18"/>
        <v>0.35848592240854216</v>
      </c>
      <c r="I50" s="72">
        <f t="shared" si="7"/>
        <v>0.64151407759145784</v>
      </c>
      <c r="J50" s="209">
        <f t="shared" ca="1" si="12"/>
        <v>1203884093.9953005</v>
      </c>
      <c r="K50" s="210">
        <f t="shared" ca="1" si="13"/>
        <v>672745174.24342823</v>
      </c>
      <c r="L50" s="14"/>
      <c r="M50" s="52">
        <v>2017</v>
      </c>
      <c r="N50" s="39">
        <v>0.60193248240486696</v>
      </c>
      <c r="O50" s="36">
        <v>5708041</v>
      </c>
      <c r="P50" s="36">
        <f t="shared" si="11"/>
        <v>4281030.75</v>
      </c>
      <c r="Q50" s="36">
        <v>0.87790000000000001</v>
      </c>
      <c r="R50" s="36">
        <f t="shared" si="9"/>
        <v>2262253.0185273234</v>
      </c>
      <c r="S50" s="36">
        <f t="shared" si="10"/>
        <v>1131126.5092636617</v>
      </c>
      <c r="X50" s="60">
        <v>43</v>
      </c>
      <c r="Y50" s="8">
        <v>10</v>
      </c>
      <c r="Z50" s="8">
        <v>34</v>
      </c>
      <c r="AA50" s="8">
        <v>34</v>
      </c>
      <c r="AB50" s="8">
        <v>15</v>
      </c>
      <c r="AC50" s="8">
        <v>8</v>
      </c>
      <c r="AD50" s="8">
        <v>22</v>
      </c>
      <c r="AE50" s="8">
        <v>10</v>
      </c>
      <c r="AF50" s="8">
        <v>12</v>
      </c>
      <c r="AG50" s="8">
        <v>36</v>
      </c>
      <c r="AH50" s="8">
        <v>42</v>
      </c>
    </row>
    <row r="51" spans="2:34" x14ac:dyDescent="0.3">
      <c r="B51" s="74">
        <v>49675</v>
      </c>
      <c r="C51" s="73">
        <f t="shared" si="19"/>
        <v>1495496.6014569628</v>
      </c>
      <c r="D51" s="71">
        <f t="shared" ca="1" si="14"/>
        <v>17.945959217483555</v>
      </c>
      <c r="E51" s="71">
        <f t="shared" si="15"/>
        <v>45.370375895001338</v>
      </c>
      <c r="F51" s="92">
        <f t="shared" ca="1" si="16"/>
        <v>6.1117050564063886</v>
      </c>
      <c r="G51" s="92">
        <f t="shared" si="17"/>
        <v>15.451409000104752</v>
      </c>
      <c r="H51" s="75">
        <f t="shared" si="18"/>
        <v>0.34056162628811509</v>
      </c>
      <c r="I51" s="72">
        <f t="shared" si="7"/>
        <v>0.65943837371188496</v>
      </c>
      <c r="J51" s="209">
        <f t="shared" ca="1" si="12"/>
        <v>1256403316.7676923</v>
      </c>
      <c r="K51" s="210">
        <f t="shared" ca="1" si="13"/>
        <v>648859353.48847818</v>
      </c>
      <c r="L51" s="14"/>
      <c r="M51" s="52">
        <v>2018</v>
      </c>
      <c r="N51" s="39">
        <v>0.59851169383416014</v>
      </c>
      <c r="O51" s="36">
        <v>5757499</v>
      </c>
      <c r="P51" s="36">
        <f t="shared" si="11"/>
        <v>4318124.25</v>
      </c>
      <c r="Q51" s="36">
        <v>0.87719999999999998</v>
      </c>
      <c r="R51" s="36">
        <f t="shared" si="9"/>
        <v>2267077.6619620482</v>
      </c>
      <c r="S51" s="36">
        <f t="shared" si="10"/>
        <v>1133538.8309810241</v>
      </c>
      <c r="X51" s="60">
        <v>44</v>
      </c>
      <c r="Y51" s="8">
        <v>8</v>
      </c>
      <c r="Z51" s="8">
        <v>22</v>
      </c>
      <c r="AA51" s="8">
        <v>18</v>
      </c>
      <c r="AB51" s="8">
        <v>17</v>
      </c>
      <c r="AC51" s="8">
        <v>28</v>
      </c>
      <c r="AD51" s="8">
        <v>25</v>
      </c>
      <c r="AE51" s="8">
        <v>28</v>
      </c>
      <c r="AF51" s="8">
        <v>16</v>
      </c>
      <c r="AG51" s="8">
        <v>13</v>
      </c>
      <c r="AH51" s="8">
        <v>22</v>
      </c>
    </row>
    <row r="52" spans="2:34" x14ac:dyDescent="0.3">
      <c r="B52" s="74">
        <v>50041</v>
      </c>
      <c r="C52" s="73">
        <f t="shared" si="19"/>
        <v>1517971.7992728513</v>
      </c>
      <c r="D52" s="71">
        <f t="shared" ca="1" si="14"/>
        <v>18.215661591274216</v>
      </c>
      <c r="E52" s="71">
        <f t="shared" si="15"/>
        <v>46.052228446339768</v>
      </c>
      <c r="F52" s="92">
        <f t="shared" ca="1" si="16"/>
        <v>5.8933775686663852</v>
      </c>
      <c r="G52" s="92">
        <f t="shared" si="17"/>
        <v>14.899440723183401</v>
      </c>
      <c r="H52" s="75">
        <f t="shared" si="18"/>
        <v>0.32353354497370929</v>
      </c>
      <c r="I52" s="72">
        <f t="shared" si="7"/>
        <v>0.67646645502629066</v>
      </c>
      <c r="J52" s="209">
        <f t="shared" ca="1" si="12"/>
        <v>1308215820.4001977</v>
      </c>
      <c r="K52" s="210">
        <f t="shared" ca="1" si="13"/>
        <v>625680251.87341475</v>
      </c>
      <c r="L52" s="14"/>
      <c r="M52" s="52">
        <v>2019</v>
      </c>
      <c r="N52" s="39">
        <v>0.60054347826086951</v>
      </c>
      <c r="O52" s="36">
        <v>5804337</v>
      </c>
      <c r="P52" s="36">
        <f t="shared" si="11"/>
        <v>4353252.75</v>
      </c>
      <c r="Q52" s="36">
        <v>0.87670000000000003</v>
      </c>
      <c r="R52" s="36">
        <f t="shared" si="9"/>
        <v>2291972.1945364811</v>
      </c>
      <c r="S52" s="36">
        <f t="shared" si="10"/>
        <v>1145986.0972682405</v>
      </c>
      <c r="X52" s="60">
        <v>45</v>
      </c>
      <c r="Y52" s="8">
        <v>29</v>
      </c>
      <c r="Z52" s="8">
        <v>31</v>
      </c>
      <c r="AA52" s="8">
        <v>40</v>
      </c>
      <c r="AB52" s="8">
        <v>22</v>
      </c>
      <c r="AC52" s="8">
        <v>31</v>
      </c>
      <c r="AD52" s="8">
        <v>14</v>
      </c>
      <c r="AE52" s="8">
        <v>40</v>
      </c>
      <c r="AF52" s="8">
        <v>26</v>
      </c>
      <c r="AG52" s="8">
        <v>25</v>
      </c>
      <c r="AH52" s="8">
        <v>17</v>
      </c>
    </row>
    <row r="53" spans="2:34" x14ac:dyDescent="0.3">
      <c r="B53" s="74">
        <v>50406</v>
      </c>
      <c r="C53" s="73">
        <f t="shared" si="19"/>
        <v>1540446.9970887396</v>
      </c>
      <c r="D53" s="71">
        <f t="shared" ca="1" si="14"/>
        <v>18.485363965064877</v>
      </c>
      <c r="E53" s="71">
        <f t="shared" si="15"/>
        <v>46.734080997678184</v>
      </c>
      <c r="F53" s="92">
        <f t="shared" ca="1" si="16"/>
        <v>5.6816035670593683</v>
      </c>
      <c r="G53" s="92">
        <f t="shared" si="17"/>
        <v>14.364040751453924</v>
      </c>
      <c r="H53" s="75">
        <f t="shared" si="18"/>
        <v>0.30735686772502385</v>
      </c>
      <c r="I53" s="72">
        <f t="shared" si="7"/>
        <v>0.6926431322749762</v>
      </c>
      <c r="J53" s="209">
        <f t="shared" ca="1" si="12"/>
        <v>1359332562.2549181</v>
      </c>
      <c r="K53" s="210">
        <f t="shared" ca="1" si="13"/>
        <v>603196912.03613615</v>
      </c>
      <c r="L53" s="14"/>
      <c r="M53" s="52">
        <v>2020</v>
      </c>
      <c r="N53" s="39">
        <v>0.58841895290682544</v>
      </c>
      <c r="O53" s="36">
        <v>5850342</v>
      </c>
      <c r="P53" s="36">
        <f t="shared" si="11"/>
        <v>4387756.5</v>
      </c>
      <c r="Q53" s="36">
        <v>0.877</v>
      </c>
      <c r="R53" s="36">
        <f t="shared" si="9"/>
        <v>2264272.8778432827</v>
      </c>
      <c r="S53" s="36">
        <f t="shared" si="10"/>
        <v>1132136.4389216413</v>
      </c>
      <c r="X53" s="60">
        <v>46</v>
      </c>
      <c r="Y53" s="8">
        <v>31</v>
      </c>
      <c r="Z53" s="8">
        <v>28</v>
      </c>
      <c r="AA53" s="8">
        <v>27</v>
      </c>
      <c r="AB53" s="8">
        <v>24</v>
      </c>
      <c r="AC53" s="8">
        <v>40</v>
      </c>
      <c r="AD53" s="8">
        <v>16</v>
      </c>
      <c r="AE53" s="8">
        <v>52</v>
      </c>
      <c r="AF53" s="8">
        <v>26</v>
      </c>
      <c r="AG53" s="8">
        <v>26</v>
      </c>
      <c r="AH53" s="8">
        <v>41</v>
      </c>
    </row>
    <row r="54" spans="2:34" x14ac:dyDescent="0.3">
      <c r="B54" s="74">
        <v>50771</v>
      </c>
      <c r="C54" s="73">
        <f t="shared" si="19"/>
        <v>1562922.1949046282</v>
      </c>
      <c r="D54" s="71">
        <f t="shared" ca="1" si="14"/>
        <v>18.755066338855539</v>
      </c>
      <c r="E54" s="71">
        <f t="shared" si="15"/>
        <v>47.415933549016607</v>
      </c>
      <c r="F54" s="92">
        <f t="shared" ca="1" si="16"/>
        <v>5.476273521691386</v>
      </c>
      <c r="G54" s="92">
        <f t="shared" si="17"/>
        <v>13.844932175089438</v>
      </c>
      <c r="H54" s="75">
        <f t="shared" si="18"/>
        <v>0.29198902433877266</v>
      </c>
      <c r="I54" s="72">
        <f t="shared" si="7"/>
        <v>0.70801097566122739</v>
      </c>
      <c r="J54" s="209">
        <f t="shared" ca="1" si="12"/>
        <v>1409765170.7555943</v>
      </c>
      <c r="K54" s="210">
        <f t="shared" ca="1" si="13"/>
        <v>581397705.55290198</v>
      </c>
      <c r="L54" s="14"/>
      <c r="O54" s="2"/>
      <c r="P54" s="2"/>
      <c r="X54" s="60">
        <v>47</v>
      </c>
      <c r="Y54" s="8">
        <v>21</v>
      </c>
      <c r="Z54" s="8">
        <v>36</v>
      </c>
      <c r="AA54" s="8">
        <v>32</v>
      </c>
      <c r="AB54" s="8">
        <v>45</v>
      </c>
      <c r="AC54" s="8">
        <v>21</v>
      </c>
      <c r="AD54" s="8">
        <v>31</v>
      </c>
      <c r="AE54" s="8">
        <v>21</v>
      </c>
      <c r="AF54" s="8">
        <v>19</v>
      </c>
      <c r="AG54" s="8">
        <v>26</v>
      </c>
      <c r="AH54" s="8">
        <v>20</v>
      </c>
    </row>
    <row r="55" spans="2:34" x14ac:dyDescent="0.3">
      <c r="B55" s="74">
        <v>51136</v>
      </c>
      <c r="C55" s="73">
        <f t="shared" si="19"/>
        <v>1585397.3927205165</v>
      </c>
      <c r="D55" s="71">
        <f t="shared" ca="1" si="14"/>
        <v>19.024768712646196</v>
      </c>
      <c r="E55" s="71">
        <f t="shared" si="15"/>
        <v>48.09778610035503</v>
      </c>
      <c r="F55" s="92">
        <f t="shared" ca="1" si="16"/>
        <v>5.2772724719425517</v>
      </c>
      <c r="G55" s="92">
        <f t="shared" si="17"/>
        <v>13.341824354482762</v>
      </c>
      <c r="H55" s="75">
        <f t="shared" si="18"/>
        <v>0.27738957312183399</v>
      </c>
      <c r="I55" s="72">
        <f t="shared" si="7"/>
        <v>0.72261042687816601</v>
      </c>
      <c r="J55" s="209">
        <f t="shared" ca="1" si="12"/>
        <v>1459525850.888037</v>
      </c>
      <c r="K55" s="210">
        <f t="shared" ca="1" si="13"/>
        <v>560270427.43790102</v>
      </c>
      <c r="L55" s="14"/>
      <c r="O55" s="2"/>
      <c r="P55" s="2"/>
      <c r="X55" s="60">
        <v>48</v>
      </c>
      <c r="Y55" s="8">
        <v>81</v>
      </c>
      <c r="Z55" s="8">
        <v>31</v>
      </c>
      <c r="AA55" s="8">
        <v>16</v>
      </c>
      <c r="AB55" s="8">
        <v>22</v>
      </c>
      <c r="AC55" s="8">
        <v>40</v>
      </c>
      <c r="AD55" s="8">
        <v>18</v>
      </c>
      <c r="AE55" s="8">
        <v>40</v>
      </c>
      <c r="AF55" s="8">
        <v>20</v>
      </c>
      <c r="AG55" s="8">
        <v>31</v>
      </c>
      <c r="AH55" s="8">
        <v>38</v>
      </c>
    </row>
    <row r="56" spans="2:34" x14ac:dyDescent="0.3">
      <c r="B56" s="74">
        <v>51502</v>
      </c>
      <c r="C56" s="73">
        <f t="shared" si="19"/>
        <v>1607872.5905364049</v>
      </c>
      <c r="D56" s="71">
        <f t="shared" ca="1" si="14"/>
        <v>19.294471086436861</v>
      </c>
      <c r="E56" s="71">
        <f t="shared" si="15"/>
        <v>48.779638651693453</v>
      </c>
      <c r="F56" s="92">
        <f t="shared" ca="1" si="16"/>
        <v>5.0844808433643758</v>
      </c>
      <c r="G56" s="92">
        <f t="shared" si="17"/>
        <v>12.854414985499034</v>
      </c>
      <c r="H56" s="75">
        <f t="shared" si="18"/>
        <v>0.26352009446574232</v>
      </c>
      <c r="I56" s="72">
        <f t="shared" si="7"/>
        <v>0.73647990553425768</v>
      </c>
      <c r="J56" s="209">
        <f t="shared" ca="1" si="12"/>
        <v>1508627297.472862</v>
      </c>
      <c r="K56" s="210">
        <f t="shared" ca="1" si="13"/>
        <v>539802382.87051773</v>
      </c>
      <c r="L56" s="14"/>
      <c r="O56" s="2"/>
      <c r="P56" s="2"/>
      <c r="X56" s="60">
        <v>49</v>
      </c>
      <c r="Y56" s="8">
        <v>23</v>
      </c>
      <c r="Z56" s="8">
        <v>39</v>
      </c>
      <c r="AA56" s="8">
        <v>29</v>
      </c>
      <c r="AB56" s="8">
        <v>41</v>
      </c>
      <c r="AC56" s="8">
        <v>38</v>
      </c>
      <c r="AD56" s="8">
        <v>15</v>
      </c>
      <c r="AE56" s="8">
        <v>26</v>
      </c>
      <c r="AF56" s="8">
        <v>35</v>
      </c>
      <c r="AG56" s="8">
        <v>32</v>
      </c>
      <c r="AH56" s="8">
        <v>22</v>
      </c>
    </row>
    <row r="57" spans="2:34" x14ac:dyDescent="0.3">
      <c r="B57" s="74">
        <v>51867</v>
      </c>
      <c r="C57" s="73">
        <f t="shared" si="19"/>
        <v>1630347.7883522934</v>
      </c>
      <c r="D57" s="71">
        <f t="shared" ca="1" si="14"/>
        <v>19.564173460227519</v>
      </c>
      <c r="E57" s="71">
        <f t="shared" si="15"/>
        <v>49.461491203031883</v>
      </c>
      <c r="F57" s="92">
        <f t="shared" ca="1" si="16"/>
        <v>4.897775196464158</v>
      </c>
      <c r="G57" s="92">
        <f t="shared" si="17"/>
        <v>12.382391992527472</v>
      </c>
      <c r="H57" s="75">
        <f t="shared" si="18"/>
        <v>0.2503440897424552</v>
      </c>
      <c r="I57" s="72">
        <f t="shared" si="7"/>
        <v>0.74965591025754486</v>
      </c>
      <c r="J57" s="209">
        <f t="shared" ca="1" si="12"/>
        <v>1557082615.6695437</v>
      </c>
      <c r="K57" s="210">
        <f t="shared" ca="1" si="13"/>
        <v>519980466.69127798</v>
      </c>
      <c r="L57" s="14"/>
      <c r="O57" s="2"/>
      <c r="P57" s="2"/>
      <c r="W57" s="64"/>
      <c r="X57" s="60">
        <v>50</v>
      </c>
      <c r="Y57" s="8">
        <v>22</v>
      </c>
      <c r="Z57" s="8">
        <v>39</v>
      </c>
      <c r="AA57" s="8">
        <v>36</v>
      </c>
      <c r="AB57" s="8">
        <v>24</v>
      </c>
      <c r="AC57" s="8">
        <v>9</v>
      </c>
      <c r="AD57" s="8">
        <v>40</v>
      </c>
      <c r="AE57" s="8">
        <v>14</v>
      </c>
      <c r="AF57" s="8">
        <v>17</v>
      </c>
      <c r="AG57" s="8">
        <v>46</v>
      </c>
      <c r="AH57" s="8">
        <v>30</v>
      </c>
    </row>
    <row r="58" spans="2:34" x14ac:dyDescent="0.3">
      <c r="B58" s="74">
        <v>52232</v>
      </c>
      <c r="C58" s="73">
        <f t="shared" si="19"/>
        <v>1652822.986168182</v>
      </c>
      <c r="D58" s="71">
        <f t="shared" ca="1" si="14"/>
        <v>19.833875834018187</v>
      </c>
      <c r="E58" s="71">
        <f t="shared" si="15"/>
        <v>50.143343754370306</v>
      </c>
      <c r="F58" s="92">
        <f t="shared" ca="1" si="16"/>
        <v>4.7170289121455538</v>
      </c>
      <c r="G58" s="92">
        <f t="shared" si="17"/>
        <v>11.925435261389316</v>
      </c>
      <c r="H58" s="75">
        <f t="shared" si="18"/>
        <v>0.23782688525533241</v>
      </c>
      <c r="I58" s="72">
        <f t="shared" si="7"/>
        <v>0.76217311474466753</v>
      </c>
      <c r="J58" s="209">
        <f t="shared" ca="1" si="12"/>
        <v>1604905248.2054777</v>
      </c>
      <c r="K58" s="210">
        <f t="shared" ca="1" si="13"/>
        <v>500791236.17278624</v>
      </c>
      <c r="L58" s="14"/>
      <c r="P58" s="2"/>
    </row>
    <row r="59" spans="2:34" x14ac:dyDescent="0.3">
      <c r="B59" s="74">
        <v>52597</v>
      </c>
      <c r="C59" s="73">
        <f t="shared" si="19"/>
        <v>1675298.1839840703</v>
      </c>
      <c r="D59" s="71">
        <f t="shared" ca="1" si="14"/>
        <v>20.103578207808845</v>
      </c>
      <c r="E59" s="71">
        <f t="shared" si="15"/>
        <v>50.825196305708729</v>
      </c>
      <c r="F59" s="92">
        <f t="shared" ca="1" si="16"/>
        <v>4.5421128182676478</v>
      </c>
      <c r="G59" s="92">
        <f t="shared" si="17"/>
        <v>11.483218223383659</v>
      </c>
      <c r="H59" s="75">
        <f t="shared" si="18"/>
        <v>0.2259355409925658</v>
      </c>
      <c r="I59" s="72">
        <f t="shared" si="7"/>
        <v>0.77406445900743415</v>
      </c>
      <c r="J59" s="209">
        <f t="shared" ca="1" si="12"/>
        <v>1652108908.8562903</v>
      </c>
      <c r="K59" s="210">
        <f t="shared" ca="1" si="13"/>
        <v>482220977.53941536</v>
      </c>
      <c r="L59" s="14"/>
    </row>
    <row r="60" spans="2:34" x14ac:dyDescent="0.3">
      <c r="B60" s="74">
        <v>52963</v>
      </c>
      <c r="C60" s="73">
        <f t="shared" si="19"/>
        <v>1697773.3817999586</v>
      </c>
      <c r="D60" s="71">
        <f t="shared" ca="1" si="14"/>
        <v>20.373280581599502</v>
      </c>
      <c r="E60" s="71">
        <f t="shared" si="15"/>
        <v>51.507048857047153</v>
      </c>
      <c r="F60" s="92">
        <f t="shared" ca="1" si="16"/>
        <v>4.3728957614971673</v>
      </c>
      <c r="G60" s="92">
        <f t="shared" si="17"/>
        <v>11.055409301025092</v>
      </c>
      <c r="H60" s="75">
        <f t="shared" si="18"/>
        <v>0.21463876394293749</v>
      </c>
      <c r="I60" s="72">
        <f t="shared" si="7"/>
        <v>0.78536123605706254</v>
      </c>
      <c r="J60" s="209">
        <f t="shared" ca="1" si="12"/>
        <v>1698707521.7341981</v>
      </c>
      <c r="K60" s="210">
        <f t="shared" ca="1" si="13"/>
        <v>464255766.67894936</v>
      </c>
      <c r="L60" s="14"/>
    </row>
    <row r="61" spans="2:34" x14ac:dyDescent="0.3">
      <c r="B61" s="74">
        <v>53328</v>
      </c>
      <c r="C61" s="73">
        <f t="shared" si="19"/>
        <v>1720248.5796158472</v>
      </c>
      <c r="D61" s="71">
        <f t="shared" ca="1" si="14"/>
        <v>20.642982955390167</v>
      </c>
      <c r="E61" s="71">
        <f t="shared" si="15"/>
        <v>52.188901408385576</v>
      </c>
      <c r="F61" s="92">
        <f t="shared" ca="1" si="16"/>
        <v>4.2092451283580692</v>
      </c>
      <c r="G61" s="92">
        <f t="shared" si="17"/>
        <v>10.641673225343926</v>
      </c>
      <c r="H61" s="75">
        <f t="shared" si="18"/>
        <v>0.20390682574579064</v>
      </c>
      <c r="I61" s="72">
        <f t="shared" si="7"/>
        <v>0.79609317425420933</v>
      </c>
      <c r="J61" s="209">
        <f t="shared" ca="1" si="12"/>
        <v>1744715165.9699075</v>
      </c>
      <c r="K61" s="210">
        <f t="shared" ca="1" si="13"/>
        <v>446881524.46068168</v>
      </c>
      <c r="L61" s="14"/>
      <c r="W61" s="64"/>
      <c r="X61" s="51"/>
    </row>
    <row r="62" spans="2:34" x14ac:dyDescent="0.3">
      <c r="B62" s="74">
        <v>53693</v>
      </c>
      <c r="C62" s="73">
        <f t="shared" si="19"/>
        <v>1742723.7774317355</v>
      </c>
      <c r="D62" s="71">
        <f t="shared" ca="1" si="14"/>
        <v>20.912685329180825</v>
      </c>
      <c r="E62" s="71">
        <f t="shared" si="15"/>
        <v>52.870753959723991</v>
      </c>
      <c r="F62" s="92">
        <f t="shared" ca="1" si="16"/>
        <v>4.0510273191291359</v>
      </c>
      <c r="G62" s="92">
        <f t="shared" si="17"/>
        <v>10.24167223397831</v>
      </c>
      <c r="H62" s="75">
        <f t="shared" si="18"/>
        <v>0.19371148445850112</v>
      </c>
      <c r="I62" s="72">
        <f t="shared" si="7"/>
        <v>0.80628851554149894</v>
      </c>
      <c r="J62" s="209">
        <f t="shared" ca="1" si="12"/>
        <v>1790146025.4004879</v>
      </c>
      <c r="K62" s="210">
        <f t="shared" ca="1" si="13"/>
        <v>430084067.04754305</v>
      </c>
      <c r="L62" s="14"/>
      <c r="W62" s="64"/>
      <c r="X62" s="51"/>
    </row>
    <row r="63" spans="2:34" x14ac:dyDescent="0.3">
      <c r="B63" s="74">
        <v>54058</v>
      </c>
      <c r="C63" s="73">
        <f t="shared" si="19"/>
        <v>1765198.9752476239</v>
      </c>
      <c r="D63" s="71">
        <f t="shared" ca="1" si="14"/>
        <v>21.182387702971489</v>
      </c>
      <c r="E63" s="71">
        <f t="shared" si="15"/>
        <v>53.552606511062415</v>
      </c>
      <c r="F63" s="92">
        <f t="shared" ca="1" si="16"/>
        <v>3.8981081780022011</v>
      </c>
      <c r="G63" s="92">
        <f t="shared" si="17"/>
        <v>9.8550671586858964</v>
      </c>
      <c r="H63" s="75">
        <f t="shared" si="18"/>
        <v>0.18402591023557605</v>
      </c>
      <c r="I63" s="72">
        <f t="shared" si="7"/>
        <v>0.81597408976442398</v>
      </c>
      <c r="J63" s="209">
        <f t="shared" ca="1" si="12"/>
        <v>1835014342.9009058</v>
      </c>
      <c r="K63" s="210">
        <f t="shared" ca="1" si="13"/>
        <v>413849151.56456685</v>
      </c>
      <c r="L63" s="14"/>
      <c r="Q63" s="2"/>
      <c r="W63" s="64"/>
      <c r="X63" s="51"/>
    </row>
    <row r="64" spans="2:34" x14ac:dyDescent="0.3">
      <c r="B64" s="74">
        <v>54424</v>
      </c>
      <c r="C64" s="73">
        <f t="shared" si="19"/>
        <v>1787674.1730635124</v>
      </c>
      <c r="D64" s="71">
        <f t="shared" ca="1" si="14"/>
        <v>21.452090076762147</v>
      </c>
      <c r="E64" s="71">
        <f t="shared" si="15"/>
        <v>54.234459062400838</v>
      </c>
      <c r="F64" s="92">
        <f t="shared" ca="1" si="16"/>
        <v>3.750353382690137</v>
      </c>
      <c r="G64" s="92">
        <f t="shared" si="17"/>
        <v>9.481518410337781</v>
      </c>
      <c r="H64" s="75">
        <f t="shared" si="18"/>
        <v>0.17482461472379726</v>
      </c>
      <c r="I64" s="72">
        <f t="shared" si="7"/>
        <v>0.82517538527620271</v>
      </c>
      <c r="J64" s="209">
        <f t="shared" ca="1" si="12"/>
        <v>1879334379.0206454</v>
      </c>
      <c r="K64" s="210">
        <f t="shared" ca="1" si="13"/>
        <v>398162517.46226954</v>
      </c>
      <c r="L64" s="14"/>
      <c r="W64" s="64"/>
      <c r="X64" s="51"/>
    </row>
    <row r="65" spans="2:24" x14ac:dyDescent="0.3">
      <c r="B65" s="74">
        <v>54789</v>
      </c>
      <c r="C65" s="73">
        <f t="shared" si="19"/>
        <v>1810149.370879401</v>
      </c>
      <c r="D65" s="71">
        <f t="shared" ca="1" si="14"/>
        <v>21.721792450552815</v>
      </c>
      <c r="E65" s="71">
        <f t="shared" si="15"/>
        <v>54.916311613739268</v>
      </c>
      <c r="F65" s="92">
        <f t="shared" ca="1" si="16"/>
        <v>3.6076287964642737</v>
      </c>
      <c r="G65" s="92">
        <f t="shared" si="17"/>
        <v>9.1206868689277609</v>
      </c>
      <c r="H65" s="75">
        <f t="shared" si="18"/>
        <v>0.16608338398760736</v>
      </c>
      <c r="I65" s="72">
        <f t="shared" si="7"/>
        <v>0.83391661601239264</v>
      </c>
      <c r="J65" s="209">
        <f t="shared" ca="1" si="12"/>
        <v>1923120374.6090662</v>
      </c>
      <c r="K65" s="210">
        <f t="shared" ca="1" si="13"/>
        <v>383009923.89129043</v>
      </c>
      <c r="L65" s="14"/>
      <c r="W65" s="64"/>
      <c r="X65" s="51"/>
    </row>
    <row r="66" spans="2:24" x14ac:dyDescent="0.3">
      <c r="L66" s="14"/>
      <c r="W66" s="64"/>
      <c r="X66" s="51"/>
    </row>
    <row r="67" spans="2:24" x14ac:dyDescent="0.3">
      <c r="L67" s="14"/>
      <c r="W67" s="64"/>
      <c r="X67" s="51"/>
    </row>
    <row r="68" spans="2:24" ht="18" customHeight="1" x14ac:dyDescent="0.3">
      <c r="L68" s="14"/>
      <c r="M68" s="291" t="s">
        <v>153</v>
      </c>
      <c r="N68" s="291"/>
      <c r="O68" s="291"/>
      <c r="P68" s="291"/>
      <c r="Q68" s="291"/>
      <c r="R68" s="2"/>
      <c r="S68" s="292" t="s">
        <v>154</v>
      </c>
      <c r="T68" s="292"/>
      <c r="U68" s="292"/>
      <c r="W68" s="64"/>
      <c r="X68" s="51"/>
    </row>
    <row r="69" spans="2:24" ht="28.8" x14ac:dyDescent="0.3">
      <c r="L69" s="14"/>
      <c r="M69" s="8"/>
      <c r="N69" s="37" t="s">
        <v>155</v>
      </c>
      <c r="O69" s="37" t="s">
        <v>156</v>
      </c>
      <c r="P69" s="55" t="s">
        <v>157</v>
      </c>
      <c r="Q69" s="58" t="s">
        <v>182</v>
      </c>
      <c r="S69" s="57"/>
      <c r="T69" s="50" t="s">
        <v>158</v>
      </c>
      <c r="U69" s="50" t="s">
        <v>159</v>
      </c>
      <c r="W69" s="64"/>
      <c r="X69" s="51"/>
    </row>
    <row r="70" spans="2:24" x14ac:dyDescent="0.3">
      <c r="L70" s="14"/>
      <c r="M70" s="45" t="s">
        <v>160</v>
      </c>
      <c r="N70" s="44">
        <f ca="1">RANDBETWEEN(0, 4)</f>
        <v>3</v>
      </c>
      <c r="O70" s="44">
        <f ca="1">EVEN(RANDBETWEEN(200,400))</f>
        <v>280</v>
      </c>
      <c r="P70" s="56">
        <f t="shared" ref="P70:P76" ca="1" si="20">N70*O70</f>
        <v>840</v>
      </c>
      <c r="Q70" s="59">
        <f t="shared" ref="Q70:Q76" ca="1" si="21">MOD(O70, 10)/2*N70</f>
        <v>0</v>
      </c>
      <c r="S70" s="77">
        <v>0</v>
      </c>
      <c r="T70" s="66">
        <v>0.13500000000000001</v>
      </c>
      <c r="U70" s="66">
        <f>SUM($T$70:T70)</f>
        <v>0.13500000000000001</v>
      </c>
      <c r="W70" s="64"/>
      <c r="X70" s="51"/>
    </row>
    <row r="71" spans="2:24" x14ac:dyDescent="0.3">
      <c r="L71" s="14"/>
      <c r="M71" s="45" t="s">
        <v>161</v>
      </c>
      <c r="N71" s="44">
        <f ca="1">RANDBETWEEN(0,2*N70)</f>
        <v>1</v>
      </c>
      <c r="O71" s="44">
        <f ca="1">EVEN(RANDBETWEEN(100,200))</f>
        <v>128</v>
      </c>
      <c r="P71" s="56">
        <f t="shared" ca="1" si="20"/>
        <v>128</v>
      </c>
      <c r="Q71" s="59">
        <f t="shared" ca="1" si="21"/>
        <v>4</v>
      </c>
      <c r="S71" s="77">
        <v>1</v>
      </c>
      <c r="T71" s="67">
        <v>0.24</v>
      </c>
      <c r="U71" s="66">
        <f>SUM($T$70:T71)</f>
        <v>0.375</v>
      </c>
      <c r="W71" s="64"/>
      <c r="X71" s="51"/>
    </row>
    <row r="72" spans="2:24" x14ac:dyDescent="0.3">
      <c r="L72" s="14"/>
      <c r="M72" s="45" t="s">
        <v>162</v>
      </c>
      <c r="N72" s="44" cm="1">
        <f t="array" aca="1" ref="N72" ca="1">MAX(0,INDEX(S70:S74,COUNTIF(U70:U74,"&lt;="&amp;RAND())+1)-1) + MAX(0,INDEX(S70:S74,COUNTIF(U70:U74,"&lt;="&amp;RAND())+1)-1)</f>
        <v>3</v>
      </c>
      <c r="O72" s="44">
        <f ca="1">EVEN(RANDBETWEEN(20,50))</f>
        <v>30</v>
      </c>
      <c r="P72" s="56">
        <f t="shared" ca="1" si="20"/>
        <v>90</v>
      </c>
      <c r="Q72" s="59">
        <f t="shared" ca="1" si="21"/>
        <v>0</v>
      </c>
      <c r="S72" s="77">
        <v>2</v>
      </c>
      <c r="T72" s="66">
        <v>0.41899999999999998</v>
      </c>
      <c r="U72" s="66">
        <f>SUM($T$70:T72)</f>
        <v>0.79400000000000004</v>
      </c>
      <c r="W72" s="64"/>
      <c r="X72" s="51"/>
    </row>
    <row r="73" spans="2:24" x14ac:dyDescent="0.3">
      <c r="L73" s="14"/>
      <c r="M73" s="45" t="s">
        <v>163</v>
      </c>
      <c r="N73" s="44" cm="1">
        <f t="array" aca="1" ref="N73" ca="1">INDEX(S70:S74,COUNTIF(U70:U74,"&lt;="&amp;RAND())+1)</f>
        <v>2</v>
      </c>
      <c r="O73" s="44">
        <f ca="1">EVEN(RANDBETWEEN(20,100))</f>
        <v>60</v>
      </c>
      <c r="P73" s="56">
        <f t="shared" ca="1" si="20"/>
        <v>120</v>
      </c>
      <c r="Q73" s="59">
        <f t="shared" ca="1" si="21"/>
        <v>0</v>
      </c>
      <c r="S73" s="77">
        <v>3</v>
      </c>
      <c r="T73" s="66">
        <v>0.155</v>
      </c>
      <c r="U73" s="66">
        <f>SUM($T$70:T73)</f>
        <v>0.94900000000000007</v>
      </c>
      <c r="W73" s="64"/>
      <c r="X73" s="51"/>
    </row>
    <row r="74" spans="2:24" x14ac:dyDescent="0.3">
      <c r="L74" s="14"/>
      <c r="M74" s="45" t="s">
        <v>164</v>
      </c>
      <c r="N74" s="44" cm="1">
        <f t="array" aca="1" ref="N74" ca="1">INDEX(S70:S74,COUNTIF(U70:U74,"&lt;="&amp;RAND())+1)*INDEX(S70:S74,COUNTIF(U70:U74,"&lt;="&amp;RAND())+1)</f>
        <v>4</v>
      </c>
      <c r="O74" s="44">
        <f ca="1">EVEN(RANDBETWEEN(20,100))</f>
        <v>22</v>
      </c>
      <c r="P74" s="56">
        <f t="shared" ca="1" si="20"/>
        <v>88</v>
      </c>
      <c r="Q74" s="59">
        <f t="shared" ca="1" si="21"/>
        <v>4</v>
      </c>
      <c r="S74" s="77">
        <v>4</v>
      </c>
      <c r="T74" s="66">
        <v>5.0999999999999997E-2</v>
      </c>
      <c r="U74" s="66">
        <f>SUM($T$70:T74)</f>
        <v>1</v>
      </c>
      <c r="W74" s="64"/>
      <c r="X74" s="51"/>
    </row>
    <row r="75" spans="2:24" x14ac:dyDescent="0.3">
      <c r="L75" s="14"/>
      <c r="M75" s="45" t="s">
        <v>165</v>
      </c>
      <c r="N75" s="44" cm="1">
        <f t="array" aca="1" ref="N75" ca="1">INDEX(S70:S74,COUNTIF(U70:U74,"&lt;="&amp;RAND())+1)*N72</f>
        <v>0</v>
      </c>
      <c r="O75" s="44">
        <f ca="1">EVEN(RANDBETWEEN(8,20))</f>
        <v>12</v>
      </c>
      <c r="P75" s="44">
        <f t="shared" ca="1" si="20"/>
        <v>0</v>
      </c>
      <c r="Q75" s="44">
        <f t="shared" ca="1" si="21"/>
        <v>0</v>
      </c>
      <c r="W75" s="64"/>
      <c r="X75" s="51"/>
    </row>
    <row r="76" spans="2:24" ht="15" thickBot="1" x14ac:dyDescent="0.35">
      <c r="L76" s="14"/>
      <c r="M76" s="47" t="s">
        <v>166</v>
      </c>
      <c r="N76" s="48" cm="1">
        <f t="array" aca="1" ref="N76" ca="1">INDEX(S70:S74,COUNTIF(U70:U74,"&lt;="&amp;RAND())+1)</f>
        <v>2</v>
      </c>
      <c r="O76" s="48">
        <f ca="1">EVEN(RANDBETWEEN(2,10))</f>
        <v>4</v>
      </c>
      <c r="P76" s="48">
        <f t="shared" ca="1" si="20"/>
        <v>8</v>
      </c>
      <c r="Q76" s="48">
        <f t="shared" ca="1" si="21"/>
        <v>4</v>
      </c>
      <c r="W76" s="64"/>
      <c r="X76" s="51"/>
    </row>
    <row r="77" spans="2:24" x14ac:dyDescent="0.3">
      <c r="L77" s="14"/>
      <c r="M77" s="49" t="s">
        <v>113</v>
      </c>
      <c r="N77" s="46">
        <f ca="1">SUM(N70:N76)</f>
        <v>15</v>
      </c>
      <c r="O77" s="46"/>
      <c r="P77" s="208">
        <f ca="1">SUM(P70:P76)</f>
        <v>1274</v>
      </c>
      <c r="Q77" s="46">
        <f ca="1">SUM(Q70:Q76)</f>
        <v>12</v>
      </c>
      <c r="R77" s="10"/>
      <c r="W77" s="64"/>
      <c r="X77" s="51"/>
    </row>
    <row r="78" spans="2:24" ht="28.8" x14ac:dyDescent="0.3">
      <c r="L78" s="14"/>
      <c r="N78" s="53" t="s">
        <v>167</v>
      </c>
      <c r="P78" s="53" t="s">
        <v>157</v>
      </c>
      <c r="Q78" s="54" t="s">
        <v>168</v>
      </c>
      <c r="R78" s="54"/>
      <c r="W78" s="64"/>
      <c r="X78" s="51"/>
    </row>
    <row r="79" spans="2:24" x14ac:dyDescent="0.3">
      <c r="W79" s="64"/>
      <c r="X79" s="51"/>
    </row>
    <row r="80" spans="2:24" x14ac:dyDescent="0.3">
      <c r="W80" s="64"/>
      <c r="X80" s="51"/>
    </row>
    <row r="81" spans="13:24" x14ac:dyDescent="0.3">
      <c r="W81" s="64"/>
      <c r="X81" s="51"/>
    </row>
    <row r="82" spans="13:24" x14ac:dyDescent="0.3">
      <c r="W82" s="64"/>
      <c r="X82" s="51"/>
    </row>
    <row r="83" spans="13:24" x14ac:dyDescent="0.3">
      <c r="W83" s="64"/>
      <c r="X83" s="51"/>
    </row>
    <row r="84" spans="13:24" x14ac:dyDescent="0.3">
      <c r="W84" s="64"/>
      <c r="X84" s="51"/>
    </row>
    <row r="85" spans="13:24" x14ac:dyDescent="0.3">
      <c r="W85" s="64"/>
      <c r="X85" s="51"/>
    </row>
    <row r="86" spans="13:24" x14ac:dyDescent="0.3">
      <c r="W86" s="64"/>
      <c r="X86" s="51"/>
    </row>
    <row r="87" spans="13:24" x14ac:dyDescent="0.3">
      <c r="W87" s="64"/>
      <c r="X87" s="51"/>
    </row>
    <row r="88" spans="13:24" x14ac:dyDescent="0.3">
      <c r="W88" s="64"/>
      <c r="X88" s="51"/>
    </row>
    <row r="89" spans="13:24" x14ac:dyDescent="0.3">
      <c r="W89" s="64"/>
      <c r="X89" s="51"/>
    </row>
    <row r="90" spans="13:24" x14ac:dyDescent="0.3">
      <c r="M90" s="9"/>
      <c r="W90" s="64"/>
      <c r="X90" s="51"/>
    </row>
    <row r="91" spans="13:24" x14ac:dyDescent="0.3">
      <c r="M91" s="9"/>
      <c r="W91" s="64"/>
      <c r="X91" s="51"/>
    </row>
    <row r="92" spans="13:24" x14ac:dyDescent="0.3">
      <c r="M92" s="9"/>
      <c r="W92" s="64"/>
      <c r="X92" s="51"/>
    </row>
    <row r="93" spans="13:24" x14ac:dyDescent="0.3">
      <c r="M93" s="9"/>
      <c r="W93" s="64"/>
      <c r="X93" s="51"/>
    </row>
    <row r="94" spans="13:24" x14ac:dyDescent="0.3">
      <c r="M94" s="9"/>
      <c r="W94" s="64"/>
      <c r="X94" s="51"/>
    </row>
    <row r="95" spans="13:24" x14ac:dyDescent="0.3">
      <c r="M95" s="9"/>
      <c r="W95" s="64"/>
      <c r="X95" s="51"/>
    </row>
    <row r="96" spans="13:24" x14ac:dyDescent="0.3">
      <c r="M96" s="9"/>
      <c r="W96" s="64"/>
      <c r="X96" s="51"/>
    </row>
    <row r="97" spans="13:24" x14ac:dyDescent="0.3">
      <c r="M97" s="9"/>
      <c r="W97" s="64"/>
      <c r="X97" s="51"/>
    </row>
    <row r="98" spans="13:24" x14ac:dyDescent="0.3">
      <c r="M98" s="9"/>
      <c r="W98" s="64"/>
      <c r="X98" s="51"/>
    </row>
    <row r="99" spans="13:24" x14ac:dyDescent="0.3">
      <c r="M99" s="9"/>
      <c r="W99" s="64"/>
      <c r="X99" s="51"/>
    </row>
    <row r="100" spans="13:24" x14ac:dyDescent="0.3">
      <c r="M100" s="9"/>
      <c r="W100" s="64"/>
      <c r="X100" s="51"/>
    </row>
    <row r="101" spans="13:24" x14ac:dyDescent="0.3">
      <c r="M101" s="9"/>
      <c r="W101" s="64"/>
      <c r="X101" s="51"/>
    </row>
    <row r="102" spans="13:24" x14ac:dyDescent="0.3">
      <c r="M102" s="9"/>
      <c r="W102" s="64"/>
      <c r="X102" s="51"/>
    </row>
    <row r="103" spans="13:24" x14ac:dyDescent="0.3">
      <c r="M103" s="9"/>
      <c r="W103" s="64"/>
      <c r="X103" s="51"/>
    </row>
    <row r="104" spans="13:24" x14ac:dyDescent="0.3">
      <c r="M104" s="9"/>
      <c r="W104" s="64"/>
      <c r="X104" s="51"/>
    </row>
    <row r="105" spans="13:24" x14ac:dyDescent="0.3">
      <c r="M105" s="9"/>
      <c r="W105" s="64"/>
      <c r="X105" s="51"/>
    </row>
    <row r="106" spans="13:24" x14ac:dyDescent="0.3">
      <c r="M106" s="9"/>
      <c r="W106" s="64"/>
      <c r="X106" s="51"/>
    </row>
    <row r="107" spans="13:24" x14ac:dyDescent="0.3">
      <c r="M107" s="9"/>
      <c r="W107" s="64"/>
      <c r="X107" s="51"/>
    </row>
    <row r="108" spans="13:24" x14ac:dyDescent="0.3">
      <c r="M108" s="9"/>
      <c r="W108" s="64"/>
      <c r="X108" s="51"/>
    </row>
    <row r="109" spans="13:24" x14ac:dyDescent="0.3">
      <c r="M109" s="9"/>
      <c r="W109" s="64"/>
      <c r="X109" s="51"/>
    </row>
    <row r="110" spans="13:24" x14ac:dyDescent="0.3">
      <c r="M110" s="9"/>
      <c r="W110" s="64"/>
      <c r="X110" s="51"/>
    </row>
    <row r="111" spans="13:24" x14ac:dyDescent="0.3">
      <c r="M111" s="9"/>
      <c r="W111" s="64"/>
      <c r="X111" s="51"/>
    </row>
    <row r="112" spans="13:24" x14ac:dyDescent="0.3">
      <c r="M112" s="9"/>
      <c r="W112" s="64"/>
      <c r="X112" s="51"/>
    </row>
    <row r="113" spans="13:24" x14ac:dyDescent="0.3">
      <c r="M113" s="9"/>
      <c r="W113" s="64"/>
      <c r="X113" s="51"/>
    </row>
    <row r="114" spans="13:24" x14ac:dyDescent="0.3">
      <c r="M114" s="9"/>
      <c r="W114" s="64"/>
      <c r="X114" s="51"/>
    </row>
    <row r="115" spans="13:24" x14ac:dyDescent="0.3">
      <c r="M115" s="9"/>
      <c r="W115" s="64"/>
      <c r="X115" s="51"/>
    </row>
    <row r="116" spans="13:24" x14ac:dyDescent="0.3">
      <c r="M116" s="9"/>
      <c r="W116" s="64"/>
      <c r="X116" s="51"/>
    </row>
    <row r="117" spans="13:24" x14ac:dyDescent="0.3">
      <c r="M117" s="9"/>
      <c r="W117" s="64"/>
      <c r="X117" s="51"/>
    </row>
    <row r="118" spans="13:24" x14ac:dyDescent="0.3">
      <c r="M118" s="9"/>
      <c r="W118" s="64"/>
      <c r="X118" s="51"/>
    </row>
    <row r="119" spans="13:24" x14ac:dyDescent="0.3">
      <c r="M119" s="9"/>
      <c r="W119" s="64"/>
      <c r="X119" s="51"/>
    </row>
    <row r="120" spans="13:24" x14ac:dyDescent="0.3">
      <c r="M120" s="9"/>
      <c r="W120" s="64"/>
      <c r="X120" s="51"/>
    </row>
    <row r="121" spans="13:24" x14ac:dyDescent="0.3">
      <c r="M121" s="9"/>
      <c r="W121" s="64"/>
      <c r="X121" s="51"/>
    </row>
    <row r="122" spans="13:24" x14ac:dyDescent="0.3">
      <c r="W122" s="64"/>
      <c r="X122" s="51"/>
    </row>
    <row r="123" spans="13:24" x14ac:dyDescent="0.3">
      <c r="W123" s="64"/>
      <c r="X123" s="51"/>
    </row>
    <row r="124" spans="13:24" x14ac:dyDescent="0.3">
      <c r="W124" s="64"/>
      <c r="X124" s="51"/>
    </row>
    <row r="125" spans="13:24" x14ac:dyDescent="0.3">
      <c r="W125" s="64"/>
      <c r="X125" s="51"/>
    </row>
    <row r="126" spans="13:24" x14ac:dyDescent="0.3">
      <c r="W126" s="64"/>
      <c r="X126" s="51"/>
    </row>
    <row r="127" spans="13:24" x14ac:dyDescent="0.3">
      <c r="W127" s="64"/>
      <c r="X127" s="51"/>
    </row>
    <row r="128" spans="13:24" x14ac:dyDescent="0.3">
      <c r="W128" s="64"/>
      <c r="X128" s="51"/>
    </row>
    <row r="129" spans="23:24" x14ac:dyDescent="0.3">
      <c r="W129" s="64"/>
      <c r="X129" s="51"/>
    </row>
    <row r="130" spans="23:24" x14ac:dyDescent="0.3">
      <c r="W130" s="64"/>
      <c r="X130" s="51"/>
    </row>
    <row r="131" spans="23:24" x14ac:dyDescent="0.3">
      <c r="W131" s="64"/>
      <c r="X131" s="51"/>
    </row>
    <row r="132" spans="23:24" x14ac:dyDescent="0.3">
      <c r="W132" s="64"/>
      <c r="X132" s="51"/>
    </row>
    <row r="133" spans="23:24" x14ac:dyDescent="0.3">
      <c r="W133" s="64"/>
      <c r="X133" s="51"/>
    </row>
    <row r="134" spans="23:24" x14ac:dyDescent="0.3">
      <c r="W134" s="64"/>
      <c r="X134" s="51"/>
    </row>
    <row r="135" spans="23:24" x14ac:dyDescent="0.3">
      <c r="W135" s="64"/>
      <c r="X135" s="51"/>
    </row>
    <row r="136" spans="23:24" x14ac:dyDescent="0.3">
      <c r="W136" s="64"/>
      <c r="X136" s="51"/>
    </row>
    <row r="137" spans="23:24" x14ac:dyDescent="0.3">
      <c r="W137" s="64"/>
      <c r="X137" s="51"/>
    </row>
    <row r="138" spans="23:24" x14ac:dyDescent="0.3">
      <c r="W138" s="64"/>
      <c r="X138" s="51"/>
    </row>
    <row r="139" spans="23:24" x14ac:dyDescent="0.3">
      <c r="W139" s="64"/>
      <c r="X139" s="51"/>
    </row>
    <row r="140" spans="23:24" x14ac:dyDescent="0.3">
      <c r="W140" s="64"/>
      <c r="X140" s="51"/>
    </row>
    <row r="141" spans="23:24" x14ac:dyDescent="0.3">
      <c r="W141" s="64"/>
      <c r="X141" s="51"/>
    </row>
    <row r="142" spans="23:24" x14ac:dyDescent="0.3">
      <c r="W142" s="64"/>
      <c r="X142" s="51"/>
    </row>
    <row r="143" spans="23:24" x14ac:dyDescent="0.3">
      <c r="W143" s="64"/>
      <c r="X143" s="51"/>
    </row>
    <row r="144" spans="23:24" x14ac:dyDescent="0.3">
      <c r="W144" s="64"/>
      <c r="X144" s="51"/>
    </row>
    <row r="145" spans="23:24" x14ac:dyDescent="0.3">
      <c r="W145" s="64"/>
      <c r="X145" s="51"/>
    </row>
    <row r="146" spans="23:24" x14ac:dyDescent="0.3">
      <c r="W146" s="64"/>
      <c r="X146" s="51"/>
    </row>
    <row r="147" spans="23:24" x14ac:dyDescent="0.3">
      <c r="W147" s="64"/>
      <c r="X147" s="51"/>
    </row>
    <row r="148" spans="23:24" x14ac:dyDescent="0.3">
      <c r="W148" s="64"/>
      <c r="X148" s="51"/>
    </row>
    <row r="149" spans="23:24" x14ac:dyDescent="0.3">
      <c r="W149" s="64"/>
      <c r="X149" s="51"/>
    </row>
    <row r="150" spans="23:24" x14ac:dyDescent="0.3">
      <c r="W150" s="64"/>
      <c r="X150" s="51"/>
    </row>
    <row r="151" spans="23:24" x14ac:dyDescent="0.3">
      <c r="W151" s="64"/>
      <c r="X151" s="51"/>
    </row>
    <row r="152" spans="23:24" x14ac:dyDescent="0.3">
      <c r="W152" s="64"/>
      <c r="X152" s="51"/>
    </row>
    <row r="153" spans="23:24" x14ac:dyDescent="0.3">
      <c r="W153" s="64"/>
      <c r="X153" s="51"/>
    </row>
    <row r="154" spans="23:24" x14ac:dyDescent="0.3">
      <c r="W154" s="64"/>
      <c r="X154" s="51"/>
    </row>
    <row r="155" spans="23:24" x14ac:dyDescent="0.3">
      <c r="W155" s="64"/>
      <c r="X155" s="51"/>
    </row>
    <row r="156" spans="23:24" x14ac:dyDescent="0.3">
      <c r="W156" s="64"/>
      <c r="X156" s="51"/>
    </row>
    <row r="157" spans="23:24" x14ac:dyDescent="0.3">
      <c r="W157" s="64"/>
      <c r="X157" s="51"/>
    </row>
    <row r="158" spans="23:24" x14ac:dyDescent="0.3">
      <c r="W158" s="64"/>
      <c r="X158" s="51"/>
    </row>
    <row r="159" spans="23:24" x14ac:dyDescent="0.3">
      <c r="W159" s="64"/>
      <c r="X159" s="51"/>
    </row>
    <row r="160" spans="23:24" x14ac:dyDescent="0.3">
      <c r="W160" s="64"/>
      <c r="X160" s="51"/>
    </row>
    <row r="161" spans="12:24" x14ac:dyDescent="0.3">
      <c r="W161" s="64"/>
      <c r="X161" s="51"/>
    </row>
    <row r="162" spans="12:24" x14ac:dyDescent="0.3">
      <c r="W162" s="64"/>
      <c r="X162" s="51"/>
    </row>
    <row r="163" spans="12:24" x14ac:dyDescent="0.3">
      <c r="W163" s="64"/>
      <c r="X163" s="51"/>
    </row>
    <row r="164" spans="12:24" x14ac:dyDescent="0.3">
      <c r="W164" s="64"/>
      <c r="X164" s="51"/>
    </row>
    <row r="165" spans="12:24" x14ac:dyDescent="0.3">
      <c r="W165" s="64"/>
      <c r="X165" s="51"/>
    </row>
    <row r="166" spans="12:24" x14ac:dyDescent="0.3">
      <c r="W166" s="64"/>
      <c r="X166" s="51"/>
    </row>
    <row r="167" spans="12:24" x14ac:dyDescent="0.3">
      <c r="W167" s="64"/>
      <c r="X167" s="51"/>
    </row>
    <row r="168" spans="12:24" x14ac:dyDescent="0.3">
      <c r="W168" s="64"/>
      <c r="X168" s="51"/>
    </row>
    <row r="169" spans="12:24" x14ac:dyDescent="0.3">
      <c r="W169" s="64"/>
      <c r="X169" s="51"/>
    </row>
    <row r="170" spans="12:24" x14ac:dyDescent="0.3">
      <c r="W170" s="64"/>
      <c r="X170" s="51"/>
    </row>
    <row r="171" spans="12:24" x14ac:dyDescent="0.3">
      <c r="W171" s="64"/>
      <c r="X171" s="51"/>
    </row>
    <row r="172" spans="12:24" x14ac:dyDescent="0.3">
      <c r="W172" s="64"/>
      <c r="X172" s="51"/>
    </row>
    <row r="173" spans="12:24" x14ac:dyDescent="0.3">
      <c r="W173" s="64"/>
      <c r="X173" s="51"/>
    </row>
    <row r="174" spans="12:24" x14ac:dyDescent="0.3">
      <c r="L174" s="43"/>
      <c r="W174" s="64"/>
      <c r="X174" s="51"/>
    </row>
    <row r="175" spans="12:24" x14ac:dyDescent="0.3">
      <c r="W175" s="64"/>
      <c r="X175" s="51"/>
    </row>
    <row r="176" spans="12:24" x14ac:dyDescent="0.3">
      <c r="W176" s="64"/>
      <c r="X176" s="51"/>
    </row>
    <row r="177" spans="23:24" x14ac:dyDescent="0.3">
      <c r="W177" s="64"/>
      <c r="X177" s="51"/>
    </row>
    <row r="178" spans="23:24" x14ac:dyDescent="0.3">
      <c r="W178" s="64"/>
      <c r="X178" s="51"/>
    </row>
    <row r="179" spans="23:24" x14ac:dyDescent="0.3">
      <c r="W179" s="64"/>
      <c r="X179" s="51"/>
    </row>
    <row r="180" spans="23:24" x14ac:dyDescent="0.3">
      <c r="W180" s="64"/>
      <c r="X180" s="51"/>
    </row>
    <row r="181" spans="23:24" x14ac:dyDescent="0.3">
      <c r="W181" s="64"/>
      <c r="X181" s="51"/>
    </row>
    <row r="182" spans="23:24" x14ac:dyDescent="0.3">
      <c r="W182" s="64"/>
      <c r="X182" s="51"/>
    </row>
    <row r="183" spans="23:24" x14ac:dyDescent="0.3">
      <c r="W183" s="64"/>
      <c r="X183" s="51"/>
    </row>
    <row r="184" spans="23:24" x14ac:dyDescent="0.3">
      <c r="W184" s="64"/>
      <c r="X184" s="51"/>
    </row>
    <row r="185" spans="23:24" x14ac:dyDescent="0.3">
      <c r="W185" s="64"/>
      <c r="X185" s="51"/>
    </row>
    <row r="186" spans="23:24" x14ac:dyDescent="0.3">
      <c r="W186" s="64"/>
      <c r="X186" s="51"/>
    </row>
    <row r="187" spans="23:24" x14ac:dyDescent="0.3">
      <c r="W187" s="64"/>
      <c r="X187" s="51"/>
    </row>
    <row r="188" spans="23:24" x14ac:dyDescent="0.3">
      <c r="W188" s="64"/>
      <c r="X188" s="51"/>
    </row>
    <row r="189" spans="23:24" x14ac:dyDescent="0.3">
      <c r="W189" s="64"/>
      <c r="X189" s="51"/>
    </row>
    <row r="190" spans="23:24" x14ac:dyDescent="0.3">
      <c r="W190" s="64"/>
      <c r="X190" s="51"/>
    </row>
    <row r="191" spans="23:24" x14ac:dyDescent="0.3">
      <c r="W191" s="64"/>
      <c r="X191" s="51"/>
    </row>
    <row r="192" spans="23:24" x14ac:dyDescent="0.3">
      <c r="W192" s="64"/>
      <c r="X192" s="51"/>
    </row>
    <row r="193" spans="23:24" x14ac:dyDescent="0.3">
      <c r="W193" s="64"/>
      <c r="X193" s="51"/>
    </row>
    <row r="194" spans="23:24" x14ac:dyDescent="0.3">
      <c r="W194" s="64"/>
      <c r="X194" s="51"/>
    </row>
    <row r="195" spans="23:24" x14ac:dyDescent="0.3">
      <c r="W195" s="64"/>
      <c r="X195" s="51"/>
    </row>
    <row r="196" spans="23:24" x14ac:dyDescent="0.3">
      <c r="W196" s="64"/>
      <c r="X196" s="51"/>
    </row>
    <row r="197" spans="23:24" x14ac:dyDescent="0.3">
      <c r="W197" s="64"/>
      <c r="X197" s="51"/>
    </row>
    <row r="198" spans="23:24" x14ac:dyDescent="0.3">
      <c r="W198" s="64"/>
      <c r="X198" s="51"/>
    </row>
    <row r="199" spans="23:24" x14ac:dyDescent="0.3">
      <c r="W199" s="64"/>
      <c r="X199" s="51"/>
    </row>
    <row r="200" spans="23:24" x14ac:dyDescent="0.3">
      <c r="W200" s="64"/>
      <c r="X200" s="51"/>
    </row>
    <row r="201" spans="23:24" x14ac:dyDescent="0.3">
      <c r="W201" s="64"/>
      <c r="X201" s="51"/>
    </row>
    <row r="202" spans="23:24" x14ac:dyDescent="0.3">
      <c r="W202" s="64"/>
      <c r="X202" s="51"/>
    </row>
    <row r="203" spans="23:24" x14ac:dyDescent="0.3">
      <c r="W203" s="64"/>
      <c r="X203" s="51"/>
    </row>
    <row r="204" spans="23:24" x14ac:dyDescent="0.3">
      <c r="W204" s="64"/>
      <c r="X204" s="51"/>
    </row>
    <row r="205" spans="23:24" x14ac:dyDescent="0.3">
      <c r="W205" s="64"/>
      <c r="X205" s="51"/>
    </row>
    <row r="206" spans="23:24" x14ac:dyDescent="0.3">
      <c r="W206" s="64"/>
      <c r="X206" s="51"/>
    </row>
    <row r="207" spans="23:24" x14ac:dyDescent="0.3">
      <c r="W207" s="64"/>
      <c r="X207" s="51"/>
    </row>
    <row r="208" spans="23:24" x14ac:dyDescent="0.3">
      <c r="W208" s="64"/>
      <c r="X208" s="51"/>
    </row>
    <row r="209" spans="23:24" x14ac:dyDescent="0.3">
      <c r="W209" s="64"/>
      <c r="X209" s="51"/>
    </row>
    <row r="210" spans="23:24" x14ac:dyDescent="0.3">
      <c r="W210" s="64"/>
      <c r="X210" s="51"/>
    </row>
    <row r="211" spans="23:24" x14ac:dyDescent="0.3">
      <c r="W211" s="64"/>
      <c r="X211" s="51"/>
    </row>
    <row r="212" spans="23:24" x14ac:dyDescent="0.3">
      <c r="W212" s="64"/>
      <c r="X212" s="51"/>
    </row>
    <row r="213" spans="23:24" x14ac:dyDescent="0.3">
      <c r="W213" s="64"/>
      <c r="X213" s="51"/>
    </row>
    <row r="214" spans="23:24" x14ac:dyDescent="0.3">
      <c r="W214" s="64"/>
      <c r="X214" s="51"/>
    </row>
    <row r="215" spans="23:24" x14ac:dyDescent="0.3">
      <c r="W215" s="64"/>
      <c r="X215" s="51"/>
    </row>
    <row r="216" spans="23:24" x14ac:dyDescent="0.3">
      <c r="W216" s="64"/>
      <c r="X216" s="51"/>
    </row>
    <row r="217" spans="23:24" x14ac:dyDescent="0.3">
      <c r="W217" s="64"/>
      <c r="X217" s="51"/>
    </row>
    <row r="218" spans="23:24" x14ac:dyDescent="0.3">
      <c r="W218" s="64"/>
      <c r="X218" s="51"/>
    </row>
    <row r="219" spans="23:24" x14ac:dyDescent="0.3">
      <c r="W219" s="64"/>
      <c r="X219" s="51"/>
    </row>
    <row r="220" spans="23:24" x14ac:dyDescent="0.3">
      <c r="W220" s="64"/>
      <c r="X220" s="51"/>
    </row>
    <row r="221" spans="23:24" x14ac:dyDescent="0.3">
      <c r="W221" s="64"/>
      <c r="X221" s="51"/>
    </row>
    <row r="222" spans="23:24" x14ac:dyDescent="0.3">
      <c r="W222" s="64"/>
      <c r="X222" s="51"/>
    </row>
    <row r="223" spans="23:24" x14ac:dyDescent="0.3">
      <c r="W223" s="64"/>
      <c r="X223" s="51"/>
    </row>
    <row r="224" spans="23:24" x14ac:dyDescent="0.3">
      <c r="W224" s="64"/>
      <c r="X224" s="51"/>
    </row>
    <row r="225" spans="23:24" x14ac:dyDescent="0.3">
      <c r="W225" s="64"/>
      <c r="X225" s="51"/>
    </row>
    <row r="226" spans="23:24" x14ac:dyDescent="0.3">
      <c r="W226" s="64"/>
      <c r="X226" s="51"/>
    </row>
    <row r="227" spans="23:24" x14ac:dyDescent="0.3">
      <c r="W227" s="64"/>
      <c r="X227" s="51"/>
    </row>
    <row r="228" spans="23:24" x14ac:dyDescent="0.3">
      <c r="W228" s="64"/>
      <c r="X228" s="51"/>
    </row>
    <row r="229" spans="23:24" x14ac:dyDescent="0.3">
      <c r="W229" s="64"/>
      <c r="X229" s="51"/>
    </row>
    <row r="230" spans="23:24" x14ac:dyDescent="0.3">
      <c r="W230" s="64"/>
      <c r="X230" s="51"/>
    </row>
    <row r="231" spans="23:24" x14ac:dyDescent="0.3">
      <c r="W231" s="64"/>
      <c r="X231" s="51"/>
    </row>
    <row r="232" spans="23:24" x14ac:dyDescent="0.3">
      <c r="W232" s="64"/>
      <c r="X232" s="51"/>
    </row>
    <row r="233" spans="23:24" x14ac:dyDescent="0.3">
      <c r="W233" s="64"/>
      <c r="X233" s="51"/>
    </row>
    <row r="234" spans="23:24" x14ac:dyDescent="0.3">
      <c r="W234" s="64"/>
      <c r="X234" s="51"/>
    </row>
    <row r="235" spans="23:24" x14ac:dyDescent="0.3">
      <c r="W235" s="64"/>
      <c r="X235" s="51"/>
    </row>
    <row r="236" spans="23:24" x14ac:dyDescent="0.3">
      <c r="W236" s="64"/>
      <c r="X236" s="51"/>
    </row>
    <row r="237" spans="23:24" x14ac:dyDescent="0.3">
      <c r="W237" s="64"/>
      <c r="X237" s="51"/>
    </row>
    <row r="238" spans="23:24" x14ac:dyDescent="0.3">
      <c r="W238" s="64"/>
      <c r="X238" s="51"/>
    </row>
    <row r="239" spans="23:24" x14ac:dyDescent="0.3">
      <c r="W239" s="64"/>
      <c r="X239" s="51"/>
    </row>
    <row r="240" spans="23:24" x14ac:dyDescent="0.3">
      <c r="W240" s="64"/>
      <c r="X240" s="51"/>
    </row>
    <row r="241" spans="23:24" x14ac:dyDescent="0.3">
      <c r="W241" s="64"/>
      <c r="X241" s="51"/>
    </row>
    <row r="242" spans="23:24" x14ac:dyDescent="0.3">
      <c r="W242" s="64"/>
      <c r="X242" s="51"/>
    </row>
    <row r="243" spans="23:24" x14ac:dyDescent="0.3">
      <c r="W243" s="64"/>
      <c r="X243" s="51"/>
    </row>
    <row r="244" spans="23:24" x14ac:dyDescent="0.3">
      <c r="W244" s="64"/>
      <c r="X244" s="51"/>
    </row>
    <row r="245" spans="23:24" x14ac:dyDescent="0.3">
      <c r="W245" s="64"/>
      <c r="X245" s="51"/>
    </row>
    <row r="246" spans="23:24" x14ac:dyDescent="0.3">
      <c r="W246" s="64"/>
      <c r="X246" s="51"/>
    </row>
    <row r="247" spans="23:24" x14ac:dyDescent="0.3">
      <c r="W247" s="64"/>
      <c r="X247" s="51"/>
    </row>
    <row r="248" spans="23:24" x14ac:dyDescent="0.3">
      <c r="W248" s="64"/>
      <c r="X248" s="51"/>
    </row>
    <row r="249" spans="23:24" x14ac:dyDescent="0.3">
      <c r="W249" s="64"/>
      <c r="X249" s="51"/>
    </row>
    <row r="250" spans="23:24" x14ac:dyDescent="0.3">
      <c r="W250" s="64"/>
      <c r="X250" s="51"/>
    </row>
    <row r="251" spans="23:24" x14ac:dyDescent="0.3">
      <c r="W251" s="64"/>
      <c r="X251" s="51"/>
    </row>
    <row r="252" spans="23:24" x14ac:dyDescent="0.3">
      <c r="W252" s="64"/>
      <c r="X252" s="51"/>
    </row>
    <row r="253" spans="23:24" x14ac:dyDescent="0.3">
      <c r="W253" s="64"/>
      <c r="X253" s="51"/>
    </row>
    <row r="254" spans="23:24" x14ac:dyDescent="0.3">
      <c r="W254" s="64"/>
      <c r="X254" s="51"/>
    </row>
    <row r="255" spans="23:24" x14ac:dyDescent="0.3">
      <c r="W255" s="64"/>
      <c r="X255" s="51"/>
    </row>
    <row r="256" spans="23:24" x14ac:dyDescent="0.3">
      <c r="W256" s="64"/>
      <c r="X256" s="51"/>
    </row>
    <row r="257" spans="23:24" x14ac:dyDescent="0.3">
      <c r="W257" s="64"/>
      <c r="X257" s="51"/>
    </row>
    <row r="258" spans="23:24" x14ac:dyDescent="0.3">
      <c r="W258" s="64"/>
      <c r="X258" s="51"/>
    </row>
    <row r="259" spans="23:24" x14ac:dyDescent="0.3">
      <c r="W259" s="64"/>
      <c r="X259" s="51"/>
    </row>
    <row r="260" spans="23:24" x14ac:dyDescent="0.3">
      <c r="W260" s="64"/>
      <c r="X260" s="51"/>
    </row>
    <row r="261" spans="23:24" x14ac:dyDescent="0.3">
      <c r="W261" s="64"/>
      <c r="X261" s="51"/>
    </row>
    <row r="262" spans="23:24" x14ac:dyDescent="0.3">
      <c r="W262" s="64"/>
      <c r="X262" s="51"/>
    </row>
    <row r="263" spans="23:24" x14ac:dyDescent="0.3">
      <c r="W263" s="64"/>
      <c r="X263" s="51"/>
    </row>
    <row r="264" spans="23:24" x14ac:dyDescent="0.3">
      <c r="W264" s="64"/>
      <c r="X264" s="51"/>
    </row>
    <row r="265" spans="23:24" x14ac:dyDescent="0.3">
      <c r="W265" s="64"/>
      <c r="X265" s="51"/>
    </row>
    <row r="266" spans="23:24" x14ac:dyDescent="0.3">
      <c r="W266" s="64"/>
      <c r="X266" s="51"/>
    </row>
    <row r="267" spans="23:24" x14ac:dyDescent="0.3">
      <c r="W267" s="64"/>
      <c r="X267" s="51"/>
    </row>
    <row r="268" spans="23:24" x14ac:dyDescent="0.3">
      <c r="W268" s="64"/>
      <c r="X268" s="51"/>
    </row>
    <row r="269" spans="23:24" x14ac:dyDescent="0.3">
      <c r="W269" s="64"/>
      <c r="X269" s="51"/>
    </row>
    <row r="270" spans="23:24" x14ac:dyDescent="0.3">
      <c r="W270" s="64"/>
      <c r="X270" s="51"/>
    </row>
    <row r="271" spans="23:24" x14ac:dyDescent="0.3">
      <c r="W271" s="64"/>
      <c r="X271" s="51"/>
    </row>
    <row r="272" spans="23:24" x14ac:dyDescent="0.3">
      <c r="W272" s="64"/>
      <c r="X272" s="51"/>
    </row>
    <row r="273" spans="23:24" x14ac:dyDescent="0.3">
      <c r="W273" s="64"/>
      <c r="X273" s="51"/>
    </row>
    <row r="274" spans="23:24" x14ac:dyDescent="0.3">
      <c r="W274" s="64"/>
      <c r="X274" s="51"/>
    </row>
    <row r="275" spans="23:24" x14ac:dyDescent="0.3">
      <c r="W275" s="64"/>
      <c r="X275" s="51"/>
    </row>
    <row r="276" spans="23:24" x14ac:dyDescent="0.3">
      <c r="W276" s="64"/>
      <c r="X276" s="51"/>
    </row>
    <row r="277" spans="23:24" x14ac:dyDescent="0.3">
      <c r="W277" s="64"/>
      <c r="X277" s="51"/>
    </row>
    <row r="278" spans="23:24" x14ac:dyDescent="0.3">
      <c r="W278" s="64"/>
      <c r="X278" s="51"/>
    </row>
    <row r="279" spans="23:24" x14ac:dyDescent="0.3">
      <c r="W279" s="64"/>
      <c r="X279" s="51"/>
    </row>
    <row r="280" spans="23:24" x14ac:dyDescent="0.3">
      <c r="W280" s="64"/>
      <c r="X280" s="51"/>
    </row>
    <row r="281" spans="23:24" x14ac:dyDescent="0.3">
      <c r="W281" s="64"/>
      <c r="X281" s="51"/>
    </row>
    <row r="282" spans="23:24" x14ac:dyDescent="0.3">
      <c r="W282" s="64"/>
      <c r="X282" s="51"/>
    </row>
    <row r="283" spans="23:24" x14ac:dyDescent="0.3">
      <c r="W283" s="64"/>
      <c r="X283" s="51"/>
    </row>
    <row r="284" spans="23:24" x14ac:dyDescent="0.3">
      <c r="W284" s="64"/>
      <c r="X284" s="51"/>
    </row>
    <row r="285" spans="23:24" x14ac:dyDescent="0.3">
      <c r="W285" s="64"/>
      <c r="X285" s="51"/>
    </row>
    <row r="286" spans="23:24" x14ac:dyDescent="0.3">
      <c r="W286" s="64"/>
      <c r="X286" s="51"/>
    </row>
    <row r="287" spans="23:24" x14ac:dyDescent="0.3">
      <c r="W287" s="64"/>
      <c r="X287" s="51"/>
    </row>
    <row r="288" spans="23:24" x14ac:dyDescent="0.3">
      <c r="W288" s="64"/>
      <c r="X288" s="51"/>
    </row>
    <row r="289" spans="23:24" x14ac:dyDescent="0.3">
      <c r="W289" s="64"/>
      <c r="X289" s="51"/>
    </row>
    <row r="290" spans="23:24" x14ac:dyDescent="0.3">
      <c r="W290" s="64"/>
      <c r="X290" s="51"/>
    </row>
    <row r="291" spans="23:24" x14ac:dyDescent="0.3">
      <c r="W291" s="64"/>
      <c r="X291" s="51"/>
    </row>
    <row r="292" spans="23:24" x14ac:dyDescent="0.3">
      <c r="W292" s="64"/>
      <c r="X292" s="51"/>
    </row>
    <row r="293" spans="23:24" x14ac:dyDescent="0.3">
      <c r="W293" s="64"/>
      <c r="X293" s="51"/>
    </row>
    <row r="294" spans="23:24" x14ac:dyDescent="0.3">
      <c r="W294" s="64"/>
      <c r="X294" s="51"/>
    </row>
    <row r="295" spans="23:24" x14ac:dyDescent="0.3">
      <c r="W295" s="64"/>
      <c r="X295" s="51"/>
    </row>
    <row r="296" spans="23:24" x14ac:dyDescent="0.3">
      <c r="W296" s="64"/>
      <c r="X296" s="51"/>
    </row>
    <row r="297" spans="23:24" x14ac:dyDescent="0.3">
      <c r="W297" s="64"/>
      <c r="X297" s="51"/>
    </row>
    <row r="298" spans="23:24" x14ac:dyDescent="0.3">
      <c r="W298" s="64"/>
      <c r="X298" s="51"/>
    </row>
    <row r="299" spans="23:24" x14ac:dyDescent="0.3">
      <c r="W299" s="64"/>
      <c r="X299" s="51"/>
    </row>
    <row r="300" spans="23:24" x14ac:dyDescent="0.3">
      <c r="W300" s="64"/>
      <c r="X300" s="51"/>
    </row>
    <row r="301" spans="23:24" x14ac:dyDescent="0.3">
      <c r="W301" s="64"/>
      <c r="X301" s="51"/>
    </row>
    <row r="302" spans="23:24" x14ac:dyDescent="0.3">
      <c r="W302" s="64"/>
      <c r="X302" s="51"/>
    </row>
    <row r="303" spans="23:24" x14ac:dyDescent="0.3">
      <c r="W303" s="64"/>
      <c r="X303" s="51"/>
    </row>
    <row r="304" spans="23:24" x14ac:dyDescent="0.3">
      <c r="W304" s="64"/>
      <c r="X304" s="51"/>
    </row>
    <row r="305" spans="23:24" x14ac:dyDescent="0.3">
      <c r="W305" s="64"/>
      <c r="X305" s="51"/>
    </row>
    <row r="306" spans="23:24" x14ac:dyDescent="0.3">
      <c r="W306" s="64"/>
      <c r="X306" s="51"/>
    </row>
    <row r="307" spans="23:24" x14ac:dyDescent="0.3">
      <c r="W307" s="64"/>
      <c r="X307" s="51"/>
    </row>
    <row r="308" spans="23:24" x14ac:dyDescent="0.3">
      <c r="W308" s="64"/>
      <c r="X308" s="51"/>
    </row>
    <row r="309" spans="23:24" x14ac:dyDescent="0.3">
      <c r="W309" s="64"/>
      <c r="X309" s="51"/>
    </row>
    <row r="310" spans="23:24" x14ac:dyDescent="0.3">
      <c r="W310" s="64"/>
      <c r="X310" s="51"/>
    </row>
    <row r="311" spans="23:24" x14ac:dyDescent="0.3">
      <c r="W311" s="64"/>
      <c r="X311" s="51"/>
    </row>
    <row r="312" spans="23:24" x14ac:dyDescent="0.3">
      <c r="W312" s="64"/>
      <c r="X312" s="51"/>
    </row>
    <row r="313" spans="23:24" x14ac:dyDescent="0.3">
      <c r="W313" s="64"/>
      <c r="X313" s="51"/>
    </row>
    <row r="314" spans="23:24" x14ac:dyDescent="0.3">
      <c r="W314" s="64"/>
      <c r="X314" s="51"/>
    </row>
    <row r="315" spans="23:24" x14ac:dyDescent="0.3">
      <c r="W315" s="64"/>
      <c r="X315" s="51"/>
    </row>
    <row r="316" spans="23:24" x14ac:dyDescent="0.3">
      <c r="W316" s="64"/>
      <c r="X316" s="51"/>
    </row>
    <row r="317" spans="23:24" x14ac:dyDescent="0.3">
      <c r="W317" s="64"/>
      <c r="X317" s="51"/>
    </row>
    <row r="318" spans="23:24" x14ac:dyDescent="0.3">
      <c r="W318" s="64"/>
      <c r="X318" s="51"/>
    </row>
    <row r="319" spans="23:24" x14ac:dyDescent="0.3">
      <c r="W319" s="64"/>
      <c r="X319" s="51"/>
    </row>
    <row r="320" spans="23:24" x14ac:dyDescent="0.3">
      <c r="W320" s="64"/>
      <c r="X320" s="51"/>
    </row>
    <row r="321" spans="23:24" x14ac:dyDescent="0.3">
      <c r="W321" s="64"/>
      <c r="X321" s="51"/>
    </row>
    <row r="322" spans="23:24" x14ac:dyDescent="0.3">
      <c r="W322" s="64"/>
      <c r="X322" s="51"/>
    </row>
    <row r="323" spans="23:24" x14ac:dyDescent="0.3">
      <c r="W323" s="64"/>
      <c r="X323" s="51"/>
    </row>
    <row r="324" spans="23:24" x14ac:dyDescent="0.3">
      <c r="W324" s="64"/>
      <c r="X324" s="51"/>
    </row>
    <row r="325" spans="23:24" x14ac:dyDescent="0.3">
      <c r="W325" s="64"/>
      <c r="X325" s="51"/>
    </row>
    <row r="326" spans="23:24" x14ac:dyDescent="0.3">
      <c r="W326" s="64"/>
      <c r="X326" s="51"/>
    </row>
    <row r="327" spans="23:24" x14ac:dyDescent="0.3">
      <c r="W327" s="64"/>
      <c r="X327" s="51"/>
    </row>
    <row r="328" spans="23:24" x14ac:dyDescent="0.3">
      <c r="W328" s="64"/>
      <c r="X328" s="51"/>
    </row>
    <row r="329" spans="23:24" x14ac:dyDescent="0.3">
      <c r="W329" s="64"/>
      <c r="X329" s="51"/>
    </row>
    <row r="330" spans="23:24" x14ac:dyDescent="0.3">
      <c r="W330" s="64"/>
      <c r="X330" s="51"/>
    </row>
    <row r="331" spans="23:24" x14ac:dyDescent="0.3">
      <c r="W331" s="64"/>
      <c r="X331" s="51"/>
    </row>
    <row r="332" spans="23:24" x14ac:dyDescent="0.3">
      <c r="W332" s="64"/>
      <c r="X332" s="51"/>
    </row>
    <row r="333" spans="23:24" x14ac:dyDescent="0.3">
      <c r="W333" s="64"/>
      <c r="X333" s="51"/>
    </row>
    <row r="334" spans="23:24" x14ac:dyDescent="0.3">
      <c r="W334" s="64"/>
      <c r="X334" s="51"/>
    </row>
    <row r="335" spans="23:24" x14ac:dyDescent="0.3">
      <c r="W335" s="64"/>
      <c r="X335" s="51"/>
    </row>
    <row r="336" spans="23:24" x14ac:dyDescent="0.3">
      <c r="W336" s="64"/>
      <c r="X336" s="51"/>
    </row>
    <row r="337" spans="23:24" x14ac:dyDescent="0.3">
      <c r="W337" s="64"/>
      <c r="X337" s="51"/>
    </row>
    <row r="338" spans="23:24" x14ac:dyDescent="0.3">
      <c r="W338" s="64"/>
      <c r="X338" s="51"/>
    </row>
    <row r="339" spans="23:24" x14ac:dyDescent="0.3">
      <c r="W339" s="64"/>
      <c r="X339" s="51"/>
    </row>
    <row r="340" spans="23:24" x14ac:dyDescent="0.3">
      <c r="W340" s="64"/>
      <c r="X340" s="51"/>
    </row>
    <row r="341" spans="23:24" x14ac:dyDescent="0.3">
      <c r="W341" s="64"/>
      <c r="X341" s="51"/>
    </row>
    <row r="342" spans="23:24" x14ac:dyDescent="0.3">
      <c r="W342" s="64"/>
      <c r="X342" s="51"/>
    </row>
    <row r="343" spans="23:24" x14ac:dyDescent="0.3">
      <c r="W343" s="64"/>
      <c r="X343" s="51"/>
    </row>
    <row r="344" spans="23:24" x14ac:dyDescent="0.3">
      <c r="W344" s="64"/>
      <c r="X344" s="51"/>
    </row>
    <row r="345" spans="23:24" x14ac:dyDescent="0.3">
      <c r="W345" s="64"/>
      <c r="X345" s="51"/>
    </row>
    <row r="346" spans="23:24" x14ac:dyDescent="0.3">
      <c r="W346" s="64"/>
      <c r="X346" s="51"/>
    </row>
    <row r="347" spans="23:24" x14ac:dyDescent="0.3">
      <c r="W347" s="64"/>
      <c r="X347" s="51"/>
    </row>
    <row r="348" spans="23:24" x14ac:dyDescent="0.3">
      <c r="W348" s="64"/>
      <c r="X348" s="51"/>
    </row>
    <row r="349" spans="23:24" x14ac:dyDescent="0.3">
      <c r="W349" s="64"/>
      <c r="X349" s="51"/>
    </row>
    <row r="350" spans="23:24" x14ac:dyDescent="0.3">
      <c r="W350" s="64"/>
      <c r="X350" s="51"/>
    </row>
    <row r="351" spans="23:24" x14ac:dyDescent="0.3">
      <c r="W351" s="64"/>
      <c r="X351" s="51"/>
    </row>
    <row r="352" spans="23:24" x14ac:dyDescent="0.3">
      <c r="W352" s="64"/>
      <c r="X352" s="51"/>
    </row>
    <row r="353" spans="23:24" x14ac:dyDescent="0.3">
      <c r="W353" s="64"/>
      <c r="X353" s="51"/>
    </row>
    <row r="354" spans="23:24" x14ac:dyDescent="0.3">
      <c r="W354" s="64"/>
      <c r="X354" s="51"/>
    </row>
    <row r="355" spans="23:24" x14ac:dyDescent="0.3">
      <c r="W355" s="64"/>
      <c r="X355" s="51"/>
    </row>
    <row r="356" spans="23:24" x14ac:dyDescent="0.3">
      <c r="W356" s="64"/>
      <c r="X356" s="51"/>
    </row>
    <row r="357" spans="23:24" x14ac:dyDescent="0.3">
      <c r="W357" s="64"/>
      <c r="X357" s="51"/>
    </row>
    <row r="358" spans="23:24" x14ac:dyDescent="0.3">
      <c r="W358" s="64"/>
      <c r="X358" s="51"/>
    </row>
    <row r="359" spans="23:24" x14ac:dyDescent="0.3">
      <c r="W359" s="64"/>
      <c r="X359" s="51"/>
    </row>
    <row r="360" spans="23:24" x14ac:dyDescent="0.3">
      <c r="W360" s="64"/>
      <c r="X360" s="51"/>
    </row>
    <row r="361" spans="23:24" x14ac:dyDescent="0.3">
      <c r="W361" s="64"/>
      <c r="X361" s="51"/>
    </row>
    <row r="362" spans="23:24" x14ac:dyDescent="0.3">
      <c r="W362" s="64"/>
      <c r="X362" s="51"/>
    </row>
    <row r="363" spans="23:24" x14ac:dyDescent="0.3">
      <c r="W363" s="64"/>
      <c r="X363" s="51"/>
    </row>
    <row r="364" spans="23:24" x14ac:dyDescent="0.3">
      <c r="W364" s="64"/>
      <c r="X364" s="51"/>
    </row>
    <row r="365" spans="23:24" x14ac:dyDescent="0.3">
      <c r="W365" s="64"/>
      <c r="X365" s="51"/>
    </row>
    <row r="366" spans="23:24" x14ac:dyDescent="0.3">
      <c r="W366" s="64"/>
      <c r="X366" s="51"/>
    </row>
    <row r="367" spans="23:24" x14ac:dyDescent="0.3">
      <c r="W367" s="64"/>
      <c r="X367" s="51"/>
    </row>
    <row r="368" spans="23:24" x14ac:dyDescent="0.3">
      <c r="W368" s="64"/>
      <c r="X368" s="51"/>
    </row>
    <row r="369" spans="23:24" x14ac:dyDescent="0.3">
      <c r="W369" s="64"/>
      <c r="X369" s="51"/>
    </row>
    <row r="370" spans="23:24" x14ac:dyDescent="0.3">
      <c r="W370" s="64"/>
      <c r="X370" s="51"/>
    </row>
    <row r="371" spans="23:24" x14ac:dyDescent="0.3">
      <c r="W371" s="64"/>
      <c r="X371" s="51"/>
    </row>
    <row r="372" spans="23:24" x14ac:dyDescent="0.3">
      <c r="W372" s="64"/>
      <c r="X372" s="51"/>
    </row>
    <row r="373" spans="23:24" x14ac:dyDescent="0.3">
      <c r="W373" s="64"/>
      <c r="X373" s="51"/>
    </row>
    <row r="374" spans="23:24" x14ac:dyDescent="0.3">
      <c r="W374" s="64"/>
      <c r="X374" s="51"/>
    </row>
    <row r="375" spans="23:24" x14ac:dyDescent="0.3">
      <c r="W375" s="64"/>
      <c r="X375" s="51"/>
    </row>
    <row r="376" spans="23:24" x14ac:dyDescent="0.3">
      <c r="W376" s="64"/>
      <c r="X376" s="51"/>
    </row>
    <row r="377" spans="23:24" x14ac:dyDescent="0.3">
      <c r="W377" s="64"/>
      <c r="X377" s="51"/>
    </row>
    <row r="378" spans="23:24" x14ac:dyDescent="0.3">
      <c r="W378" s="64"/>
      <c r="X378" s="51"/>
    </row>
    <row r="379" spans="23:24" x14ac:dyDescent="0.3">
      <c r="W379" s="64"/>
      <c r="X379" s="51"/>
    </row>
    <row r="380" spans="23:24" x14ac:dyDescent="0.3">
      <c r="W380" s="64"/>
      <c r="X380" s="51"/>
    </row>
    <row r="381" spans="23:24" x14ac:dyDescent="0.3">
      <c r="W381" s="64"/>
      <c r="X381" s="51"/>
    </row>
    <row r="382" spans="23:24" x14ac:dyDescent="0.3">
      <c r="W382" s="64"/>
      <c r="X382" s="51"/>
    </row>
    <row r="383" spans="23:24" x14ac:dyDescent="0.3">
      <c r="W383" s="64"/>
      <c r="X383" s="51"/>
    </row>
    <row r="384" spans="23:24" x14ac:dyDescent="0.3">
      <c r="W384" s="64"/>
      <c r="X384" s="51"/>
    </row>
    <row r="385" spans="23:24" x14ac:dyDescent="0.3">
      <c r="W385" s="64"/>
      <c r="X385" s="51"/>
    </row>
    <row r="386" spans="23:24" x14ac:dyDescent="0.3">
      <c r="W386" s="64"/>
      <c r="X386" s="51"/>
    </row>
    <row r="387" spans="23:24" x14ac:dyDescent="0.3">
      <c r="W387" s="64"/>
      <c r="X387" s="51"/>
    </row>
    <row r="388" spans="23:24" x14ac:dyDescent="0.3">
      <c r="W388" s="64"/>
      <c r="X388" s="51"/>
    </row>
    <row r="389" spans="23:24" x14ac:dyDescent="0.3">
      <c r="W389" s="64"/>
      <c r="X389" s="51"/>
    </row>
    <row r="390" spans="23:24" x14ac:dyDescent="0.3">
      <c r="W390" s="64"/>
      <c r="X390" s="51"/>
    </row>
    <row r="391" spans="23:24" x14ac:dyDescent="0.3">
      <c r="W391" s="64"/>
      <c r="X391" s="51"/>
    </row>
    <row r="392" spans="23:24" x14ac:dyDescent="0.3">
      <c r="W392" s="64"/>
      <c r="X392" s="51"/>
    </row>
    <row r="393" spans="23:24" x14ac:dyDescent="0.3">
      <c r="W393" s="64"/>
      <c r="X393" s="51"/>
    </row>
    <row r="394" spans="23:24" x14ac:dyDescent="0.3">
      <c r="W394" s="64"/>
      <c r="X394" s="51"/>
    </row>
    <row r="395" spans="23:24" x14ac:dyDescent="0.3">
      <c r="W395" s="64"/>
      <c r="X395" s="51"/>
    </row>
    <row r="396" spans="23:24" x14ac:dyDescent="0.3">
      <c r="W396" s="64"/>
      <c r="X396" s="51"/>
    </row>
    <row r="397" spans="23:24" x14ac:dyDescent="0.3">
      <c r="W397" s="64"/>
      <c r="X397" s="51"/>
    </row>
    <row r="398" spans="23:24" x14ac:dyDescent="0.3">
      <c r="W398" s="64"/>
      <c r="X398" s="51"/>
    </row>
    <row r="399" spans="23:24" x14ac:dyDescent="0.3">
      <c r="W399" s="64"/>
      <c r="X399" s="51"/>
    </row>
    <row r="400" spans="23:24" x14ac:dyDescent="0.3">
      <c r="W400" s="64"/>
      <c r="X400" s="51"/>
    </row>
    <row r="401" spans="23:24" x14ac:dyDescent="0.3">
      <c r="W401" s="64"/>
      <c r="X401" s="51"/>
    </row>
    <row r="402" spans="23:24" x14ac:dyDescent="0.3">
      <c r="W402" s="64"/>
      <c r="X402" s="51"/>
    </row>
    <row r="403" spans="23:24" x14ac:dyDescent="0.3">
      <c r="W403" s="64"/>
      <c r="X403" s="51"/>
    </row>
    <row r="404" spans="23:24" x14ac:dyDescent="0.3">
      <c r="W404" s="64"/>
      <c r="X404" s="51"/>
    </row>
    <row r="405" spans="23:24" x14ac:dyDescent="0.3">
      <c r="W405" s="64"/>
      <c r="X405" s="51"/>
    </row>
    <row r="406" spans="23:24" x14ac:dyDescent="0.3">
      <c r="W406" s="64"/>
      <c r="X406" s="51"/>
    </row>
    <row r="407" spans="23:24" x14ac:dyDescent="0.3">
      <c r="W407" s="64"/>
      <c r="X407" s="51"/>
    </row>
    <row r="408" spans="23:24" x14ac:dyDescent="0.3">
      <c r="W408" s="64"/>
      <c r="X408" s="51"/>
    </row>
    <row r="409" spans="23:24" x14ac:dyDescent="0.3">
      <c r="W409" s="64"/>
      <c r="X409" s="51"/>
    </row>
    <row r="410" spans="23:24" x14ac:dyDescent="0.3">
      <c r="W410" s="64"/>
      <c r="X410" s="51"/>
    </row>
    <row r="411" spans="23:24" x14ac:dyDescent="0.3">
      <c r="W411" s="64"/>
      <c r="X411" s="51"/>
    </row>
    <row r="412" spans="23:24" x14ac:dyDescent="0.3">
      <c r="W412" s="64"/>
      <c r="X412" s="51"/>
    </row>
    <row r="413" spans="23:24" x14ac:dyDescent="0.3">
      <c r="W413" s="64"/>
      <c r="X413" s="51"/>
    </row>
    <row r="414" spans="23:24" x14ac:dyDescent="0.3">
      <c r="W414" s="64"/>
      <c r="X414" s="51"/>
    </row>
    <row r="415" spans="23:24" x14ac:dyDescent="0.3">
      <c r="W415" s="64"/>
      <c r="X415" s="51"/>
    </row>
    <row r="416" spans="23:24" x14ac:dyDescent="0.3">
      <c r="W416" s="64"/>
      <c r="X416" s="51"/>
    </row>
    <row r="417" spans="23:24" x14ac:dyDescent="0.3">
      <c r="W417" s="64"/>
      <c r="X417" s="51"/>
    </row>
    <row r="418" spans="23:24" x14ac:dyDescent="0.3">
      <c r="W418" s="64"/>
      <c r="X418" s="51"/>
    </row>
    <row r="419" spans="23:24" x14ac:dyDescent="0.3">
      <c r="W419" s="64"/>
      <c r="X419" s="51"/>
    </row>
    <row r="420" spans="23:24" x14ac:dyDescent="0.3">
      <c r="W420" s="64"/>
      <c r="X420" s="51"/>
    </row>
    <row r="421" spans="23:24" x14ac:dyDescent="0.3">
      <c r="W421" s="64"/>
      <c r="X421" s="51"/>
    </row>
    <row r="422" spans="23:24" x14ac:dyDescent="0.3">
      <c r="W422" s="64"/>
      <c r="X422" s="51"/>
    </row>
    <row r="423" spans="23:24" x14ac:dyDescent="0.3">
      <c r="W423" s="64"/>
      <c r="X423" s="51"/>
    </row>
    <row r="424" spans="23:24" x14ac:dyDescent="0.3">
      <c r="W424" s="64"/>
      <c r="X424" s="51"/>
    </row>
    <row r="425" spans="23:24" x14ac:dyDescent="0.3">
      <c r="W425" s="64"/>
      <c r="X425" s="51"/>
    </row>
    <row r="426" spans="23:24" x14ac:dyDescent="0.3">
      <c r="W426" s="64"/>
      <c r="X426" s="51"/>
    </row>
    <row r="427" spans="23:24" x14ac:dyDescent="0.3">
      <c r="W427" s="64"/>
      <c r="X427" s="51"/>
    </row>
    <row r="428" spans="23:24" x14ac:dyDescent="0.3">
      <c r="W428" s="64"/>
      <c r="X428" s="51"/>
    </row>
    <row r="429" spans="23:24" x14ac:dyDescent="0.3">
      <c r="W429" s="64"/>
      <c r="X429" s="51"/>
    </row>
    <row r="430" spans="23:24" x14ac:dyDescent="0.3">
      <c r="W430" s="64"/>
      <c r="X430" s="51"/>
    </row>
    <row r="431" spans="23:24" x14ac:dyDescent="0.3">
      <c r="W431" s="64"/>
      <c r="X431" s="51"/>
    </row>
    <row r="432" spans="23:24" x14ac:dyDescent="0.3">
      <c r="W432" s="64"/>
      <c r="X432" s="51"/>
    </row>
    <row r="433" spans="23:24" x14ac:dyDescent="0.3">
      <c r="W433" s="64"/>
      <c r="X433" s="51"/>
    </row>
    <row r="434" spans="23:24" x14ac:dyDescent="0.3">
      <c r="W434" s="64"/>
      <c r="X434" s="51"/>
    </row>
    <row r="435" spans="23:24" x14ac:dyDescent="0.3">
      <c r="W435" s="64"/>
      <c r="X435" s="51"/>
    </row>
    <row r="436" spans="23:24" x14ac:dyDescent="0.3">
      <c r="W436" s="64"/>
      <c r="X436" s="51"/>
    </row>
    <row r="437" spans="23:24" x14ac:dyDescent="0.3">
      <c r="W437" s="64"/>
      <c r="X437" s="51"/>
    </row>
    <row r="438" spans="23:24" x14ac:dyDescent="0.3">
      <c r="W438" s="64"/>
      <c r="X438" s="51"/>
    </row>
    <row r="439" spans="23:24" x14ac:dyDescent="0.3">
      <c r="W439" s="64"/>
      <c r="X439" s="51"/>
    </row>
    <row r="440" spans="23:24" x14ac:dyDescent="0.3">
      <c r="W440" s="64"/>
      <c r="X440" s="51"/>
    </row>
    <row r="441" spans="23:24" x14ac:dyDescent="0.3">
      <c r="W441" s="64"/>
      <c r="X441" s="51"/>
    </row>
    <row r="442" spans="23:24" x14ac:dyDescent="0.3">
      <c r="W442" s="64"/>
      <c r="X442" s="51"/>
    </row>
    <row r="443" spans="23:24" x14ac:dyDescent="0.3">
      <c r="W443" s="64"/>
      <c r="X443" s="51"/>
    </row>
    <row r="444" spans="23:24" x14ac:dyDescent="0.3">
      <c r="W444" s="64"/>
      <c r="X444" s="51"/>
    </row>
    <row r="445" spans="23:24" x14ac:dyDescent="0.3">
      <c r="W445" s="64"/>
      <c r="X445" s="51"/>
    </row>
    <row r="446" spans="23:24" x14ac:dyDescent="0.3">
      <c r="W446" s="64"/>
      <c r="X446" s="51"/>
    </row>
    <row r="447" spans="23:24" x14ac:dyDescent="0.3">
      <c r="W447" s="64"/>
      <c r="X447" s="51"/>
    </row>
    <row r="448" spans="23:24" x14ac:dyDescent="0.3">
      <c r="W448" s="64"/>
      <c r="X448" s="51"/>
    </row>
    <row r="449" spans="23:24" x14ac:dyDescent="0.3">
      <c r="W449" s="64"/>
      <c r="X449" s="51"/>
    </row>
    <row r="450" spans="23:24" x14ac:dyDescent="0.3">
      <c r="W450" s="64"/>
      <c r="X450" s="51"/>
    </row>
    <row r="451" spans="23:24" x14ac:dyDescent="0.3">
      <c r="W451" s="64"/>
      <c r="X451" s="51"/>
    </row>
    <row r="452" spans="23:24" x14ac:dyDescent="0.3">
      <c r="W452" s="64"/>
      <c r="X452" s="51"/>
    </row>
    <row r="453" spans="23:24" x14ac:dyDescent="0.3">
      <c r="W453" s="64"/>
      <c r="X453" s="51"/>
    </row>
    <row r="454" spans="23:24" x14ac:dyDescent="0.3">
      <c r="W454" s="64"/>
      <c r="X454" s="51"/>
    </row>
    <row r="455" spans="23:24" x14ac:dyDescent="0.3">
      <c r="W455" s="64"/>
      <c r="X455" s="51"/>
    </row>
    <row r="456" spans="23:24" x14ac:dyDescent="0.3">
      <c r="W456" s="64"/>
      <c r="X456" s="51"/>
    </row>
    <row r="457" spans="23:24" x14ac:dyDescent="0.3">
      <c r="W457" s="64"/>
      <c r="X457" s="51"/>
    </row>
    <row r="458" spans="23:24" x14ac:dyDescent="0.3">
      <c r="W458" s="64"/>
      <c r="X458" s="51"/>
    </row>
    <row r="459" spans="23:24" x14ac:dyDescent="0.3">
      <c r="W459" s="64"/>
      <c r="X459" s="51"/>
    </row>
    <row r="460" spans="23:24" x14ac:dyDescent="0.3">
      <c r="W460" s="64"/>
      <c r="X460" s="51"/>
    </row>
    <row r="461" spans="23:24" x14ac:dyDescent="0.3">
      <c r="W461" s="64"/>
      <c r="X461" s="51"/>
    </row>
    <row r="462" spans="23:24" x14ac:dyDescent="0.3">
      <c r="W462" s="64"/>
      <c r="X462" s="51"/>
    </row>
    <row r="463" spans="23:24" x14ac:dyDescent="0.3">
      <c r="W463" s="64"/>
      <c r="X463" s="51"/>
    </row>
    <row r="464" spans="23:24" x14ac:dyDescent="0.3">
      <c r="W464" s="64"/>
      <c r="X464" s="51"/>
    </row>
    <row r="465" spans="23:24" x14ac:dyDescent="0.3">
      <c r="W465" s="64"/>
      <c r="X465" s="51"/>
    </row>
    <row r="466" spans="23:24" x14ac:dyDescent="0.3">
      <c r="W466" s="64"/>
      <c r="X466" s="51"/>
    </row>
    <row r="467" spans="23:24" x14ac:dyDescent="0.3">
      <c r="W467" s="64"/>
      <c r="X467" s="51"/>
    </row>
    <row r="468" spans="23:24" x14ac:dyDescent="0.3">
      <c r="W468" s="64"/>
      <c r="X468" s="51"/>
    </row>
    <row r="469" spans="23:24" x14ac:dyDescent="0.3">
      <c r="W469" s="64"/>
      <c r="X469" s="51"/>
    </row>
    <row r="470" spans="23:24" x14ac:dyDescent="0.3">
      <c r="W470" s="64"/>
      <c r="X470" s="51"/>
    </row>
    <row r="471" spans="23:24" x14ac:dyDescent="0.3">
      <c r="W471" s="64"/>
      <c r="X471" s="51"/>
    </row>
    <row r="472" spans="23:24" x14ac:dyDescent="0.3">
      <c r="W472" s="64"/>
      <c r="X472" s="51"/>
    </row>
    <row r="473" spans="23:24" x14ac:dyDescent="0.3">
      <c r="W473" s="64"/>
      <c r="X473" s="51"/>
    </row>
    <row r="474" spans="23:24" x14ac:dyDescent="0.3">
      <c r="W474" s="64"/>
      <c r="X474" s="51"/>
    </row>
    <row r="475" spans="23:24" x14ac:dyDescent="0.3">
      <c r="W475" s="64"/>
      <c r="X475" s="51"/>
    </row>
    <row r="476" spans="23:24" x14ac:dyDescent="0.3">
      <c r="W476" s="64"/>
      <c r="X476" s="51"/>
    </row>
    <row r="477" spans="23:24" x14ac:dyDescent="0.3">
      <c r="W477" s="64"/>
      <c r="X477" s="51"/>
    </row>
    <row r="478" spans="23:24" x14ac:dyDescent="0.3">
      <c r="W478" s="64"/>
      <c r="X478" s="51"/>
    </row>
    <row r="479" spans="23:24" x14ac:dyDescent="0.3">
      <c r="W479" s="64"/>
      <c r="X479" s="51"/>
    </row>
    <row r="480" spans="23:24" x14ac:dyDescent="0.3">
      <c r="W480" s="64"/>
      <c r="X480" s="51"/>
    </row>
    <row r="481" spans="23:24" x14ac:dyDescent="0.3">
      <c r="W481" s="64"/>
      <c r="X481" s="51"/>
    </row>
    <row r="482" spans="23:24" x14ac:dyDescent="0.3">
      <c r="W482" s="64"/>
      <c r="X482" s="51"/>
    </row>
    <row r="483" spans="23:24" x14ac:dyDescent="0.3">
      <c r="W483" s="64"/>
      <c r="X483" s="51"/>
    </row>
    <row r="484" spans="23:24" x14ac:dyDescent="0.3">
      <c r="W484" s="64"/>
      <c r="X484" s="51"/>
    </row>
    <row r="485" spans="23:24" x14ac:dyDescent="0.3">
      <c r="W485" s="64"/>
      <c r="X485" s="51"/>
    </row>
    <row r="486" spans="23:24" x14ac:dyDescent="0.3">
      <c r="W486" s="64"/>
      <c r="X486" s="51"/>
    </row>
    <row r="487" spans="23:24" x14ac:dyDescent="0.3">
      <c r="W487" s="64"/>
      <c r="X487" s="51"/>
    </row>
    <row r="488" spans="23:24" x14ac:dyDescent="0.3">
      <c r="W488" s="64"/>
      <c r="X488" s="51"/>
    </row>
    <row r="489" spans="23:24" x14ac:dyDescent="0.3">
      <c r="W489" s="64"/>
      <c r="X489" s="51"/>
    </row>
    <row r="490" spans="23:24" x14ac:dyDescent="0.3">
      <c r="W490" s="64"/>
      <c r="X490" s="51"/>
    </row>
    <row r="491" spans="23:24" x14ac:dyDescent="0.3">
      <c r="W491" s="64"/>
      <c r="X491" s="51"/>
    </row>
    <row r="492" spans="23:24" x14ac:dyDescent="0.3">
      <c r="W492" s="64"/>
      <c r="X492" s="51"/>
    </row>
    <row r="493" spans="23:24" x14ac:dyDescent="0.3">
      <c r="W493" s="64"/>
      <c r="X493" s="51"/>
    </row>
    <row r="494" spans="23:24" x14ac:dyDescent="0.3">
      <c r="W494" s="64"/>
      <c r="X494" s="51"/>
    </row>
    <row r="495" spans="23:24" x14ac:dyDescent="0.3">
      <c r="W495" s="64"/>
      <c r="X495" s="51"/>
    </row>
    <row r="496" spans="23:24" x14ac:dyDescent="0.3">
      <c r="W496" s="64"/>
      <c r="X496" s="51"/>
    </row>
    <row r="497" spans="23:24" x14ac:dyDescent="0.3">
      <c r="W497" s="64"/>
      <c r="X497" s="51"/>
    </row>
    <row r="498" spans="23:24" x14ac:dyDescent="0.3">
      <c r="W498" s="64"/>
      <c r="X498" s="51"/>
    </row>
    <row r="499" spans="23:24" x14ac:dyDescent="0.3">
      <c r="W499" s="64"/>
      <c r="X499" s="51"/>
    </row>
    <row r="500" spans="23:24" x14ac:dyDescent="0.3">
      <c r="W500" s="64"/>
      <c r="X500" s="51"/>
    </row>
    <row r="501" spans="23:24" x14ac:dyDescent="0.3">
      <c r="W501" s="64"/>
      <c r="X501" s="51"/>
    </row>
    <row r="502" spans="23:24" x14ac:dyDescent="0.3">
      <c r="W502" s="64"/>
      <c r="X502" s="51"/>
    </row>
    <row r="503" spans="23:24" x14ac:dyDescent="0.3">
      <c r="W503" s="64"/>
      <c r="X503" s="51"/>
    </row>
    <row r="504" spans="23:24" x14ac:dyDescent="0.3">
      <c r="W504" s="64"/>
      <c r="X504" s="51"/>
    </row>
    <row r="505" spans="23:24" x14ac:dyDescent="0.3">
      <c r="W505" s="64"/>
      <c r="X505" s="51"/>
    </row>
    <row r="506" spans="23:24" x14ac:dyDescent="0.3">
      <c r="W506" s="64"/>
      <c r="X506" s="51"/>
    </row>
    <row r="507" spans="23:24" x14ac:dyDescent="0.3">
      <c r="W507" s="64"/>
      <c r="X507" s="51"/>
    </row>
    <row r="508" spans="23:24" x14ac:dyDescent="0.3">
      <c r="W508" s="64"/>
      <c r="X508" s="51"/>
    </row>
    <row r="509" spans="23:24" x14ac:dyDescent="0.3">
      <c r="W509" s="64"/>
      <c r="X509" s="51"/>
    </row>
  </sheetData>
  <autoFilter ref="B3:K65" xr:uid="{99613574-EA7D-474E-9590-FC3D46589922}">
    <filterColumn colId="0">
      <customFilters>
        <customFilter operator="greaterThanOrEqual" val="44562"/>
      </customFilters>
    </filterColumn>
  </autoFilter>
  <sortState xmlns:xlrd2="http://schemas.microsoft.com/office/spreadsheetml/2017/richdata2" ref="H58:M90">
    <sortCondition ref="H58:H90"/>
  </sortState>
  <mergeCells count="11">
    <mergeCell ref="B2:H2"/>
    <mergeCell ref="M68:Q68"/>
    <mergeCell ref="S68:U68"/>
    <mergeCell ref="M20:M21"/>
    <mergeCell ref="N20:N21"/>
    <mergeCell ref="O20:O21"/>
    <mergeCell ref="P20:P21"/>
    <mergeCell ref="Q20:Q21"/>
    <mergeCell ref="R20:R21"/>
    <mergeCell ref="S20:S21"/>
    <mergeCell ref="M19:S19"/>
  </mergeCells>
  <phoneticPr fontId="5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BCC41-11BC-4D7B-98F8-1331855DC526}">
  <sheetPr codeName="Sheet9"/>
  <dimension ref="A1:B42"/>
  <sheetViews>
    <sheetView zoomScale="85" zoomScaleNormal="85" workbookViewId="0">
      <selection activeCell="M25" sqref="M24:M25"/>
    </sheetView>
  </sheetViews>
  <sheetFormatPr defaultColWidth="8.6640625" defaultRowHeight="14.4" x14ac:dyDescent="0.3"/>
  <cols>
    <col min="1" max="1" width="12.44140625" customWidth="1"/>
    <col min="2" max="2" width="10.109375" customWidth="1"/>
    <col min="6" max="6" width="3.6640625" bestFit="1" customWidth="1"/>
  </cols>
  <sheetData>
    <row r="1" spans="1:2" ht="18" x14ac:dyDescent="0.35">
      <c r="A1" s="297" t="s">
        <v>121</v>
      </c>
      <c r="B1" s="297"/>
    </row>
    <row r="2" spans="1:2" x14ac:dyDescent="0.3">
      <c r="A2" s="76">
        <v>32540</v>
      </c>
      <c r="B2" s="77">
        <f t="shared" ref="B2:B42" si="0">MONTH(A2)</f>
        <v>2</v>
      </c>
    </row>
    <row r="3" spans="1:2" x14ac:dyDescent="0.3">
      <c r="A3" s="76">
        <v>32874</v>
      </c>
      <c r="B3" s="77">
        <f t="shared" si="0"/>
        <v>1</v>
      </c>
    </row>
    <row r="4" spans="1:2" x14ac:dyDescent="0.3">
      <c r="A4" s="76">
        <v>33270</v>
      </c>
      <c r="B4" s="77">
        <f t="shared" si="0"/>
        <v>2</v>
      </c>
    </row>
    <row r="5" spans="1:2" x14ac:dyDescent="0.3">
      <c r="A5" s="76">
        <v>33635</v>
      </c>
      <c r="B5" s="77">
        <f t="shared" si="0"/>
        <v>2</v>
      </c>
    </row>
    <row r="6" spans="1:2" x14ac:dyDescent="0.3">
      <c r="A6" s="76">
        <v>33970</v>
      </c>
      <c r="B6" s="77">
        <f t="shared" si="0"/>
        <v>1</v>
      </c>
    </row>
    <row r="7" spans="1:2" x14ac:dyDescent="0.3">
      <c r="A7" s="76">
        <v>34366</v>
      </c>
      <c r="B7" s="77">
        <f t="shared" si="0"/>
        <v>2</v>
      </c>
    </row>
    <row r="8" spans="1:2" x14ac:dyDescent="0.3">
      <c r="A8" s="76">
        <v>34700</v>
      </c>
      <c r="B8" s="77">
        <f t="shared" si="0"/>
        <v>1</v>
      </c>
    </row>
    <row r="9" spans="1:2" x14ac:dyDescent="0.3">
      <c r="A9" s="76">
        <v>35096</v>
      </c>
      <c r="B9" s="77">
        <f t="shared" si="0"/>
        <v>2</v>
      </c>
    </row>
    <row r="10" spans="1:2" x14ac:dyDescent="0.3">
      <c r="A10" s="76">
        <v>35462</v>
      </c>
      <c r="B10" s="77">
        <f t="shared" si="0"/>
        <v>2</v>
      </c>
    </row>
    <row r="11" spans="1:2" x14ac:dyDescent="0.3">
      <c r="A11" s="76">
        <v>35796</v>
      </c>
      <c r="B11" s="77">
        <f t="shared" si="0"/>
        <v>1</v>
      </c>
    </row>
    <row r="12" spans="1:2" x14ac:dyDescent="0.3">
      <c r="A12" s="76">
        <v>36192</v>
      </c>
      <c r="B12" s="77">
        <f t="shared" si="0"/>
        <v>2</v>
      </c>
    </row>
    <row r="13" spans="1:2" x14ac:dyDescent="0.3">
      <c r="A13" s="76">
        <v>36557</v>
      </c>
      <c r="B13" s="77">
        <f t="shared" si="0"/>
        <v>2</v>
      </c>
    </row>
    <row r="14" spans="1:2" x14ac:dyDescent="0.3">
      <c r="A14" s="76">
        <v>36892</v>
      </c>
      <c r="B14" s="77">
        <f t="shared" si="0"/>
        <v>1</v>
      </c>
    </row>
    <row r="15" spans="1:2" x14ac:dyDescent="0.3">
      <c r="A15" s="76">
        <v>37288</v>
      </c>
      <c r="B15" s="77">
        <f t="shared" si="0"/>
        <v>2</v>
      </c>
    </row>
    <row r="16" spans="1:2" x14ac:dyDescent="0.3">
      <c r="A16" s="76">
        <v>37653</v>
      </c>
      <c r="B16" s="77">
        <f t="shared" si="0"/>
        <v>2</v>
      </c>
    </row>
    <row r="17" spans="1:2" x14ac:dyDescent="0.3">
      <c r="A17" s="76">
        <v>37987</v>
      </c>
      <c r="B17" s="77">
        <f t="shared" si="0"/>
        <v>1</v>
      </c>
    </row>
    <row r="18" spans="1:2" ht="16.5" customHeight="1" x14ac:dyDescent="0.3">
      <c r="A18" s="76">
        <v>38384</v>
      </c>
      <c r="B18" s="77">
        <f t="shared" si="0"/>
        <v>2</v>
      </c>
    </row>
    <row r="19" spans="1:2" x14ac:dyDescent="0.3">
      <c r="A19" s="76">
        <v>38718</v>
      </c>
      <c r="B19" s="77">
        <f t="shared" si="0"/>
        <v>1</v>
      </c>
    </row>
    <row r="20" spans="1:2" x14ac:dyDescent="0.3">
      <c r="A20" s="76">
        <v>39114</v>
      </c>
      <c r="B20" s="77">
        <f t="shared" si="0"/>
        <v>2</v>
      </c>
    </row>
    <row r="21" spans="1:2" x14ac:dyDescent="0.3">
      <c r="A21" s="76">
        <v>39479</v>
      </c>
      <c r="B21" s="77">
        <f t="shared" si="0"/>
        <v>2</v>
      </c>
    </row>
    <row r="22" spans="1:2" x14ac:dyDescent="0.3">
      <c r="A22" s="76">
        <v>39814</v>
      </c>
      <c r="B22" s="77">
        <f t="shared" si="0"/>
        <v>1</v>
      </c>
    </row>
    <row r="23" spans="1:2" x14ac:dyDescent="0.3">
      <c r="A23" s="76">
        <v>40210</v>
      </c>
      <c r="B23" s="77">
        <f t="shared" si="0"/>
        <v>2</v>
      </c>
    </row>
    <row r="24" spans="1:2" x14ac:dyDescent="0.3">
      <c r="A24" s="76">
        <v>40575</v>
      </c>
      <c r="B24" s="77">
        <f t="shared" si="0"/>
        <v>2</v>
      </c>
    </row>
    <row r="25" spans="1:2" x14ac:dyDescent="0.3">
      <c r="A25" s="76">
        <v>40909</v>
      </c>
      <c r="B25" s="77">
        <f t="shared" si="0"/>
        <v>1</v>
      </c>
    </row>
    <row r="26" spans="1:2" x14ac:dyDescent="0.3">
      <c r="A26" s="76">
        <v>41306</v>
      </c>
      <c r="B26" s="77">
        <f t="shared" si="0"/>
        <v>2</v>
      </c>
    </row>
    <row r="27" spans="1:2" x14ac:dyDescent="0.3">
      <c r="A27" s="76">
        <v>41640</v>
      </c>
      <c r="B27" s="77">
        <f t="shared" si="0"/>
        <v>1</v>
      </c>
    </row>
    <row r="28" spans="1:2" x14ac:dyDescent="0.3">
      <c r="A28" s="76">
        <v>42036</v>
      </c>
      <c r="B28" s="77">
        <f t="shared" si="0"/>
        <v>2</v>
      </c>
    </row>
    <row r="29" spans="1:2" x14ac:dyDescent="0.3">
      <c r="A29" s="76">
        <v>42401</v>
      </c>
      <c r="B29" s="77">
        <f t="shared" si="0"/>
        <v>2</v>
      </c>
    </row>
    <row r="30" spans="1:2" x14ac:dyDescent="0.3">
      <c r="A30" s="76">
        <v>42736</v>
      </c>
      <c r="B30" s="77">
        <f t="shared" si="0"/>
        <v>1</v>
      </c>
    </row>
    <row r="31" spans="1:2" x14ac:dyDescent="0.3">
      <c r="A31" s="76">
        <v>43132</v>
      </c>
      <c r="B31" s="77">
        <f t="shared" si="0"/>
        <v>2</v>
      </c>
    </row>
    <row r="32" spans="1:2" x14ac:dyDescent="0.3">
      <c r="A32" s="76">
        <v>43497</v>
      </c>
      <c r="B32" s="77">
        <f t="shared" si="0"/>
        <v>2</v>
      </c>
    </row>
    <row r="33" spans="1:2" x14ac:dyDescent="0.3">
      <c r="A33" s="76">
        <v>43831</v>
      </c>
      <c r="B33" s="77">
        <f t="shared" si="0"/>
        <v>1</v>
      </c>
    </row>
    <row r="34" spans="1:2" x14ac:dyDescent="0.3">
      <c r="A34" s="76">
        <v>44228</v>
      </c>
      <c r="B34" s="77">
        <f t="shared" si="0"/>
        <v>2</v>
      </c>
    </row>
    <row r="35" spans="1:2" x14ac:dyDescent="0.3">
      <c r="A35" s="76">
        <v>44593</v>
      </c>
      <c r="B35" s="77">
        <f t="shared" si="0"/>
        <v>2</v>
      </c>
    </row>
    <row r="36" spans="1:2" x14ac:dyDescent="0.3">
      <c r="A36" s="76">
        <v>44927</v>
      </c>
      <c r="B36" s="77">
        <f t="shared" si="0"/>
        <v>1</v>
      </c>
    </row>
    <row r="37" spans="1:2" x14ac:dyDescent="0.3">
      <c r="A37" s="76">
        <v>45323</v>
      </c>
      <c r="B37" s="77">
        <f t="shared" si="0"/>
        <v>2</v>
      </c>
    </row>
    <row r="38" spans="1:2" x14ac:dyDescent="0.3">
      <c r="A38" s="76">
        <v>46054</v>
      </c>
      <c r="B38" s="77">
        <f t="shared" si="0"/>
        <v>2</v>
      </c>
    </row>
    <row r="39" spans="1:2" x14ac:dyDescent="0.3">
      <c r="A39" s="76">
        <v>46419</v>
      </c>
      <c r="B39" s="77">
        <f t="shared" si="0"/>
        <v>2</v>
      </c>
    </row>
    <row r="40" spans="1:2" x14ac:dyDescent="0.3">
      <c r="A40" s="76">
        <v>46753</v>
      </c>
      <c r="B40" s="77">
        <f t="shared" si="0"/>
        <v>1</v>
      </c>
    </row>
    <row r="41" spans="1:2" x14ac:dyDescent="0.3">
      <c r="A41" s="76">
        <v>47150</v>
      </c>
      <c r="B41" s="77">
        <f t="shared" si="0"/>
        <v>2</v>
      </c>
    </row>
    <row r="42" spans="1:2" x14ac:dyDescent="0.3">
      <c r="A42" s="76">
        <v>47515</v>
      </c>
      <c r="B42" s="77">
        <f t="shared" si="0"/>
        <v>2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EB7B7A49-FD8F-4D6E-8D94-533AEC89B8FA}">
  <ds:schemaRefs>
    <ds:schemaRef ds:uri="http://gemini/pivotcustomization/TableWidget"/>
  </ds:schemaRefs>
</ds:datastoreItem>
</file>

<file path=customXml/itemProps2.xml><?xml version="1.0" encoding="utf-8"?>
<ds:datastoreItem xmlns:ds="http://schemas.openxmlformats.org/officeDocument/2006/customXml" ds:itemID="{2AB49C60-7934-4B4F-9384-F3345105B721}">
  <ds:schemaRefs>
    <ds:schemaRef ds:uri="http://gemini/pivotcustomization/ShowImplicitMeasures"/>
  </ds:schemaRefs>
</ds:datastoreItem>
</file>

<file path=customXml/itemProps3.xml><?xml version="1.0" encoding="utf-8"?>
<ds:datastoreItem xmlns:ds="http://schemas.openxmlformats.org/officeDocument/2006/customXml" ds:itemID="{6AB3C081-B75B-4EE0-B86C-D76353E5F6DE}">
  <ds:schemaRefs>
    <ds:schemaRef ds:uri="http://gemini/pivotcustomization/PowerPivotVersion"/>
  </ds:schemaRefs>
</ds:datastoreItem>
</file>

<file path=customXml/itemProps4.xml><?xml version="1.0" encoding="utf-8"?>
<ds:datastoreItem xmlns:ds="http://schemas.openxmlformats.org/officeDocument/2006/customXml" ds:itemID="{1CAAE4C7-9EA0-49BC-AC19-6393C22C115E}">
  <ds:schemaRefs>
    <ds:schemaRef ds:uri="http://gemini/pivotcustomization/IsSandboxEmbedded"/>
  </ds:schemaRefs>
</ds:datastoreItem>
</file>

<file path=customXml/itemProps5.xml><?xml version="1.0" encoding="utf-8"?>
<ds:datastoreItem xmlns:ds="http://schemas.openxmlformats.org/officeDocument/2006/customXml" ds:itemID="{4CD7F42F-A97C-45AF-96E2-93808809BDBB}">
  <ds:schemaRefs>
    <ds:schemaRef ds:uri="http://gemini/pivotcustomization/ManualCalcMode"/>
  </ds:schemaRefs>
</ds:datastoreItem>
</file>

<file path=customXml/itemProps6.xml><?xml version="1.0" encoding="utf-8"?>
<ds:datastoreItem xmlns:ds="http://schemas.openxmlformats.org/officeDocument/2006/customXml" ds:itemID="{285BB2D2-7D14-4C62-BC9E-E3CF28B61E84}">
  <ds:schemaRefs>
    <ds:schemaRef ds:uri="http://gemini/pivotcustomization/SandboxNonEmpty"/>
  </ds:schemaRefs>
</ds:datastoreItem>
</file>

<file path=customXml/itemProps7.xml><?xml version="1.0" encoding="utf-8"?>
<ds:datastoreItem xmlns:ds="http://schemas.openxmlformats.org/officeDocument/2006/customXml" ds:itemID="{665CB375-D916-4E9E-9ED7-2931FDE4B49B}">
  <ds:schemaRefs>
    <ds:schemaRef ds:uri="http://gemini/pivotcustomization/FormulaBarState"/>
  </ds:schemaRefs>
</ds:datastoreItem>
</file>

<file path=customXml/itemProps8.xml><?xml version="1.0" encoding="utf-8"?>
<ds:datastoreItem xmlns:ds="http://schemas.openxmlformats.org/officeDocument/2006/customXml" ds:itemID="{B9662B54-606D-4967-9D5E-F9AB04D8413B}">
  <ds:schemaRefs>
    <ds:schemaRef ds:uri="http://gemini/pivotcustomization/ErrorCache"/>
  </ds:schemaRefs>
</ds:datastoreItem>
</file>

<file path=customXml/itemProps9.xml><?xml version="1.0" encoding="utf-8"?>
<ds:datastoreItem xmlns:ds="http://schemas.openxmlformats.org/officeDocument/2006/customXml" ds:itemID="{C5E2F1E8-206B-470B-B0FE-1CE414400F24}">
  <ds:schemaRefs>
    <ds:schemaRef ds:uri="http://gemini/pivotcustomization/ShowHidden"/>
  </ds:schemaRefs>
</ds:datastoreItem>
</file>

<file path=customXml/itemProps10.xml><?xml version="1.0" encoding="utf-8"?>
<ds:datastoreItem xmlns:ds="http://schemas.openxmlformats.org/officeDocument/2006/customXml" ds:itemID="{A7C53C45-164B-4B1F-83CF-C6F4ED1581DC}">
  <ds:schemaRefs>
    <ds:schemaRef ds:uri="http://gemini/pivotcustomization/TableXML_Table1"/>
  </ds:schemaRefs>
</ds:datastoreItem>
</file>

<file path=customXml/itemProps11.xml><?xml version="1.0" encoding="utf-8"?>
<ds:datastoreItem xmlns:ds="http://schemas.openxmlformats.org/officeDocument/2006/customXml" ds:itemID="{D9EB2B49-399F-4BF2-89A9-62FF29596054}">
  <ds:schemaRefs>
    <ds:schemaRef ds:uri="http://gemini/pivotcustomization/ClientWindowXML"/>
  </ds:schemaRefs>
</ds:datastoreItem>
</file>

<file path=customXml/itemProps12.xml><?xml version="1.0" encoding="utf-8"?>
<ds:datastoreItem xmlns:ds="http://schemas.openxmlformats.org/officeDocument/2006/customXml" ds:itemID="{92B381AC-DA09-4B3F-9B1B-D25240846E54}">
  <ds:schemaRefs>
    <ds:schemaRef ds:uri="http://gemini/pivotcustomization/RelationshipAutoDetectionEnabled"/>
  </ds:schemaRefs>
</ds:datastoreItem>
</file>

<file path=customXml/itemProps13.xml><?xml version="1.0" encoding="utf-8"?>
<ds:datastoreItem xmlns:ds="http://schemas.openxmlformats.org/officeDocument/2006/customXml" ds:itemID="{9321C16D-DCA5-4C7D-98DA-C4673CE95684}">
  <ds:schemaRefs>
    <ds:schemaRef ds:uri="http://gemini/pivotcustomization/Diagrams"/>
  </ds:schemaRefs>
</ds:datastoreItem>
</file>

<file path=customXml/itemProps14.xml><?xml version="1.0" encoding="utf-8"?>
<ds:datastoreItem xmlns:ds="http://schemas.openxmlformats.org/officeDocument/2006/customXml" ds:itemID="{75BCA67B-B98B-4780-B9CD-D3C69D56B213}">
  <ds:schemaRefs>
    <ds:schemaRef ds:uri="http://gemini/pivotcustomization/LinkedTableUpdateMode"/>
  </ds:schemaRefs>
</ds:datastoreItem>
</file>

<file path=customXml/itemProps15.xml><?xml version="1.0" encoding="utf-8"?>
<ds:datastoreItem xmlns:ds="http://schemas.openxmlformats.org/officeDocument/2006/customXml" ds:itemID="{51D1D14A-92E4-4AEA-9DA5-79FE0713D322}">
  <ds:schemaRefs>
    <ds:schemaRef ds:uri="http://gemini/pivotcustomization/MeasureGridState"/>
  </ds:schemaRefs>
</ds:datastoreItem>
</file>

<file path=customXml/itemProps16.xml><?xml version="1.0" encoding="utf-8"?>
<ds:datastoreItem xmlns:ds="http://schemas.openxmlformats.org/officeDocument/2006/customXml" ds:itemID="{34F28311-2924-4DD1-9B09-15631EDC2B01}">
  <ds:schemaRefs>
    <ds:schemaRef ds:uri="http://gemini/pivotcustomization/TableOrder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Home</vt:lpstr>
      <vt:lpstr>Angbao Trends</vt:lpstr>
      <vt:lpstr>Money Market</vt:lpstr>
      <vt:lpstr>Supply Costs</vt:lpstr>
      <vt:lpstr>Excess Notes</vt:lpstr>
      <vt:lpstr>CO_Pivot_Year</vt:lpstr>
      <vt:lpstr>CO Pivot_Month</vt:lpstr>
      <vt:lpstr>MM Pivot</vt:lpstr>
      <vt:lpstr>Excess_Notes_Pivot</vt:lpstr>
      <vt:lpstr>Excess_Notes_Table</vt:lpstr>
      <vt:lpstr>CNY_Notes_Saved_Pivot</vt:lpstr>
      <vt:lpstr>Model-Data</vt:lpstr>
      <vt:lpstr>Backup</vt:lpstr>
      <vt:lpstr>Hongbao demand</vt:lpstr>
      <vt:lpstr>CNY Dates</vt:lpstr>
      <vt:lpstr>CO_Pivot_Year!Criteria</vt:lpstr>
      <vt:lpstr>Excess_Notes_Pivot!Criteria</vt:lpstr>
      <vt:lpstr>Excess_Notes_Table!Criteria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Bharat G</dc:creator>
  <cp:keywords/>
  <dc:description/>
  <cp:lastModifiedBy>Bharat Gangwani</cp:lastModifiedBy>
  <cp:revision/>
  <dcterms:created xsi:type="dcterms:W3CDTF">2022-02-26T08:11:22Z</dcterms:created>
  <dcterms:modified xsi:type="dcterms:W3CDTF">2022-03-31T05:36:53Z</dcterms:modified>
  <cp:category/>
  <cp:contentStatus/>
</cp:coreProperties>
</file>